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9_{5915D1F9-7881-496C-BEC0-B843AD25A104}" xr6:coauthVersionLast="47" xr6:coauthVersionMax="47" xr10:uidLastSave="{00000000-0000-0000-0000-000000000000}"/>
  <bookViews>
    <workbookView xWindow="11424" yWindow="0" windowWidth="11712" windowHeight="12336" firstSheet="1" activeTab="1" xr2:uid="{CD16A933-BBDB-4024-B49E-F725EA242ECC}"/>
  </bookViews>
  <sheets>
    <sheet name="car_price_dataset_medium" sheetId="1" r:id="rId1"/>
    <sheet name="Clean_data" sheetId="2" r:id="rId2"/>
    <sheet name="CHARTS" sheetId="5" r:id="rId3"/>
    <sheet name="Pivot_tables" sheetId="3" r:id="rId4"/>
  </sheets>
  <definedNames>
    <definedName name="_xlchart.v1.0" hidden="1">Clean_data!$L$1</definedName>
    <definedName name="_xlchart.v1.1" hidden="1">Clean_data!$L$2:$L$1001</definedName>
    <definedName name="_xlchart.v1.2" hidden="1">Clean_data!$L$1</definedName>
    <definedName name="_xlchart.v1.3" hidden="1">Clean_data!$L$2:$L$1001</definedName>
    <definedName name="_xlchart.v1.4" hidden="1">Clean_data!$L$1</definedName>
    <definedName name="_xlchart.v1.5" hidden="1">Clean_data!$L$2:$L$1001</definedName>
    <definedName name="_xlchart.v1.6" hidden="1">Clean_data!$L$1</definedName>
    <definedName name="_xlchart.v1.7" hidden="1">Clean_data!$L$2:$L$1001</definedName>
  </definedNames>
  <calcPr calcId="0"/>
  <pivotCaches>
    <pivotCache cacheId="17" r:id="rId5"/>
  </pivotCaches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Q26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N78" i="2"/>
  <c r="N350" i="2"/>
  <c r="N478" i="2"/>
  <c r="N606" i="2"/>
  <c r="N734" i="2"/>
  <c r="N855" i="2"/>
  <c r="N938" i="2"/>
  <c r="M3" i="2"/>
  <c r="M4" i="2"/>
  <c r="M5" i="2"/>
  <c r="M6" i="2"/>
  <c r="N6" i="2" s="1"/>
  <c r="M7" i="2"/>
  <c r="M8" i="2"/>
  <c r="M9" i="2"/>
  <c r="M10" i="2"/>
  <c r="M11" i="2"/>
  <c r="M12" i="2"/>
  <c r="Q12" i="2" s="1"/>
  <c r="M13" i="2"/>
  <c r="M14" i="2"/>
  <c r="N14" i="2" s="1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N46" i="2" s="1"/>
  <c r="M47" i="2"/>
  <c r="M48" i="2"/>
  <c r="M49" i="2"/>
  <c r="M50" i="2"/>
  <c r="M51" i="2"/>
  <c r="M52" i="2"/>
  <c r="M53" i="2"/>
  <c r="M54" i="2"/>
  <c r="N54" i="2" s="1"/>
  <c r="M55" i="2"/>
  <c r="M56" i="2"/>
  <c r="M57" i="2"/>
  <c r="M58" i="2"/>
  <c r="M59" i="2"/>
  <c r="M60" i="2"/>
  <c r="M61" i="2"/>
  <c r="M62" i="2"/>
  <c r="N62" i="2" s="1"/>
  <c r="M63" i="2"/>
  <c r="M64" i="2"/>
  <c r="M65" i="2"/>
  <c r="M66" i="2"/>
  <c r="M67" i="2"/>
  <c r="M68" i="2"/>
  <c r="M69" i="2"/>
  <c r="M70" i="2"/>
  <c r="N70" i="2" s="1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N110" i="2" s="1"/>
  <c r="M111" i="2"/>
  <c r="M112" i="2"/>
  <c r="M113" i="2"/>
  <c r="M114" i="2"/>
  <c r="M115" i="2"/>
  <c r="M116" i="2"/>
  <c r="M117" i="2"/>
  <c r="M118" i="2"/>
  <c r="N118" i="2" s="1"/>
  <c r="M119" i="2"/>
  <c r="M120" i="2"/>
  <c r="O120" i="2" s="1"/>
  <c r="M121" i="2"/>
  <c r="M122" i="2"/>
  <c r="M123" i="2"/>
  <c r="M124" i="2"/>
  <c r="M125" i="2"/>
  <c r="M126" i="2"/>
  <c r="N126" i="2" s="1"/>
  <c r="M127" i="2"/>
  <c r="M128" i="2"/>
  <c r="M129" i="2"/>
  <c r="M130" i="2"/>
  <c r="M131" i="2"/>
  <c r="M132" i="2"/>
  <c r="M133" i="2"/>
  <c r="M134" i="2"/>
  <c r="N134" i="2" s="1"/>
  <c r="M135" i="2"/>
  <c r="M136" i="2"/>
  <c r="M137" i="2"/>
  <c r="M138" i="2"/>
  <c r="M139" i="2"/>
  <c r="M140" i="2"/>
  <c r="M141" i="2"/>
  <c r="M142" i="2"/>
  <c r="N142" i="2" s="1"/>
  <c r="M143" i="2"/>
  <c r="M144" i="2"/>
  <c r="M145" i="2"/>
  <c r="M146" i="2"/>
  <c r="M147" i="2"/>
  <c r="M148" i="2"/>
  <c r="M149" i="2"/>
  <c r="M150" i="2"/>
  <c r="M151" i="2"/>
  <c r="M152" i="2"/>
  <c r="O152" i="2" s="1"/>
  <c r="M153" i="2"/>
  <c r="M154" i="2"/>
  <c r="M155" i="2"/>
  <c r="M156" i="2"/>
  <c r="M157" i="2"/>
  <c r="M158" i="2"/>
  <c r="M159" i="2"/>
  <c r="M160" i="2"/>
  <c r="M161" i="2"/>
  <c r="M162" i="2"/>
  <c r="M163" i="2"/>
  <c r="N163" i="2" s="1"/>
  <c r="M164" i="2"/>
  <c r="M165" i="2"/>
  <c r="M166" i="2"/>
  <c r="N166" i="2" s="1"/>
  <c r="M167" i="2"/>
  <c r="M168" i="2"/>
  <c r="M169" i="2"/>
  <c r="M170" i="2"/>
  <c r="M171" i="2"/>
  <c r="N171" i="2" s="1"/>
  <c r="M172" i="2"/>
  <c r="M173" i="2"/>
  <c r="M174" i="2"/>
  <c r="N174" i="2" s="1"/>
  <c r="M175" i="2"/>
  <c r="M176" i="2"/>
  <c r="M177" i="2"/>
  <c r="M178" i="2"/>
  <c r="M179" i="2"/>
  <c r="N179" i="2" s="1"/>
  <c r="M180" i="2"/>
  <c r="M181" i="2"/>
  <c r="M182" i="2"/>
  <c r="N182" i="2" s="1"/>
  <c r="M183" i="2"/>
  <c r="M184" i="2"/>
  <c r="O184" i="2" s="1"/>
  <c r="M185" i="2"/>
  <c r="M186" i="2"/>
  <c r="M187" i="2"/>
  <c r="M188" i="2"/>
  <c r="M189" i="2"/>
  <c r="M190" i="2"/>
  <c r="M191" i="2"/>
  <c r="M192" i="2"/>
  <c r="M193" i="2"/>
  <c r="M194" i="2"/>
  <c r="M195" i="2"/>
  <c r="N195" i="2" s="1"/>
  <c r="M196" i="2"/>
  <c r="M197" i="2"/>
  <c r="M198" i="2"/>
  <c r="N198" i="2" s="1"/>
  <c r="M199" i="2"/>
  <c r="M200" i="2"/>
  <c r="M201" i="2"/>
  <c r="M202" i="2"/>
  <c r="M203" i="2"/>
  <c r="M204" i="2"/>
  <c r="M205" i="2"/>
  <c r="M206" i="2"/>
  <c r="N206" i="2" s="1"/>
  <c r="M207" i="2"/>
  <c r="M208" i="2"/>
  <c r="M209" i="2"/>
  <c r="M210" i="2"/>
  <c r="M211" i="2"/>
  <c r="N211" i="2" s="1"/>
  <c r="M212" i="2"/>
  <c r="M213" i="2"/>
  <c r="M214" i="2"/>
  <c r="N214" i="2" s="1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N227" i="2" s="1"/>
  <c r="M228" i="2"/>
  <c r="M229" i="2"/>
  <c r="M230" i="2"/>
  <c r="N230" i="2" s="1"/>
  <c r="M231" i="2"/>
  <c r="M232" i="2"/>
  <c r="M233" i="2"/>
  <c r="M234" i="2"/>
  <c r="M235" i="2"/>
  <c r="N235" i="2" s="1"/>
  <c r="M236" i="2"/>
  <c r="M237" i="2"/>
  <c r="M238" i="2"/>
  <c r="N238" i="2" s="1"/>
  <c r="M239" i="2"/>
  <c r="M240" i="2"/>
  <c r="M241" i="2"/>
  <c r="M242" i="2"/>
  <c r="M243" i="2"/>
  <c r="N243" i="2" s="1"/>
  <c r="M244" i="2"/>
  <c r="M245" i="2"/>
  <c r="M246" i="2"/>
  <c r="N246" i="2" s="1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N262" i="2" s="1"/>
  <c r="M263" i="2"/>
  <c r="N263" i="2" s="1"/>
  <c r="M264" i="2"/>
  <c r="M265" i="2"/>
  <c r="M266" i="2"/>
  <c r="M267" i="2"/>
  <c r="N267" i="2" s="1"/>
  <c r="M268" i="2"/>
  <c r="M269" i="2"/>
  <c r="M270" i="2"/>
  <c r="N270" i="2" s="1"/>
  <c r="M271" i="2"/>
  <c r="N271" i="2" s="1"/>
  <c r="M272" i="2"/>
  <c r="M273" i="2"/>
  <c r="M274" i="2"/>
  <c r="M275" i="2"/>
  <c r="M276" i="2"/>
  <c r="M277" i="2"/>
  <c r="M278" i="2"/>
  <c r="M279" i="2"/>
  <c r="M280" i="2"/>
  <c r="M281" i="2"/>
  <c r="M282" i="2"/>
  <c r="M283" i="2"/>
  <c r="N283" i="2" s="1"/>
  <c r="M284" i="2"/>
  <c r="M285" i="2"/>
  <c r="M286" i="2"/>
  <c r="N286" i="2" s="1"/>
  <c r="M287" i="2"/>
  <c r="N287" i="2" s="1"/>
  <c r="M288" i="2"/>
  <c r="M289" i="2"/>
  <c r="M290" i="2"/>
  <c r="M291" i="2"/>
  <c r="N291" i="2" s="1"/>
  <c r="M292" i="2"/>
  <c r="M293" i="2"/>
  <c r="M294" i="2"/>
  <c r="N294" i="2" s="1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N307" i="2" s="1"/>
  <c r="M308" i="2"/>
  <c r="M309" i="2"/>
  <c r="M310" i="2"/>
  <c r="N310" i="2" s="1"/>
  <c r="M311" i="2"/>
  <c r="N311" i="2" s="1"/>
  <c r="M312" i="2"/>
  <c r="M313" i="2"/>
  <c r="M314" i="2"/>
  <c r="M315" i="2"/>
  <c r="M316" i="2"/>
  <c r="M317" i="2"/>
  <c r="M318" i="2"/>
  <c r="M319" i="2"/>
  <c r="M320" i="2"/>
  <c r="M321" i="2"/>
  <c r="M322" i="2"/>
  <c r="M323" i="2"/>
  <c r="N323" i="2" s="1"/>
  <c r="M324" i="2"/>
  <c r="M325" i="2"/>
  <c r="M326" i="2"/>
  <c r="N326" i="2" s="1"/>
  <c r="M327" i="2"/>
  <c r="N327" i="2" s="1"/>
  <c r="M328" i="2"/>
  <c r="N328" i="2" s="1"/>
  <c r="M329" i="2"/>
  <c r="M330" i="2"/>
  <c r="M331" i="2"/>
  <c r="N331" i="2" s="1"/>
  <c r="M332" i="2"/>
  <c r="M333" i="2"/>
  <c r="M334" i="2"/>
  <c r="N334" i="2" s="1"/>
  <c r="M335" i="2"/>
  <c r="M336" i="2"/>
  <c r="Q336" i="2" s="1"/>
  <c r="M337" i="2"/>
  <c r="M338" i="2"/>
  <c r="M339" i="2"/>
  <c r="N339" i="2" s="1"/>
  <c r="M340" i="2"/>
  <c r="M341" i="2"/>
  <c r="M342" i="2"/>
  <c r="N342" i="2" s="1"/>
  <c r="M343" i="2"/>
  <c r="N343" i="2" s="1"/>
  <c r="M344" i="2"/>
  <c r="N344" i="2" s="1"/>
  <c r="M345" i="2"/>
  <c r="M346" i="2"/>
  <c r="M347" i="2"/>
  <c r="M348" i="2"/>
  <c r="M349" i="2"/>
  <c r="M350" i="2"/>
  <c r="M351" i="2"/>
  <c r="M352" i="2"/>
  <c r="M353" i="2"/>
  <c r="M354" i="2"/>
  <c r="O354" i="2" s="1"/>
  <c r="M355" i="2"/>
  <c r="M356" i="2"/>
  <c r="M357" i="2"/>
  <c r="M358" i="2"/>
  <c r="N358" i="2" s="1"/>
  <c r="M359" i="2"/>
  <c r="N359" i="2" s="1"/>
  <c r="M360" i="2"/>
  <c r="N360" i="2" s="1"/>
  <c r="M361" i="2"/>
  <c r="M362" i="2"/>
  <c r="M363" i="2"/>
  <c r="N363" i="2" s="1"/>
  <c r="M364" i="2"/>
  <c r="M365" i="2"/>
  <c r="M366" i="2"/>
  <c r="N366" i="2" s="1"/>
  <c r="M367" i="2"/>
  <c r="M368" i="2"/>
  <c r="M369" i="2"/>
  <c r="M370" i="2"/>
  <c r="M371" i="2"/>
  <c r="N371" i="2" s="1"/>
  <c r="M372" i="2"/>
  <c r="M373" i="2"/>
  <c r="M374" i="2"/>
  <c r="N374" i="2" s="1"/>
  <c r="M375" i="2"/>
  <c r="N375" i="2" s="1"/>
  <c r="M376" i="2"/>
  <c r="N376" i="2" s="1"/>
  <c r="M377" i="2"/>
  <c r="M378" i="2"/>
  <c r="M379" i="2"/>
  <c r="N379" i="2" s="1"/>
  <c r="M380" i="2"/>
  <c r="M381" i="2"/>
  <c r="M382" i="2"/>
  <c r="N382" i="2" s="1"/>
  <c r="M383" i="2"/>
  <c r="M384" i="2"/>
  <c r="M385" i="2"/>
  <c r="M386" i="2"/>
  <c r="M387" i="2"/>
  <c r="M388" i="2"/>
  <c r="M389" i="2"/>
  <c r="M390" i="2"/>
  <c r="N390" i="2" s="1"/>
  <c r="M391" i="2"/>
  <c r="N391" i="2" s="1"/>
  <c r="M392" i="2"/>
  <c r="N392" i="2" s="1"/>
  <c r="M393" i="2"/>
  <c r="M394" i="2"/>
  <c r="M395" i="2"/>
  <c r="N395" i="2" s="1"/>
  <c r="M396" i="2"/>
  <c r="M397" i="2"/>
  <c r="M398" i="2"/>
  <c r="N398" i="2" s="1"/>
  <c r="M399" i="2"/>
  <c r="M400" i="2"/>
  <c r="Q400" i="2" s="1"/>
  <c r="M401" i="2"/>
  <c r="M402" i="2"/>
  <c r="M403" i="2"/>
  <c r="M404" i="2"/>
  <c r="M405" i="2"/>
  <c r="M406" i="2"/>
  <c r="N406" i="2" s="1"/>
  <c r="M407" i="2"/>
  <c r="N407" i="2" s="1"/>
  <c r="M408" i="2"/>
  <c r="N408" i="2" s="1"/>
  <c r="M409" i="2"/>
  <c r="M410" i="2"/>
  <c r="M411" i="2"/>
  <c r="N411" i="2" s="1"/>
  <c r="M412" i="2"/>
  <c r="M413" i="2"/>
  <c r="M414" i="2"/>
  <c r="N414" i="2" s="1"/>
  <c r="M415" i="2"/>
  <c r="M416" i="2"/>
  <c r="M417" i="2"/>
  <c r="M418" i="2"/>
  <c r="M419" i="2"/>
  <c r="N419" i="2" s="1"/>
  <c r="M420" i="2"/>
  <c r="M421" i="2"/>
  <c r="M422" i="2"/>
  <c r="N422" i="2" s="1"/>
  <c r="M423" i="2"/>
  <c r="N423" i="2" s="1"/>
  <c r="M424" i="2"/>
  <c r="N424" i="2" s="1"/>
  <c r="M425" i="2"/>
  <c r="M426" i="2"/>
  <c r="M427" i="2"/>
  <c r="M428" i="2"/>
  <c r="M429" i="2"/>
  <c r="M430" i="2"/>
  <c r="N430" i="2" s="1"/>
  <c r="M431" i="2"/>
  <c r="M432" i="2"/>
  <c r="M433" i="2"/>
  <c r="M434" i="2"/>
  <c r="M435" i="2"/>
  <c r="M436" i="2"/>
  <c r="M437" i="2"/>
  <c r="M438" i="2"/>
  <c r="N438" i="2" s="1"/>
  <c r="M439" i="2"/>
  <c r="N439" i="2" s="1"/>
  <c r="M440" i="2"/>
  <c r="N440" i="2" s="1"/>
  <c r="M441" i="2"/>
  <c r="M442" i="2"/>
  <c r="M443" i="2"/>
  <c r="N443" i="2" s="1"/>
  <c r="M444" i="2"/>
  <c r="M445" i="2"/>
  <c r="M446" i="2"/>
  <c r="N446" i="2" s="1"/>
  <c r="M447" i="2"/>
  <c r="M448" i="2"/>
  <c r="M449" i="2"/>
  <c r="M450" i="2"/>
  <c r="M451" i="2"/>
  <c r="M452" i="2"/>
  <c r="M453" i="2"/>
  <c r="M454" i="2"/>
  <c r="N454" i="2" s="1"/>
  <c r="M455" i="2"/>
  <c r="N455" i="2" s="1"/>
  <c r="M456" i="2"/>
  <c r="N456" i="2" s="1"/>
  <c r="M457" i="2"/>
  <c r="M458" i="2"/>
  <c r="M459" i="2"/>
  <c r="N459" i="2" s="1"/>
  <c r="M460" i="2"/>
  <c r="M461" i="2"/>
  <c r="M462" i="2"/>
  <c r="N462" i="2" s="1"/>
  <c r="M463" i="2"/>
  <c r="M464" i="2"/>
  <c r="Q464" i="2" s="1"/>
  <c r="M465" i="2"/>
  <c r="M466" i="2"/>
  <c r="M467" i="2"/>
  <c r="M468" i="2"/>
  <c r="M469" i="2"/>
  <c r="M470" i="2"/>
  <c r="N470" i="2" s="1"/>
  <c r="M471" i="2"/>
  <c r="N471" i="2" s="1"/>
  <c r="M472" i="2"/>
  <c r="N472" i="2" s="1"/>
  <c r="M473" i="2"/>
  <c r="M474" i="2"/>
  <c r="M475" i="2"/>
  <c r="N475" i="2" s="1"/>
  <c r="M476" i="2"/>
  <c r="M477" i="2"/>
  <c r="M478" i="2"/>
  <c r="M479" i="2"/>
  <c r="M480" i="2"/>
  <c r="M481" i="2"/>
  <c r="M482" i="2"/>
  <c r="M483" i="2"/>
  <c r="N483" i="2" s="1"/>
  <c r="M484" i="2"/>
  <c r="M485" i="2"/>
  <c r="M486" i="2"/>
  <c r="N486" i="2" s="1"/>
  <c r="M487" i="2"/>
  <c r="N487" i="2" s="1"/>
  <c r="M488" i="2"/>
  <c r="N488" i="2" s="1"/>
  <c r="M489" i="2"/>
  <c r="M490" i="2"/>
  <c r="M491" i="2"/>
  <c r="N491" i="2" s="1"/>
  <c r="M492" i="2"/>
  <c r="M493" i="2"/>
  <c r="M494" i="2"/>
  <c r="N494" i="2" s="1"/>
  <c r="M495" i="2"/>
  <c r="M496" i="2"/>
  <c r="M497" i="2"/>
  <c r="M498" i="2"/>
  <c r="M499" i="2"/>
  <c r="N499" i="2" s="1"/>
  <c r="M500" i="2"/>
  <c r="M501" i="2"/>
  <c r="M502" i="2"/>
  <c r="N502" i="2" s="1"/>
  <c r="M503" i="2"/>
  <c r="N503" i="2" s="1"/>
  <c r="M504" i="2"/>
  <c r="N504" i="2" s="1"/>
  <c r="M505" i="2"/>
  <c r="O505" i="2" s="1"/>
  <c r="M506" i="2"/>
  <c r="M507" i="2"/>
  <c r="N507" i="2" s="1"/>
  <c r="M508" i="2"/>
  <c r="M509" i="2"/>
  <c r="M510" i="2"/>
  <c r="N510" i="2" s="1"/>
  <c r="M511" i="2"/>
  <c r="M512" i="2"/>
  <c r="M513" i="2"/>
  <c r="M514" i="2"/>
  <c r="M515" i="2"/>
  <c r="M516" i="2"/>
  <c r="M517" i="2"/>
  <c r="M518" i="2"/>
  <c r="N518" i="2" s="1"/>
  <c r="M519" i="2"/>
  <c r="N519" i="2" s="1"/>
  <c r="M520" i="2"/>
  <c r="N520" i="2" s="1"/>
  <c r="M521" i="2"/>
  <c r="M522" i="2"/>
  <c r="M523" i="2"/>
  <c r="N523" i="2" s="1"/>
  <c r="M524" i="2"/>
  <c r="M525" i="2"/>
  <c r="M526" i="2"/>
  <c r="N526" i="2" s="1"/>
  <c r="M527" i="2"/>
  <c r="M528" i="2"/>
  <c r="Q528" i="2" s="1"/>
  <c r="M529" i="2"/>
  <c r="M530" i="2"/>
  <c r="M531" i="2"/>
  <c r="M532" i="2"/>
  <c r="M533" i="2"/>
  <c r="M534" i="2"/>
  <c r="N534" i="2" s="1"/>
  <c r="M535" i="2"/>
  <c r="N535" i="2" s="1"/>
  <c r="M536" i="2"/>
  <c r="N536" i="2" s="1"/>
  <c r="M537" i="2"/>
  <c r="M538" i="2"/>
  <c r="M539" i="2"/>
  <c r="N539" i="2" s="1"/>
  <c r="M540" i="2"/>
  <c r="M541" i="2"/>
  <c r="M542" i="2"/>
  <c r="N542" i="2" s="1"/>
  <c r="M543" i="2"/>
  <c r="M544" i="2"/>
  <c r="M545" i="2"/>
  <c r="M546" i="2"/>
  <c r="M547" i="2"/>
  <c r="M548" i="2"/>
  <c r="M549" i="2"/>
  <c r="M550" i="2"/>
  <c r="N550" i="2" s="1"/>
  <c r="M551" i="2"/>
  <c r="N551" i="2" s="1"/>
  <c r="M552" i="2"/>
  <c r="N552" i="2" s="1"/>
  <c r="M553" i="2"/>
  <c r="M554" i="2"/>
  <c r="M555" i="2"/>
  <c r="N555" i="2" s="1"/>
  <c r="M556" i="2"/>
  <c r="M557" i="2"/>
  <c r="M558" i="2"/>
  <c r="N558" i="2" s="1"/>
  <c r="M559" i="2"/>
  <c r="M560" i="2"/>
  <c r="M561" i="2"/>
  <c r="M562" i="2"/>
  <c r="M563" i="2"/>
  <c r="N563" i="2" s="1"/>
  <c r="M564" i="2"/>
  <c r="M565" i="2"/>
  <c r="M566" i="2"/>
  <c r="N566" i="2" s="1"/>
  <c r="M567" i="2"/>
  <c r="N567" i="2" s="1"/>
  <c r="M568" i="2"/>
  <c r="N568" i="2" s="1"/>
  <c r="M569" i="2"/>
  <c r="M570" i="2"/>
  <c r="M571" i="2"/>
  <c r="N571" i="2" s="1"/>
  <c r="M572" i="2"/>
  <c r="M573" i="2"/>
  <c r="M574" i="2"/>
  <c r="N574" i="2" s="1"/>
  <c r="M575" i="2"/>
  <c r="M576" i="2"/>
  <c r="M577" i="2"/>
  <c r="M578" i="2"/>
  <c r="M579" i="2"/>
  <c r="M580" i="2"/>
  <c r="M581" i="2"/>
  <c r="M582" i="2"/>
  <c r="N582" i="2" s="1"/>
  <c r="M583" i="2"/>
  <c r="N583" i="2" s="1"/>
  <c r="M584" i="2"/>
  <c r="N584" i="2" s="1"/>
  <c r="M585" i="2"/>
  <c r="M586" i="2"/>
  <c r="M587" i="2"/>
  <c r="N587" i="2" s="1"/>
  <c r="M588" i="2"/>
  <c r="M589" i="2"/>
  <c r="M590" i="2"/>
  <c r="N590" i="2" s="1"/>
  <c r="M591" i="2"/>
  <c r="M592" i="2"/>
  <c r="Q592" i="2" s="1"/>
  <c r="M593" i="2"/>
  <c r="M594" i="2"/>
  <c r="M595" i="2"/>
  <c r="M596" i="2"/>
  <c r="M597" i="2"/>
  <c r="M598" i="2"/>
  <c r="N598" i="2" s="1"/>
  <c r="M599" i="2"/>
  <c r="N599" i="2" s="1"/>
  <c r="M600" i="2"/>
  <c r="N600" i="2" s="1"/>
  <c r="M601" i="2"/>
  <c r="M602" i="2"/>
  <c r="M603" i="2"/>
  <c r="N603" i="2" s="1"/>
  <c r="M604" i="2"/>
  <c r="M605" i="2"/>
  <c r="M606" i="2"/>
  <c r="M607" i="2"/>
  <c r="M608" i="2"/>
  <c r="M609" i="2"/>
  <c r="M610" i="2"/>
  <c r="M611" i="2"/>
  <c r="M612" i="2"/>
  <c r="M613" i="2"/>
  <c r="M614" i="2"/>
  <c r="N614" i="2" s="1"/>
  <c r="M615" i="2"/>
  <c r="N615" i="2" s="1"/>
  <c r="M616" i="2"/>
  <c r="N616" i="2" s="1"/>
  <c r="M617" i="2"/>
  <c r="M618" i="2"/>
  <c r="M619" i="2"/>
  <c r="N619" i="2" s="1"/>
  <c r="M620" i="2"/>
  <c r="M621" i="2"/>
  <c r="M622" i="2"/>
  <c r="N622" i="2" s="1"/>
  <c r="M623" i="2"/>
  <c r="M624" i="2"/>
  <c r="M625" i="2"/>
  <c r="M626" i="2"/>
  <c r="M627" i="2"/>
  <c r="N627" i="2" s="1"/>
  <c r="M628" i="2"/>
  <c r="M629" i="2"/>
  <c r="M630" i="2"/>
  <c r="N630" i="2" s="1"/>
  <c r="M631" i="2"/>
  <c r="N631" i="2" s="1"/>
  <c r="M632" i="2"/>
  <c r="N632" i="2" s="1"/>
  <c r="M633" i="2"/>
  <c r="M634" i="2"/>
  <c r="M635" i="2"/>
  <c r="N635" i="2" s="1"/>
  <c r="M636" i="2"/>
  <c r="M637" i="2"/>
  <c r="M638" i="2"/>
  <c r="N638" i="2" s="1"/>
  <c r="M639" i="2"/>
  <c r="M640" i="2"/>
  <c r="M641" i="2"/>
  <c r="M642" i="2"/>
  <c r="M643" i="2"/>
  <c r="M644" i="2"/>
  <c r="M645" i="2"/>
  <c r="M646" i="2"/>
  <c r="N646" i="2" s="1"/>
  <c r="M647" i="2"/>
  <c r="N647" i="2" s="1"/>
  <c r="M648" i="2"/>
  <c r="N648" i="2" s="1"/>
  <c r="M649" i="2"/>
  <c r="M650" i="2"/>
  <c r="M651" i="2"/>
  <c r="N651" i="2" s="1"/>
  <c r="M652" i="2"/>
  <c r="M653" i="2"/>
  <c r="M654" i="2"/>
  <c r="N654" i="2" s="1"/>
  <c r="M655" i="2"/>
  <c r="M656" i="2"/>
  <c r="Q656" i="2" s="1"/>
  <c r="M657" i="2"/>
  <c r="M658" i="2"/>
  <c r="M659" i="2"/>
  <c r="N659" i="2" s="1"/>
  <c r="M660" i="2"/>
  <c r="M661" i="2"/>
  <c r="M662" i="2"/>
  <c r="N662" i="2" s="1"/>
  <c r="M663" i="2"/>
  <c r="N663" i="2" s="1"/>
  <c r="M664" i="2"/>
  <c r="N664" i="2" s="1"/>
  <c r="M665" i="2"/>
  <c r="M666" i="2"/>
  <c r="M667" i="2"/>
  <c r="M668" i="2"/>
  <c r="M669" i="2"/>
  <c r="M670" i="2"/>
  <c r="N670" i="2" s="1"/>
  <c r="M671" i="2"/>
  <c r="M672" i="2"/>
  <c r="M673" i="2"/>
  <c r="M674" i="2"/>
  <c r="M675" i="2"/>
  <c r="M676" i="2"/>
  <c r="M677" i="2"/>
  <c r="M678" i="2"/>
  <c r="N678" i="2" s="1"/>
  <c r="M679" i="2"/>
  <c r="N679" i="2" s="1"/>
  <c r="M680" i="2"/>
  <c r="N680" i="2" s="1"/>
  <c r="M681" i="2"/>
  <c r="M682" i="2"/>
  <c r="M683" i="2"/>
  <c r="N683" i="2" s="1"/>
  <c r="M684" i="2"/>
  <c r="M685" i="2"/>
  <c r="M686" i="2"/>
  <c r="N686" i="2" s="1"/>
  <c r="M687" i="2"/>
  <c r="M688" i="2"/>
  <c r="M689" i="2"/>
  <c r="M690" i="2"/>
  <c r="M691" i="2"/>
  <c r="N691" i="2" s="1"/>
  <c r="M692" i="2"/>
  <c r="M693" i="2"/>
  <c r="M694" i="2"/>
  <c r="N694" i="2" s="1"/>
  <c r="M695" i="2"/>
  <c r="O695" i="2" s="1"/>
  <c r="M696" i="2"/>
  <c r="N696" i="2" s="1"/>
  <c r="M697" i="2"/>
  <c r="O697" i="2" s="1"/>
  <c r="M698" i="2"/>
  <c r="M699" i="2"/>
  <c r="N699" i="2" s="1"/>
  <c r="M700" i="2"/>
  <c r="M701" i="2"/>
  <c r="M702" i="2"/>
  <c r="N702" i="2" s="1"/>
  <c r="M703" i="2"/>
  <c r="M704" i="2"/>
  <c r="M705" i="2"/>
  <c r="M706" i="2"/>
  <c r="M707" i="2"/>
  <c r="M708" i="2"/>
  <c r="M709" i="2"/>
  <c r="M710" i="2"/>
  <c r="N710" i="2" s="1"/>
  <c r="M711" i="2"/>
  <c r="N711" i="2" s="1"/>
  <c r="M712" i="2"/>
  <c r="N712" i="2" s="1"/>
  <c r="M713" i="2"/>
  <c r="M714" i="2"/>
  <c r="M715" i="2"/>
  <c r="N715" i="2" s="1"/>
  <c r="M716" i="2"/>
  <c r="M717" i="2"/>
  <c r="M718" i="2"/>
  <c r="N718" i="2" s="1"/>
  <c r="M719" i="2"/>
  <c r="M720" i="2"/>
  <c r="Q720" i="2" s="1"/>
  <c r="M721" i="2"/>
  <c r="M722" i="2"/>
  <c r="M723" i="2"/>
  <c r="M724" i="2"/>
  <c r="M725" i="2"/>
  <c r="M726" i="2"/>
  <c r="N726" i="2" s="1"/>
  <c r="M727" i="2"/>
  <c r="O727" i="2" s="1"/>
  <c r="M728" i="2"/>
  <c r="N728" i="2" s="1"/>
  <c r="M729" i="2"/>
  <c r="M730" i="2"/>
  <c r="M731" i="2"/>
  <c r="M732" i="2"/>
  <c r="M733" i="2"/>
  <c r="M734" i="2"/>
  <c r="M735" i="2"/>
  <c r="M736" i="2"/>
  <c r="M737" i="2"/>
  <c r="M738" i="2"/>
  <c r="M739" i="2"/>
  <c r="N739" i="2" s="1"/>
  <c r="M740" i="2"/>
  <c r="M741" i="2"/>
  <c r="M742" i="2"/>
  <c r="N742" i="2" s="1"/>
  <c r="M743" i="2"/>
  <c r="N743" i="2" s="1"/>
  <c r="M744" i="2"/>
  <c r="N744" i="2" s="1"/>
  <c r="M745" i="2"/>
  <c r="M746" i="2"/>
  <c r="M747" i="2"/>
  <c r="N747" i="2" s="1"/>
  <c r="M748" i="2"/>
  <c r="M749" i="2"/>
  <c r="M750" i="2"/>
  <c r="N750" i="2" s="1"/>
  <c r="M751" i="2"/>
  <c r="M752" i="2"/>
  <c r="M753" i="2"/>
  <c r="M754" i="2"/>
  <c r="M755" i="2"/>
  <c r="M756" i="2"/>
  <c r="M757" i="2"/>
  <c r="M758" i="2"/>
  <c r="N758" i="2" s="1"/>
  <c r="M759" i="2"/>
  <c r="O759" i="2" s="1"/>
  <c r="M760" i="2"/>
  <c r="N760" i="2" s="1"/>
  <c r="M761" i="2"/>
  <c r="M762" i="2"/>
  <c r="M763" i="2"/>
  <c r="N763" i="2" s="1"/>
  <c r="M764" i="2"/>
  <c r="M765" i="2"/>
  <c r="M766" i="2"/>
  <c r="N766" i="2" s="1"/>
  <c r="M767" i="2"/>
  <c r="M768" i="2"/>
  <c r="M769" i="2"/>
  <c r="M770" i="2"/>
  <c r="M771" i="2"/>
  <c r="M772" i="2"/>
  <c r="M773" i="2"/>
  <c r="M774" i="2"/>
  <c r="N774" i="2" s="1"/>
  <c r="M775" i="2"/>
  <c r="N775" i="2" s="1"/>
  <c r="M776" i="2"/>
  <c r="N776" i="2" s="1"/>
  <c r="M777" i="2"/>
  <c r="M778" i="2"/>
  <c r="M779" i="2"/>
  <c r="N779" i="2" s="1"/>
  <c r="M780" i="2"/>
  <c r="M781" i="2"/>
  <c r="M782" i="2"/>
  <c r="N782" i="2" s="1"/>
  <c r="M783" i="2"/>
  <c r="M784" i="2"/>
  <c r="M785" i="2"/>
  <c r="M786" i="2"/>
  <c r="M787" i="2"/>
  <c r="M788" i="2"/>
  <c r="M789" i="2"/>
  <c r="M790" i="2"/>
  <c r="N790" i="2" s="1"/>
  <c r="M791" i="2"/>
  <c r="O791" i="2" s="1"/>
  <c r="M792" i="2"/>
  <c r="N792" i="2" s="1"/>
  <c r="M793" i="2"/>
  <c r="M794" i="2"/>
  <c r="M795" i="2"/>
  <c r="N795" i="2" s="1"/>
  <c r="M796" i="2"/>
  <c r="M797" i="2"/>
  <c r="M798" i="2"/>
  <c r="N798" i="2" s="1"/>
  <c r="M799" i="2"/>
  <c r="M800" i="2"/>
  <c r="M801" i="2"/>
  <c r="M802" i="2"/>
  <c r="M803" i="2"/>
  <c r="M804" i="2"/>
  <c r="M805" i="2"/>
  <c r="M806" i="2"/>
  <c r="N806" i="2" s="1"/>
  <c r="M807" i="2"/>
  <c r="N807" i="2" s="1"/>
  <c r="M808" i="2"/>
  <c r="N808" i="2" s="1"/>
  <c r="M809" i="2"/>
  <c r="M810" i="2"/>
  <c r="M811" i="2"/>
  <c r="M812" i="2"/>
  <c r="M813" i="2"/>
  <c r="M814" i="2"/>
  <c r="N814" i="2" s="1"/>
  <c r="M815" i="2"/>
  <c r="M816" i="2"/>
  <c r="M817" i="2"/>
  <c r="M818" i="2"/>
  <c r="M819" i="2"/>
  <c r="M820" i="2"/>
  <c r="M821" i="2"/>
  <c r="M822" i="2"/>
  <c r="N822" i="2" s="1"/>
  <c r="M823" i="2"/>
  <c r="O823" i="2" s="1"/>
  <c r="M824" i="2"/>
  <c r="N824" i="2" s="1"/>
  <c r="M825" i="2"/>
  <c r="M826" i="2"/>
  <c r="M827" i="2"/>
  <c r="N827" i="2" s="1"/>
  <c r="M828" i="2"/>
  <c r="M829" i="2"/>
  <c r="M830" i="2"/>
  <c r="N830" i="2" s="1"/>
  <c r="M831" i="2"/>
  <c r="M832" i="2"/>
  <c r="M833" i="2"/>
  <c r="M834" i="2"/>
  <c r="O834" i="2" s="1"/>
  <c r="M835" i="2"/>
  <c r="N835" i="2" s="1"/>
  <c r="M836" i="2"/>
  <c r="M837" i="2"/>
  <c r="M838" i="2"/>
  <c r="N838" i="2" s="1"/>
  <c r="M839" i="2"/>
  <c r="N839" i="2" s="1"/>
  <c r="M840" i="2"/>
  <c r="N840" i="2" s="1"/>
  <c r="M841" i="2"/>
  <c r="M842" i="2"/>
  <c r="M843" i="2"/>
  <c r="N843" i="2" s="1"/>
  <c r="M844" i="2"/>
  <c r="M845" i="2"/>
  <c r="N845" i="2" s="1"/>
  <c r="M846" i="2"/>
  <c r="M847" i="2"/>
  <c r="M848" i="2"/>
  <c r="M849" i="2"/>
  <c r="M850" i="2"/>
  <c r="M851" i="2"/>
  <c r="M852" i="2"/>
  <c r="N852" i="2" s="1"/>
  <c r="M853" i="2"/>
  <c r="N853" i="2" s="1"/>
  <c r="M854" i="2"/>
  <c r="N854" i="2" s="1"/>
  <c r="M855" i="2"/>
  <c r="O855" i="2" s="1"/>
  <c r="M856" i="2"/>
  <c r="M857" i="2"/>
  <c r="M858" i="2"/>
  <c r="M859" i="2"/>
  <c r="M860" i="2"/>
  <c r="N860" i="2" s="1"/>
  <c r="M861" i="2"/>
  <c r="N861" i="2" s="1"/>
  <c r="M862" i="2"/>
  <c r="N862" i="2" s="1"/>
  <c r="M863" i="2"/>
  <c r="N863" i="2" s="1"/>
  <c r="M864" i="2"/>
  <c r="N864" i="2" s="1"/>
  <c r="M865" i="2"/>
  <c r="M866" i="2"/>
  <c r="M867" i="2"/>
  <c r="N867" i="2" s="1"/>
  <c r="M868" i="2"/>
  <c r="M869" i="2"/>
  <c r="M870" i="2"/>
  <c r="M871" i="2"/>
  <c r="M872" i="2"/>
  <c r="M873" i="2"/>
  <c r="M874" i="2"/>
  <c r="M875" i="2"/>
  <c r="M876" i="2"/>
  <c r="N876" i="2" s="1"/>
  <c r="M877" i="2"/>
  <c r="N877" i="2" s="1"/>
  <c r="M878" i="2"/>
  <c r="M879" i="2"/>
  <c r="M880" i="2"/>
  <c r="M881" i="2"/>
  <c r="M882" i="2"/>
  <c r="M883" i="2"/>
  <c r="M884" i="2"/>
  <c r="N884" i="2" s="1"/>
  <c r="M885" i="2"/>
  <c r="N885" i="2" s="1"/>
  <c r="M886" i="2"/>
  <c r="N886" i="2" s="1"/>
  <c r="M887" i="2"/>
  <c r="O887" i="2" s="1"/>
  <c r="M888" i="2"/>
  <c r="M889" i="2"/>
  <c r="M890" i="2"/>
  <c r="M891" i="2"/>
  <c r="M892" i="2"/>
  <c r="N892" i="2" s="1"/>
  <c r="M893" i="2"/>
  <c r="N893" i="2" s="1"/>
  <c r="M894" i="2"/>
  <c r="N894" i="2" s="1"/>
  <c r="M895" i="2"/>
  <c r="Q895" i="2" s="1"/>
  <c r="M896" i="2"/>
  <c r="N896" i="2" s="1"/>
  <c r="M897" i="2"/>
  <c r="M898" i="2"/>
  <c r="M899" i="2"/>
  <c r="M900" i="2"/>
  <c r="N900" i="2" s="1"/>
  <c r="M901" i="2"/>
  <c r="N901" i="2" s="1"/>
  <c r="M902" i="2"/>
  <c r="N902" i="2" s="1"/>
  <c r="M903" i="2"/>
  <c r="N903" i="2" s="1"/>
  <c r="M904" i="2"/>
  <c r="N904" i="2" s="1"/>
  <c r="M905" i="2"/>
  <c r="M906" i="2"/>
  <c r="Q906" i="2" s="1"/>
  <c r="M907" i="2"/>
  <c r="M908" i="2"/>
  <c r="N908" i="2" s="1"/>
  <c r="M909" i="2"/>
  <c r="N909" i="2" s="1"/>
  <c r="M910" i="2"/>
  <c r="N910" i="2" s="1"/>
  <c r="M911" i="2"/>
  <c r="N911" i="2" s="1"/>
  <c r="M912" i="2"/>
  <c r="N912" i="2" s="1"/>
  <c r="M913" i="2"/>
  <c r="N913" i="2" s="1"/>
  <c r="M914" i="2"/>
  <c r="N914" i="2" s="1"/>
  <c r="M915" i="2"/>
  <c r="M916" i="2"/>
  <c r="N916" i="2" s="1"/>
  <c r="M917" i="2"/>
  <c r="N917" i="2" s="1"/>
  <c r="M918" i="2"/>
  <c r="N918" i="2" s="1"/>
  <c r="M919" i="2"/>
  <c r="O919" i="2" s="1"/>
  <c r="M920" i="2"/>
  <c r="Q920" i="2" s="1"/>
  <c r="M921" i="2"/>
  <c r="N921" i="2" s="1"/>
  <c r="M922" i="2"/>
  <c r="N922" i="2" s="1"/>
  <c r="M923" i="2"/>
  <c r="M924" i="2"/>
  <c r="N924" i="2" s="1"/>
  <c r="M925" i="2"/>
  <c r="N925" i="2" s="1"/>
  <c r="M926" i="2"/>
  <c r="N926" i="2" s="1"/>
  <c r="M927" i="2"/>
  <c r="N927" i="2" s="1"/>
  <c r="M928" i="2"/>
  <c r="N928" i="2" s="1"/>
  <c r="M929" i="2"/>
  <c r="N929" i="2" s="1"/>
  <c r="M930" i="2"/>
  <c r="N930" i="2" s="1"/>
  <c r="M931" i="2"/>
  <c r="Q931" i="2" s="1"/>
  <c r="M932" i="2"/>
  <c r="N932" i="2" s="1"/>
  <c r="M933" i="2"/>
  <c r="N933" i="2" s="1"/>
  <c r="M934" i="2"/>
  <c r="N934" i="2" s="1"/>
  <c r="M935" i="2"/>
  <c r="N935" i="2" s="1"/>
  <c r="M936" i="2"/>
  <c r="N936" i="2" s="1"/>
  <c r="M937" i="2"/>
  <c r="N937" i="2" s="1"/>
  <c r="M938" i="2"/>
  <c r="M939" i="2"/>
  <c r="M940" i="2"/>
  <c r="N940" i="2" s="1"/>
  <c r="M941" i="2"/>
  <c r="N941" i="2" s="1"/>
  <c r="M942" i="2"/>
  <c r="N942" i="2" s="1"/>
  <c r="M943" i="2"/>
  <c r="N943" i="2" s="1"/>
  <c r="M944" i="2"/>
  <c r="N944" i="2" s="1"/>
  <c r="M945" i="2"/>
  <c r="Q945" i="2" s="1"/>
  <c r="M946" i="2"/>
  <c r="N946" i="2" s="1"/>
  <c r="M947" i="2"/>
  <c r="M948" i="2"/>
  <c r="N948" i="2" s="1"/>
  <c r="M949" i="2"/>
  <c r="N949" i="2" s="1"/>
  <c r="M950" i="2"/>
  <c r="N950" i="2" s="1"/>
  <c r="M951" i="2"/>
  <c r="O951" i="2" s="1"/>
  <c r="M952" i="2"/>
  <c r="N952" i="2" s="1"/>
  <c r="M953" i="2"/>
  <c r="N953" i="2" s="1"/>
  <c r="M954" i="2"/>
  <c r="N954" i="2" s="1"/>
  <c r="M955" i="2"/>
  <c r="Q955" i="2" s="1"/>
  <c r="M956" i="2"/>
  <c r="N956" i="2" s="1"/>
  <c r="M957" i="2"/>
  <c r="N957" i="2" s="1"/>
  <c r="M958" i="2"/>
  <c r="N958" i="2" s="1"/>
  <c r="M959" i="2"/>
  <c r="N959" i="2" s="1"/>
  <c r="M960" i="2"/>
  <c r="N960" i="2" s="1"/>
  <c r="M961" i="2"/>
  <c r="N961" i="2" s="1"/>
  <c r="M962" i="2"/>
  <c r="N962" i="2" s="1"/>
  <c r="M963" i="2"/>
  <c r="M964" i="2"/>
  <c r="N964" i="2" s="1"/>
  <c r="M965" i="2"/>
  <c r="Q965" i="2" s="1"/>
  <c r="M966" i="2"/>
  <c r="N966" i="2" s="1"/>
  <c r="M967" i="2"/>
  <c r="N967" i="2" s="1"/>
  <c r="M968" i="2"/>
  <c r="N968" i="2" s="1"/>
  <c r="M969" i="2"/>
  <c r="N969" i="2" s="1"/>
  <c r="M970" i="2"/>
  <c r="N970" i="2" s="1"/>
  <c r="M971" i="2"/>
  <c r="M972" i="2"/>
  <c r="N972" i="2" s="1"/>
  <c r="M973" i="2"/>
  <c r="Q973" i="2" s="1"/>
  <c r="M974" i="2"/>
  <c r="N974" i="2" s="1"/>
  <c r="M975" i="2"/>
  <c r="N975" i="2" s="1"/>
  <c r="M976" i="2"/>
  <c r="N976" i="2" s="1"/>
  <c r="M977" i="2"/>
  <c r="N977" i="2" s="1"/>
  <c r="M978" i="2"/>
  <c r="N978" i="2" s="1"/>
  <c r="M979" i="2"/>
  <c r="M980" i="2"/>
  <c r="N980" i="2" s="1"/>
  <c r="M981" i="2"/>
  <c r="Q981" i="2" s="1"/>
  <c r="M982" i="2"/>
  <c r="N982" i="2" s="1"/>
  <c r="M983" i="2"/>
  <c r="O983" i="2" s="1"/>
  <c r="M984" i="2"/>
  <c r="N984" i="2" s="1"/>
  <c r="M985" i="2"/>
  <c r="N985" i="2" s="1"/>
  <c r="M986" i="2"/>
  <c r="N986" i="2" s="1"/>
  <c r="M987" i="2"/>
  <c r="M988" i="2"/>
  <c r="N988" i="2" s="1"/>
  <c r="M989" i="2"/>
  <c r="Q989" i="2" s="1"/>
  <c r="M990" i="2"/>
  <c r="N990" i="2" s="1"/>
  <c r="M991" i="2"/>
  <c r="N991" i="2" s="1"/>
  <c r="M992" i="2"/>
  <c r="N992" i="2" s="1"/>
  <c r="M993" i="2"/>
  <c r="N993" i="2" s="1"/>
  <c r="M994" i="2"/>
  <c r="N994" i="2" s="1"/>
  <c r="M995" i="2"/>
  <c r="M996" i="2"/>
  <c r="N996" i="2" s="1"/>
  <c r="M997" i="2"/>
  <c r="Q997" i="2" s="1"/>
  <c r="M998" i="2"/>
  <c r="N998" i="2" s="1"/>
  <c r="M999" i="2"/>
  <c r="N999" i="2" s="1"/>
  <c r="M1000" i="2"/>
  <c r="N1000" i="2" s="1"/>
  <c r="M1001" i="2"/>
  <c r="N1001" i="2" s="1"/>
  <c r="S2" i="2"/>
  <c r="R2" i="2"/>
  <c r="P2" i="2"/>
  <c r="M2" i="2"/>
  <c r="Q2" i="2" s="1"/>
  <c r="Q887" i="2" l="1"/>
  <c r="O945" i="2"/>
  <c r="N906" i="2"/>
  <c r="O528" i="2"/>
  <c r="N887" i="2"/>
  <c r="Q811" i="2"/>
  <c r="O811" i="2"/>
  <c r="Q427" i="2"/>
  <c r="O427" i="2"/>
  <c r="Q891" i="2"/>
  <c r="O891" i="2"/>
  <c r="Q851" i="2"/>
  <c r="O851" i="2"/>
  <c r="Q787" i="2"/>
  <c r="O787" i="2"/>
  <c r="O731" i="2"/>
  <c r="Q731" i="2"/>
  <c r="Q667" i="2"/>
  <c r="O667" i="2"/>
  <c r="Q611" i="2"/>
  <c r="O611" i="2"/>
  <c r="Q547" i="2"/>
  <c r="O547" i="2"/>
  <c r="Q467" i="2"/>
  <c r="O467" i="2"/>
  <c r="Q403" i="2"/>
  <c r="O403" i="2"/>
  <c r="Q347" i="2"/>
  <c r="O347" i="2"/>
  <c r="Q275" i="2"/>
  <c r="O275" i="2"/>
  <c r="Q203" i="2"/>
  <c r="O203" i="2"/>
  <c r="Q131" i="2"/>
  <c r="O131" i="2"/>
  <c r="N131" i="2"/>
  <c r="Q51" i="2"/>
  <c r="O51" i="2"/>
  <c r="N51" i="2"/>
  <c r="Q962" i="2"/>
  <c r="O962" i="2"/>
  <c r="Q954" i="2"/>
  <c r="O954" i="2"/>
  <c r="Q946" i="2"/>
  <c r="O946" i="2"/>
  <c r="Q938" i="2"/>
  <c r="O938" i="2"/>
  <c r="Q930" i="2"/>
  <c r="O930" i="2"/>
  <c r="Q922" i="2"/>
  <c r="O922" i="2"/>
  <c r="Q914" i="2"/>
  <c r="O914" i="2"/>
  <c r="Q898" i="2"/>
  <c r="O898" i="2"/>
  <c r="Q890" i="2"/>
  <c r="O890" i="2"/>
  <c r="Q882" i="2"/>
  <c r="O882" i="2"/>
  <c r="N882" i="2"/>
  <c r="Q874" i="2"/>
  <c r="O874" i="2"/>
  <c r="N874" i="2"/>
  <c r="Q866" i="2"/>
  <c r="N866" i="2"/>
  <c r="Q858" i="2"/>
  <c r="O858" i="2"/>
  <c r="N858" i="2"/>
  <c r="Q850" i="2"/>
  <c r="N850" i="2"/>
  <c r="Q842" i="2"/>
  <c r="O842" i="2"/>
  <c r="N842" i="2"/>
  <c r="Q834" i="2"/>
  <c r="N834" i="2"/>
  <c r="Q826" i="2"/>
  <c r="O826" i="2"/>
  <c r="N826" i="2"/>
  <c r="Q818" i="2"/>
  <c r="N818" i="2"/>
  <c r="Q810" i="2"/>
  <c r="O810" i="2"/>
  <c r="N810" i="2"/>
  <c r="Q802" i="2"/>
  <c r="N802" i="2"/>
  <c r="Q794" i="2"/>
  <c r="O794" i="2"/>
  <c r="N794" i="2"/>
  <c r="Q786" i="2"/>
  <c r="N786" i="2"/>
  <c r="Q778" i="2"/>
  <c r="O778" i="2"/>
  <c r="N778" i="2"/>
  <c r="Q770" i="2"/>
  <c r="N770" i="2"/>
  <c r="Q762" i="2"/>
  <c r="O762" i="2"/>
  <c r="N762" i="2"/>
  <c r="Q754" i="2"/>
  <c r="N754" i="2"/>
  <c r="Q746" i="2"/>
  <c r="O746" i="2"/>
  <c r="N746" i="2"/>
  <c r="Q738" i="2"/>
  <c r="N738" i="2"/>
  <c r="Q730" i="2"/>
  <c r="N730" i="2"/>
  <c r="O730" i="2"/>
  <c r="Q722" i="2"/>
  <c r="O722" i="2"/>
  <c r="N722" i="2"/>
  <c r="Q714" i="2"/>
  <c r="N714" i="2"/>
  <c r="O714" i="2"/>
  <c r="Q706" i="2"/>
  <c r="O706" i="2"/>
  <c r="N706" i="2"/>
  <c r="Q698" i="2"/>
  <c r="O698" i="2"/>
  <c r="N698" i="2"/>
  <c r="Q690" i="2"/>
  <c r="N690" i="2"/>
  <c r="O690" i="2"/>
  <c r="Q682" i="2"/>
  <c r="O682" i="2"/>
  <c r="N682" i="2"/>
  <c r="Q674" i="2"/>
  <c r="N674" i="2"/>
  <c r="Q666" i="2"/>
  <c r="N666" i="2"/>
  <c r="O666" i="2"/>
  <c r="Q658" i="2"/>
  <c r="O658" i="2"/>
  <c r="N658" i="2"/>
  <c r="Q650" i="2"/>
  <c r="N650" i="2"/>
  <c r="O650" i="2"/>
  <c r="Q642" i="2"/>
  <c r="O642" i="2"/>
  <c r="N642" i="2"/>
  <c r="Q634" i="2"/>
  <c r="O634" i="2"/>
  <c r="N634" i="2"/>
  <c r="Q626" i="2"/>
  <c r="N626" i="2"/>
  <c r="O626" i="2"/>
  <c r="Q618" i="2"/>
  <c r="O618" i="2"/>
  <c r="N618" i="2"/>
  <c r="Q610" i="2"/>
  <c r="N610" i="2"/>
  <c r="Q602" i="2"/>
  <c r="N602" i="2"/>
  <c r="O602" i="2"/>
  <c r="Q594" i="2"/>
  <c r="O594" i="2"/>
  <c r="N594" i="2"/>
  <c r="Q586" i="2"/>
  <c r="N586" i="2"/>
  <c r="O586" i="2"/>
  <c r="Q578" i="2"/>
  <c r="O578" i="2"/>
  <c r="N578" i="2"/>
  <c r="Q570" i="2"/>
  <c r="O570" i="2"/>
  <c r="N570" i="2"/>
  <c r="Q562" i="2"/>
  <c r="N562" i="2"/>
  <c r="O562" i="2"/>
  <c r="Q554" i="2"/>
  <c r="O554" i="2"/>
  <c r="N554" i="2"/>
  <c r="Q546" i="2"/>
  <c r="N546" i="2"/>
  <c r="Q538" i="2"/>
  <c r="N538" i="2"/>
  <c r="O538" i="2"/>
  <c r="Q530" i="2"/>
  <c r="O530" i="2"/>
  <c r="N530" i="2"/>
  <c r="Q522" i="2"/>
  <c r="N522" i="2"/>
  <c r="O522" i="2"/>
  <c r="Q514" i="2"/>
  <c r="O514" i="2"/>
  <c r="N514" i="2"/>
  <c r="Q506" i="2"/>
  <c r="O506" i="2"/>
  <c r="N506" i="2"/>
  <c r="Q498" i="2"/>
  <c r="N498" i="2"/>
  <c r="O498" i="2"/>
  <c r="Q490" i="2"/>
  <c r="O490" i="2"/>
  <c r="N490" i="2"/>
  <c r="Q482" i="2"/>
  <c r="N482" i="2"/>
  <c r="Q474" i="2"/>
  <c r="N474" i="2"/>
  <c r="O474" i="2"/>
  <c r="Q466" i="2"/>
  <c r="O466" i="2"/>
  <c r="N466" i="2"/>
  <c r="Q458" i="2"/>
  <c r="N458" i="2"/>
  <c r="O458" i="2"/>
  <c r="Q450" i="2"/>
  <c r="O450" i="2"/>
  <c r="N450" i="2"/>
  <c r="Q442" i="2"/>
  <c r="O442" i="2"/>
  <c r="N442" i="2"/>
  <c r="Q434" i="2"/>
  <c r="N434" i="2"/>
  <c r="O434" i="2"/>
  <c r="Q426" i="2"/>
  <c r="O426" i="2"/>
  <c r="N426" i="2"/>
  <c r="Q418" i="2"/>
  <c r="N418" i="2"/>
  <c r="Q410" i="2"/>
  <c r="N410" i="2"/>
  <c r="O410" i="2"/>
  <c r="Q402" i="2"/>
  <c r="O402" i="2"/>
  <c r="N402" i="2"/>
  <c r="Q394" i="2"/>
  <c r="N394" i="2"/>
  <c r="O394" i="2"/>
  <c r="Q386" i="2"/>
  <c r="O386" i="2"/>
  <c r="N386" i="2"/>
  <c r="Q378" i="2"/>
  <c r="O378" i="2"/>
  <c r="N378" i="2"/>
  <c r="Q370" i="2"/>
  <c r="N370" i="2"/>
  <c r="O370" i="2"/>
  <c r="Q362" i="2"/>
  <c r="O362" i="2"/>
  <c r="N362" i="2"/>
  <c r="Q354" i="2"/>
  <c r="N354" i="2"/>
  <c r="Q346" i="2"/>
  <c r="N346" i="2"/>
  <c r="O346" i="2"/>
  <c r="Q338" i="2"/>
  <c r="O338" i="2"/>
  <c r="N338" i="2"/>
  <c r="Q330" i="2"/>
  <c r="N330" i="2"/>
  <c r="O330" i="2"/>
  <c r="Q322" i="2"/>
  <c r="O322" i="2"/>
  <c r="N322" i="2"/>
  <c r="Q314" i="2"/>
  <c r="O314" i="2"/>
  <c r="N314" i="2"/>
  <c r="Q306" i="2"/>
  <c r="N306" i="2"/>
  <c r="O306" i="2"/>
  <c r="Q298" i="2"/>
  <c r="O298" i="2"/>
  <c r="N298" i="2"/>
  <c r="Q290" i="2"/>
  <c r="N290" i="2"/>
  <c r="Q282" i="2"/>
  <c r="N282" i="2"/>
  <c r="O282" i="2"/>
  <c r="Q274" i="2"/>
  <c r="O274" i="2"/>
  <c r="N274" i="2"/>
  <c r="Q266" i="2"/>
  <c r="N266" i="2"/>
  <c r="O266" i="2"/>
  <c r="Q258" i="2"/>
  <c r="O258" i="2"/>
  <c r="N258" i="2"/>
  <c r="Q250" i="2"/>
  <c r="O250" i="2"/>
  <c r="N250" i="2"/>
  <c r="Q242" i="2"/>
  <c r="N242" i="2"/>
  <c r="O242" i="2"/>
  <c r="Q234" i="2"/>
  <c r="O234" i="2"/>
  <c r="N234" i="2"/>
  <c r="Q226" i="2"/>
  <c r="N226" i="2"/>
  <c r="Q218" i="2"/>
  <c r="N218" i="2"/>
  <c r="O218" i="2"/>
  <c r="Q210" i="2"/>
  <c r="O210" i="2"/>
  <c r="N210" i="2"/>
  <c r="Q202" i="2"/>
  <c r="N202" i="2"/>
  <c r="O202" i="2"/>
  <c r="Q194" i="2"/>
  <c r="O194" i="2"/>
  <c r="N194" i="2"/>
  <c r="Q186" i="2"/>
  <c r="O186" i="2"/>
  <c r="N186" i="2"/>
  <c r="Q178" i="2"/>
  <c r="O178" i="2"/>
  <c r="N178" i="2"/>
  <c r="Q170" i="2"/>
  <c r="O170" i="2"/>
  <c r="N170" i="2"/>
  <c r="Q162" i="2"/>
  <c r="O162" i="2"/>
  <c r="N162" i="2"/>
  <c r="Q154" i="2"/>
  <c r="O154" i="2"/>
  <c r="N154" i="2"/>
  <c r="Q146" i="2"/>
  <c r="O146" i="2"/>
  <c r="N146" i="2"/>
  <c r="Q138" i="2"/>
  <c r="O138" i="2"/>
  <c r="N138" i="2"/>
  <c r="Q130" i="2"/>
  <c r="O130" i="2"/>
  <c r="N130" i="2"/>
  <c r="Q122" i="2"/>
  <c r="O122" i="2"/>
  <c r="N122" i="2"/>
  <c r="Q114" i="2"/>
  <c r="O114" i="2"/>
  <c r="N114" i="2"/>
  <c r="Q106" i="2"/>
  <c r="O106" i="2"/>
  <c r="N106" i="2"/>
  <c r="Q98" i="2"/>
  <c r="O98" i="2"/>
  <c r="N98" i="2"/>
  <c r="Q90" i="2"/>
  <c r="O90" i="2"/>
  <c r="N90" i="2"/>
  <c r="Q82" i="2"/>
  <c r="O82" i="2"/>
  <c r="N82" i="2"/>
  <c r="Q74" i="2"/>
  <c r="O74" i="2"/>
  <c r="N74" i="2"/>
  <c r="Q66" i="2"/>
  <c r="O66" i="2"/>
  <c r="N66" i="2"/>
  <c r="Q58" i="2"/>
  <c r="O58" i="2"/>
  <c r="N58" i="2"/>
  <c r="Q50" i="2"/>
  <c r="O50" i="2"/>
  <c r="N50" i="2"/>
  <c r="Q42" i="2"/>
  <c r="O42" i="2"/>
  <c r="N42" i="2"/>
  <c r="Q34" i="2"/>
  <c r="O34" i="2"/>
  <c r="N34" i="2"/>
  <c r="Q26" i="2"/>
  <c r="O26" i="2"/>
  <c r="N26" i="2"/>
  <c r="Q18" i="2"/>
  <c r="O18" i="2"/>
  <c r="N18" i="2"/>
  <c r="Q10" i="2"/>
  <c r="O10" i="2"/>
  <c r="N10" i="2"/>
  <c r="N945" i="2"/>
  <c r="N895" i="2"/>
  <c r="N811" i="2"/>
  <c r="N731" i="2"/>
  <c r="N667" i="2"/>
  <c r="N427" i="2"/>
  <c r="N347" i="2"/>
  <c r="O931" i="2"/>
  <c r="O818" i="2"/>
  <c r="O674" i="2"/>
  <c r="O336" i="2"/>
  <c r="Q855" i="2"/>
  <c r="Q995" i="2"/>
  <c r="O995" i="2"/>
  <c r="Q947" i="2"/>
  <c r="O947" i="2"/>
  <c r="Q875" i="2"/>
  <c r="O875" i="2"/>
  <c r="Q819" i="2"/>
  <c r="O819" i="2"/>
  <c r="Q779" i="2"/>
  <c r="O779" i="2"/>
  <c r="O723" i="2"/>
  <c r="Q723" i="2"/>
  <c r="Q675" i="2"/>
  <c r="O675" i="2"/>
  <c r="Q619" i="2"/>
  <c r="O619" i="2"/>
  <c r="Q571" i="2"/>
  <c r="O571" i="2"/>
  <c r="Q515" i="2"/>
  <c r="O515" i="2"/>
  <c r="Q459" i="2"/>
  <c r="O459" i="2"/>
  <c r="Q387" i="2"/>
  <c r="O387" i="2"/>
  <c r="Q331" i="2"/>
  <c r="O331" i="2"/>
  <c r="Q299" i="2"/>
  <c r="O299" i="2"/>
  <c r="Q243" i="2"/>
  <c r="O243" i="2"/>
  <c r="Q187" i="2"/>
  <c r="O187" i="2"/>
  <c r="Q139" i="2"/>
  <c r="O139" i="2"/>
  <c r="N139" i="2"/>
  <c r="Q83" i="2"/>
  <c r="O83" i="2"/>
  <c r="N83" i="2"/>
  <c r="Q35" i="2"/>
  <c r="O35" i="2"/>
  <c r="N35" i="2"/>
  <c r="Q970" i="2"/>
  <c r="O970" i="2"/>
  <c r="Q1001" i="2"/>
  <c r="O1001" i="2"/>
  <c r="Q993" i="2"/>
  <c r="O993" i="2"/>
  <c r="Q985" i="2"/>
  <c r="O985" i="2"/>
  <c r="Q977" i="2"/>
  <c r="O977" i="2"/>
  <c r="Q969" i="2"/>
  <c r="O969" i="2"/>
  <c r="Q961" i="2"/>
  <c r="O961" i="2"/>
  <c r="Q953" i="2"/>
  <c r="O953" i="2"/>
  <c r="Q937" i="2"/>
  <c r="O937" i="2"/>
  <c r="Q929" i="2"/>
  <c r="O929" i="2"/>
  <c r="Q921" i="2"/>
  <c r="O921" i="2"/>
  <c r="Q913" i="2"/>
  <c r="O913" i="2"/>
  <c r="Q905" i="2"/>
  <c r="N905" i="2"/>
  <c r="O905" i="2"/>
  <c r="Q897" i="2"/>
  <c r="O897" i="2"/>
  <c r="N897" i="2"/>
  <c r="Q889" i="2"/>
  <c r="N889" i="2"/>
  <c r="O889" i="2"/>
  <c r="Q881" i="2"/>
  <c r="N881" i="2"/>
  <c r="Q873" i="2"/>
  <c r="O873" i="2"/>
  <c r="N873" i="2"/>
  <c r="Q865" i="2"/>
  <c r="N865" i="2"/>
  <c r="O865" i="2"/>
  <c r="Q857" i="2"/>
  <c r="O857" i="2"/>
  <c r="N857" i="2"/>
  <c r="Q849" i="2"/>
  <c r="N849" i="2"/>
  <c r="O849" i="2"/>
  <c r="Q841" i="2"/>
  <c r="O841" i="2"/>
  <c r="N841" i="2"/>
  <c r="Q833" i="2"/>
  <c r="N833" i="2"/>
  <c r="O833" i="2"/>
  <c r="Q825" i="2"/>
  <c r="O825" i="2"/>
  <c r="N825" i="2"/>
  <c r="Q817" i="2"/>
  <c r="N817" i="2"/>
  <c r="O817" i="2"/>
  <c r="Q809" i="2"/>
  <c r="O809" i="2"/>
  <c r="N809" i="2"/>
  <c r="Q801" i="2"/>
  <c r="N801" i="2"/>
  <c r="O801" i="2"/>
  <c r="Q793" i="2"/>
  <c r="O793" i="2"/>
  <c r="N793" i="2"/>
  <c r="Q785" i="2"/>
  <c r="N785" i="2"/>
  <c r="O785" i="2"/>
  <c r="Q777" i="2"/>
  <c r="O777" i="2"/>
  <c r="N777" i="2"/>
  <c r="Q769" i="2"/>
  <c r="N769" i="2"/>
  <c r="O769" i="2"/>
  <c r="Q761" i="2"/>
  <c r="O761" i="2"/>
  <c r="N761" i="2"/>
  <c r="Q753" i="2"/>
  <c r="N753" i="2"/>
  <c r="O753" i="2"/>
  <c r="Q745" i="2"/>
  <c r="O745" i="2"/>
  <c r="N745" i="2"/>
  <c r="Q737" i="2"/>
  <c r="N737" i="2"/>
  <c r="O737" i="2"/>
  <c r="Q729" i="2"/>
  <c r="N729" i="2"/>
  <c r="O729" i="2"/>
  <c r="Q721" i="2"/>
  <c r="O721" i="2"/>
  <c r="N721" i="2"/>
  <c r="Q713" i="2"/>
  <c r="N713" i="2"/>
  <c r="O713" i="2"/>
  <c r="Q705" i="2"/>
  <c r="O705" i="2"/>
  <c r="N705" i="2"/>
  <c r="Q697" i="2"/>
  <c r="N697" i="2"/>
  <c r="Q689" i="2"/>
  <c r="N689" i="2"/>
  <c r="O689" i="2"/>
  <c r="Q681" i="2"/>
  <c r="O681" i="2"/>
  <c r="N681" i="2"/>
  <c r="Q673" i="2"/>
  <c r="N673" i="2"/>
  <c r="O673" i="2"/>
  <c r="Q665" i="2"/>
  <c r="N665" i="2"/>
  <c r="O665" i="2"/>
  <c r="Q657" i="2"/>
  <c r="O657" i="2"/>
  <c r="N657" i="2"/>
  <c r="Q649" i="2"/>
  <c r="N649" i="2"/>
  <c r="O649" i="2"/>
  <c r="Q641" i="2"/>
  <c r="O641" i="2"/>
  <c r="N641" i="2"/>
  <c r="Q633" i="2"/>
  <c r="N633" i="2"/>
  <c r="Q625" i="2"/>
  <c r="N625" i="2"/>
  <c r="O625" i="2"/>
  <c r="Q617" i="2"/>
  <c r="O617" i="2"/>
  <c r="N617" i="2"/>
  <c r="Q609" i="2"/>
  <c r="N609" i="2"/>
  <c r="O609" i="2"/>
  <c r="Q601" i="2"/>
  <c r="N601" i="2"/>
  <c r="O601" i="2"/>
  <c r="Q593" i="2"/>
  <c r="O593" i="2"/>
  <c r="N593" i="2"/>
  <c r="Q585" i="2"/>
  <c r="N585" i="2"/>
  <c r="O585" i="2"/>
  <c r="Q577" i="2"/>
  <c r="O577" i="2"/>
  <c r="N577" i="2"/>
  <c r="Q569" i="2"/>
  <c r="N569" i="2"/>
  <c r="Q561" i="2"/>
  <c r="N561" i="2"/>
  <c r="O561" i="2"/>
  <c r="Q553" i="2"/>
  <c r="O553" i="2"/>
  <c r="N553" i="2"/>
  <c r="Q545" i="2"/>
  <c r="N545" i="2"/>
  <c r="O545" i="2"/>
  <c r="Q537" i="2"/>
  <c r="N537" i="2"/>
  <c r="O537" i="2"/>
  <c r="Q529" i="2"/>
  <c r="O529" i="2"/>
  <c r="N529" i="2"/>
  <c r="Q521" i="2"/>
  <c r="N521" i="2"/>
  <c r="O521" i="2"/>
  <c r="Q513" i="2"/>
  <c r="O513" i="2"/>
  <c r="N513" i="2"/>
  <c r="Q505" i="2"/>
  <c r="N505" i="2"/>
  <c r="Q497" i="2"/>
  <c r="N497" i="2"/>
  <c r="O497" i="2"/>
  <c r="Q489" i="2"/>
  <c r="O489" i="2"/>
  <c r="N489" i="2"/>
  <c r="Q481" i="2"/>
  <c r="N481" i="2"/>
  <c r="O481" i="2"/>
  <c r="Q473" i="2"/>
  <c r="N473" i="2"/>
  <c r="O473" i="2"/>
  <c r="Q465" i="2"/>
  <c r="O465" i="2"/>
  <c r="N465" i="2"/>
  <c r="Q457" i="2"/>
  <c r="N457" i="2"/>
  <c r="O457" i="2"/>
  <c r="Q449" i="2"/>
  <c r="O449" i="2"/>
  <c r="N449" i="2"/>
  <c r="Q441" i="2"/>
  <c r="N441" i="2"/>
  <c r="Q433" i="2"/>
  <c r="N433" i="2"/>
  <c r="O433" i="2"/>
  <c r="Q425" i="2"/>
  <c r="O425" i="2"/>
  <c r="N425" i="2"/>
  <c r="Q417" i="2"/>
  <c r="N417" i="2"/>
  <c r="O417" i="2"/>
  <c r="Q409" i="2"/>
  <c r="N409" i="2"/>
  <c r="O409" i="2"/>
  <c r="Q401" i="2"/>
  <c r="O401" i="2"/>
  <c r="N401" i="2"/>
  <c r="Q393" i="2"/>
  <c r="N393" i="2"/>
  <c r="O393" i="2"/>
  <c r="Q385" i="2"/>
  <c r="O385" i="2"/>
  <c r="N385" i="2"/>
  <c r="Q377" i="2"/>
  <c r="N377" i="2"/>
  <c r="Q369" i="2"/>
  <c r="N369" i="2"/>
  <c r="O369" i="2"/>
  <c r="Q361" i="2"/>
  <c r="O361" i="2"/>
  <c r="N361" i="2"/>
  <c r="Q353" i="2"/>
  <c r="N353" i="2"/>
  <c r="O353" i="2"/>
  <c r="Q345" i="2"/>
  <c r="N345" i="2"/>
  <c r="O345" i="2"/>
  <c r="Q337" i="2"/>
  <c r="O337" i="2"/>
  <c r="N337" i="2"/>
  <c r="Q329" i="2"/>
  <c r="N329" i="2"/>
  <c r="O329" i="2"/>
  <c r="Q321" i="2"/>
  <c r="O321" i="2"/>
  <c r="N321" i="2"/>
  <c r="Q313" i="2"/>
  <c r="N313" i="2"/>
  <c r="Q305" i="2"/>
  <c r="N305" i="2"/>
  <c r="O305" i="2"/>
  <c r="Q297" i="2"/>
  <c r="O297" i="2"/>
  <c r="N297" i="2"/>
  <c r="Q289" i="2"/>
  <c r="N289" i="2"/>
  <c r="O289" i="2"/>
  <c r="Q281" i="2"/>
  <c r="N281" i="2"/>
  <c r="O281" i="2"/>
  <c r="Q273" i="2"/>
  <c r="O273" i="2"/>
  <c r="N273" i="2"/>
  <c r="Q265" i="2"/>
  <c r="N265" i="2"/>
  <c r="O265" i="2"/>
  <c r="Q257" i="2"/>
  <c r="O257" i="2"/>
  <c r="N257" i="2"/>
  <c r="Q249" i="2"/>
  <c r="N249" i="2"/>
  <c r="Q241" i="2"/>
  <c r="N241" i="2"/>
  <c r="O241" i="2"/>
  <c r="Q233" i="2"/>
  <c r="O233" i="2"/>
  <c r="N233" i="2"/>
  <c r="Q225" i="2"/>
  <c r="N225" i="2"/>
  <c r="O225" i="2"/>
  <c r="Q217" i="2"/>
  <c r="N217" i="2"/>
  <c r="O217" i="2"/>
  <c r="Q209" i="2"/>
  <c r="O209" i="2"/>
  <c r="N209" i="2"/>
  <c r="Q201" i="2"/>
  <c r="N201" i="2"/>
  <c r="O201" i="2"/>
  <c r="Q193" i="2"/>
  <c r="O193" i="2"/>
  <c r="N193" i="2"/>
  <c r="Q185" i="2"/>
  <c r="O185" i="2"/>
  <c r="N185" i="2"/>
  <c r="Q177" i="2"/>
  <c r="N177" i="2"/>
  <c r="O177" i="2"/>
  <c r="Q169" i="2"/>
  <c r="N169" i="2"/>
  <c r="O169" i="2"/>
  <c r="Q161" i="2"/>
  <c r="O161" i="2"/>
  <c r="N161" i="2"/>
  <c r="Q153" i="2"/>
  <c r="O153" i="2"/>
  <c r="N153" i="2"/>
  <c r="Q145" i="2"/>
  <c r="N145" i="2"/>
  <c r="O145" i="2"/>
  <c r="Q137" i="2"/>
  <c r="N137" i="2"/>
  <c r="O137" i="2"/>
  <c r="Q129" i="2"/>
  <c r="O129" i="2"/>
  <c r="N129" i="2"/>
  <c r="Q121" i="2"/>
  <c r="O121" i="2"/>
  <c r="N121" i="2"/>
  <c r="Q113" i="2"/>
  <c r="N113" i="2"/>
  <c r="O113" i="2"/>
  <c r="Q105" i="2"/>
  <c r="N105" i="2"/>
  <c r="O105" i="2"/>
  <c r="Q97" i="2"/>
  <c r="O97" i="2"/>
  <c r="N97" i="2"/>
  <c r="Q89" i="2"/>
  <c r="O89" i="2"/>
  <c r="N89" i="2"/>
  <c r="Q81" i="2"/>
  <c r="N81" i="2"/>
  <c r="O81" i="2"/>
  <c r="Q73" i="2"/>
  <c r="N73" i="2"/>
  <c r="O73" i="2"/>
  <c r="Q65" i="2"/>
  <c r="O65" i="2"/>
  <c r="N65" i="2"/>
  <c r="Q57" i="2"/>
  <c r="O57" i="2"/>
  <c r="N57" i="2"/>
  <c r="Q49" i="2"/>
  <c r="N49" i="2"/>
  <c r="O49" i="2"/>
  <c r="Q41" i="2"/>
  <c r="N41" i="2"/>
  <c r="O41" i="2"/>
  <c r="Q33" i="2"/>
  <c r="O33" i="2"/>
  <c r="N33" i="2"/>
  <c r="Q25" i="2"/>
  <c r="O25" i="2"/>
  <c r="N25" i="2"/>
  <c r="Q17" i="2"/>
  <c r="N17" i="2"/>
  <c r="O17" i="2"/>
  <c r="Q9" i="2"/>
  <c r="N9" i="2"/>
  <c r="O9" i="2"/>
  <c r="N920" i="2"/>
  <c r="N875" i="2"/>
  <c r="O997" i="2"/>
  <c r="O920" i="2"/>
  <c r="O802" i="2"/>
  <c r="O656" i="2"/>
  <c r="O482" i="2"/>
  <c r="O313" i="2"/>
  <c r="Q823" i="2"/>
  <c r="Q979" i="2"/>
  <c r="O979" i="2"/>
  <c r="Q883" i="2"/>
  <c r="O883" i="2"/>
  <c r="Q827" i="2"/>
  <c r="O827" i="2"/>
  <c r="Q747" i="2"/>
  <c r="O747" i="2"/>
  <c r="O683" i="2"/>
  <c r="Q683" i="2"/>
  <c r="Q635" i="2"/>
  <c r="O635" i="2"/>
  <c r="Q579" i="2"/>
  <c r="O579" i="2"/>
  <c r="Q523" i="2"/>
  <c r="O523" i="2"/>
  <c r="Q491" i="2"/>
  <c r="O491" i="2"/>
  <c r="Q435" i="2"/>
  <c r="O435" i="2"/>
  <c r="Q379" i="2"/>
  <c r="O379" i="2"/>
  <c r="Q315" i="2"/>
  <c r="O315" i="2"/>
  <c r="Q251" i="2"/>
  <c r="O251" i="2"/>
  <c r="Q211" i="2"/>
  <c r="O211" i="2"/>
  <c r="Q155" i="2"/>
  <c r="O155" i="2"/>
  <c r="N155" i="2"/>
  <c r="Q91" i="2"/>
  <c r="O91" i="2"/>
  <c r="N91" i="2"/>
  <c r="Q27" i="2"/>
  <c r="O27" i="2"/>
  <c r="N27" i="2"/>
  <c r="Q984" i="2"/>
  <c r="O984" i="2"/>
  <c r="Q960" i="2"/>
  <c r="O960" i="2"/>
  <c r="Q952" i="2"/>
  <c r="O952" i="2"/>
  <c r="Q912" i="2"/>
  <c r="O912" i="2"/>
  <c r="Q904" i="2"/>
  <c r="O904" i="2"/>
  <c r="Q896" i="2"/>
  <c r="O896" i="2"/>
  <c r="Q888" i="2"/>
  <c r="O888" i="2"/>
  <c r="Q880" i="2"/>
  <c r="O880" i="2"/>
  <c r="Q872" i="2"/>
  <c r="O872" i="2"/>
  <c r="Q864" i="2"/>
  <c r="O864" i="2"/>
  <c r="Q856" i="2"/>
  <c r="O856" i="2"/>
  <c r="Q848" i="2"/>
  <c r="O848" i="2"/>
  <c r="Q840" i="2"/>
  <c r="O840" i="2"/>
  <c r="Q832" i="2"/>
  <c r="O832" i="2"/>
  <c r="Q824" i="2"/>
  <c r="O824" i="2"/>
  <c r="Q816" i="2"/>
  <c r="O816" i="2"/>
  <c r="Q808" i="2"/>
  <c r="O808" i="2"/>
  <c r="Q800" i="2"/>
  <c r="O800" i="2"/>
  <c r="Q792" i="2"/>
  <c r="O792" i="2"/>
  <c r="Q784" i="2"/>
  <c r="O784" i="2"/>
  <c r="Q776" i="2"/>
  <c r="O776" i="2"/>
  <c r="Q768" i="2"/>
  <c r="O768" i="2"/>
  <c r="Q760" i="2"/>
  <c r="O760" i="2"/>
  <c r="Q752" i="2"/>
  <c r="O752" i="2"/>
  <c r="Q744" i="2"/>
  <c r="O744" i="2"/>
  <c r="Q736" i="2"/>
  <c r="O736" i="2"/>
  <c r="Q728" i="2"/>
  <c r="O728" i="2"/>
  <c r="Q712" i="2"/>
  <c r="O712" i="2"/>
  <c r="Q704" i="2"/>
  <c r="O704" i="2"/>
  <c r="Q696" i="2"/>
  <c r="O696" i="2"/>
  <c r="Q688" i="2"/>
  <c r="O688" i="2"/>
  <c r="Q680" i="2"/>
  <c r="O680" i="2"/>
  <c r="Q672" i="2"/>
  <c r="O672" i="2"/>
  <c r="Q664" i="2"/>
  <c r="O664" i="2"/>
  <c r="Q648" i="2"/>
  <c r="O648" i="2"/>
  <c r="Q640" i="2"/>
  <c r="O640" i="2"/>
  <c r="Q632" i="2"/>
  <c r="O632" i="2"/>
  <c r="Q624" i="2"/>
  <c r="O624" i="2"/>
  <c r="Q616" i="2"/>
  <c r="O616" i="2"/>
  <c r="Q608" i="2"/>
  <c r="O608" i="2"/>
  <c r="Q600" i="2"/>
  <c r="O600" i="2"/>
  <c r="Q584" i="2"/>
  <c r="O584" i="2"/>
  <c r="Q576" i="2"/>
  <c r="O576" i="2"/>
  <c r="Q568" i="2"/>
  <c r="O568" i="2"/>
  <c r="Q560" i="2"/>
  <c r="O560" i="2"/>
  <c r="Q552" i="2"/>
  <c r="O552" i="2"/>
  <c r="Q544" i="2"/>
  <c r="O544" i="2"/>
  <c r="Q536" i="2"/>
  <c r="O536" i="2"/>
  <c r="Q520" i="2"/>
  <c r="O520" i="2"/>
  <c r="Q512" i="2"/>
  <c r="O512" i="2"/>
  <c r="Q504" i="2"/>
  <c r="O504" i="2"/>
  <c r="Q496" i="2"/>
  <c r="O496" i="2"/>
  <c r="Q488" i="2"/>
  <c r="O488" i="2"/>
  <c r="Q480" i="2"/>
  <c r="O480" i="2"/>
  <c r="Q472" i="2"/>
  <c r="O472" i="2"/>
  <c r="Q456" i="2"/>
  <c r="O456" i="2"/>
  <c r="Q448" i="2"/>
  <c r="O448" i="2"/>
  <c r="Q440" i="2"/>
  <c r="O440" i="2"/>
  <c r="Q432" i="2"/>
  <c r="O432" i="2"/>
  <c r="Q424" i="2"/>
  <c r="O424" i="2"/>
  <c r="Q416" i="2"/>
  <c r="O416" i="2"/>
  <c r="Q408" i="2"/>
  <c r="O408" i="2"/>
  <c r="Q392" i="2"/>
  <c r="O392" i="2"/>
  <c r="Q384" i="2"/>
  <c r="O384" i="2"/>
  <c r="Q376" i="2"/>
  <c r="O376" i="2"/>
  <c r="Q368" i="2"/>
  <c r="O368" i="2"/>
  <c r="Q360" i="2"/>
  <c r="O360" i="2"/>
  <c r="Q352" i="2"/>
  <c r="O352" i="2"/>
  <c r="Q344" i="2"/>
  <c r="O344" i="2"/>
  <c r="Q328" i="2"/>
  <c r="O328" i="2"/>
  <c r="Q320" i="2"/>
  <c r="O320" i="2"/>
  <c r="N320" i="2"/>
  <c r="Q312" i="2"/>
  <c r="N312" i="2"/>
  <c r="O312" i="2"/>
  <c r="Q304" i="2"/>
  <c r="N304" i="2"/>
  <c r="O304" i="2"/>
  <c r="Q296" i="2"/>
  <c r="O296" i="2"/>
  <c r="N296" i="2"/>
  <c r="Q288" i="2"/>
  <c r="N288" i="2"/>
  <c r="O288" i="2"/>
  <c r="Q280" i="2"/>
  <c r="N280" i="2"/>
  <c r="O280" i="2"/>
  <c r="Q272" i="2"/>
  <c r="N272" i="2"/>
  <c r="Q264" i="2"/>
  <c r="N264" i="2"/>
  <c r="O264" i="2"/>
  <c r="Q256" i="2"/>
  <c r="O256" i="2"/>
  <c r="N256" i="2"/>
  <c r="Q248" i="2"/>
  <c r="N248" i="2"/>
  <c r="O248" i="2"/>
  <c r="Q240" i="2"/>
  <c r="N240" i="2"/>
  <c r="O240" i="2"/>
  <c r="Q232" i="2"/>
  <c r="O232" i="2"/>
  <c r="N232" i="2"/>
  <c r="Q224" i="2"/>
  <c r="N224" i="2"/>
  <c r="O224" i="2"/>
  <c r="Q216" i="2"/>
  <c r="N216" i="2"/>
  <c r="O216" i="2"/>
  <c r="Q208" i="2"/>
  <c r="N208" i="2"/>
  <c r="Q200" i="2"/>
  <c r="N200" i="2"/>
  <c r="O200" i="2"/>
  <c r="Q192" i="2"/>
  <c r="O192" i="2"/>
  <c r="N192" i="2"/>
  <c r="Q184" i="2"/>
  <c r="N184" i="2"/>
  <c r="Q176" i="2"/>
  <c r="N176" i="2"/>
  <c r="O176" i="2"/>
  <c r="Q168" i="2"/>
  <c r="N168" i="2"/>
  <c r="O168" i="2"/>
  <c r="Q160" i="2"/>
  <c r="O160" i="2"/>
  <c r="N160" i="2"/>
  <c r="Q152" i="2"/>
  <c r="N152" i="2"/>
  <c r="Q144" i="2"/>
  <c r="N144" i="2"/>
  <c r="O144" i="2"/>
  <c r="Q136" i="2"/>
  <c r="N136" i="2"/>
  <c r="O136" i="2"/>
  <c r="Q128" i="2"/>
  <c r="O128" i="2"/>
  <c r="N128" i="2"/>
  <c r="Q120" i="2"/>
  <c r="N120" i="2"/>
  <c r="Q112" i="2"/>
  <c r="N112" i="2"/>
  <c r="O112" i="2"/>
  <c r="Q104" i="2"/>
  <c r="N104" i="2"/>
  <c r="O104" i="2"/>
  <c r="Q96" i="2"/>
  <c r="O96" i="2"/>
  <c r="N96" i="2"/>
  <c r="Q88" i="2"/>
  <c r="N88" i="2"/>
  <c r="Q80" i="2"/>
  <c r="N80" i="2"/>
  <c r="O80" i="2"/>
  <c r="Q72" i="2"/>
  <c r="N72" i="2"/>
  <c r="O72" i="2"/>
  <c r="Q64" i="2"/>
  <c r="O64" i="2"/>
  <c r="N64" i="2"/>
  <c r="Q56" i="2"/>
  <c r="N56" i="2"/>
  <c r="Q48" i="2"/>
  <c r="N48" i="2"/>
  <c r="O48" i="2"/>
  <c r="Q40" i="2"/>
  <c r="N40" i="2"/>
  <c r="O40" i="2"/>
  <c r="Q32" i="2"/>
  <c r="O32" i="2"/>
  <c r="N32" i="2"/>
  <c r="Q24" i="2"/>
  <c r="N24" i="2"/>
  <c r="Q16" i="2"/>
  <c r="N16" i="2"/>
  <c r="O16" i="2"/>
  <c r="Q8" i="2"/>
  <c r="N8" i="2"/>
  <c r="O8" i="2"/>
  <c r="N983" i="2"/>
  <c r="N951" i="2"/>
  <c r="N919" i="2"/>
  <c r="N872" i="2"/>
  <c r="N823" i="2"/>
  <c r="N791" i="2"/>
  <c r="N759" i="2"/>
  <c r="N727" i="2"/>
  <c r="N695" i="2"/>
  <c r="N203" i="2"/>
  <c r="O989" i="2"/>
  <c r="O906" i="2"/>
  <c r="O786" i="2"/>
  <c r="O633" i="2"/>
  <c r="O464" i="2"/>
  <c r="O290" i="2"/>
  <c r="O88" i="2"/>
  <c r="Q791" i="2"/>
  <c r="Q963" i="2"/>
  <c r="O963" i="2"/>
  <c r="Q915" i="2"/>
  <c r="O915" i="2"/>
  <c r="Q859" i="2"/>
  <c r="O859" i="2"/>
  <c r="Q803" i="2"/>
  <c r="O803" i="2"/>
  <c r="Q755" i="2"/>
  <c r="O755" i="2"/>
  <c r="O699" i="2"/>
  <c r="Q699" i="2"/>
  <c r="Q651" i="2"/>
  <c r="O651" i="2"/>
  <c r="Q595" i="2"/>
  <c r="O595" i="2"/>
  <c r="Q531" i="2"/>
  <c r="O531" i="2"/>
  <c r="Q475" i="2"/>
  <c r="O475" i="2"/>
  <c r="Q411" i="2"/>
  <c r="O411" i="2"/>
  <c r="Q363" i="2"/>
  <c r="O363" i="2"/>
  <c r="Q307" i="2"/>
  <c r="O307" i="2"/>
  <c r="Q267" i="2"/>
  <c r="O267" i="2"/>
  <c r="Q219" i="2"/>
  <c r="O219" i="2"/>
  <c r="Q171" i="2"/>
  <c r="O171" i="2"/>
  <c r="Q107" i="2"/>
  <c r="O107" i="2"/>
  <c r="N107" i="2"/>
  <c r="Q59" i="2"/>
  <c r="O59" i="2"/>
  <c r="N59" i="2"/>
  <c r="Q3" i="2"/>
  <c r="O3" i="2"/>
  <c r="N3" i="2"/>
  <c r="Q986" i="2"/>
  <c r="O986" i="2"/>
  <c r="Q978" i="2"/>
  <c r="O978" i="2"/>
  <c r="Q976" i="2"/>
  <c r="O976" i="2"/>
  <c r="Q879" i="2"/>
  <c r="O879" i="2"/>
  <c r="O871" i="2"/>
  <c r="Q871" i="2"/>
  <c r="O863" i="2"/>
  <c r="Q863" i="2"/>
  <c r="O847" i="2"/>
  <c r="Q847" i="2"/>
  <c r="O839" i="2"/>
  <c r="Q839" i="2"/>
  <c r="O831" i="2"/>
  <c r="Q831" i="2"/>
  <c r="O815" i="2"/>
  <c r="Q815" i="2"/>
  <c r="O807" i="2"/>
  <c r="Q807" i="2"/>
  <c r="O799" i="2"/>
  <c r="Q799" i="2"/>
  <c r="O783" i="2"/>
  <c r="Q783" i="2"/>
  <c r="O775" i="2"/>
  <c r="Q775" i="2"/>
  <c r="O767" i="2"/>
  <c r="Q767" i="2"/>
  <c r="O751" i="2"/>
  <c r="Q751" i="2"/>
  <c r="O743" i="2"/>
  <c r="Q743" i="2"/>
  <c r="O735" i="2"/>
  <c r="Q735" i="2"/>
  <c r="O719" i="2"/>
  <c r="Q719" i="2"/>
  <c r="O711" i="2"/>
  <c r="Q711" i="2"/>
  <c r="O703" i="2"/>
  <c r="Q703" i="2"/>
  <c r="O687" i="2"/>
  <c r="Q687" i="2"/>
  <c r="Q679" i="2"/>
  <c r="O679" i="2"/>
  <c r="Q671" i="2"/>
  <c r="O671" i="2"/>
  <c r="Q663" i="2"/>
  <c r="O663" i="2"/>
  <c r="Q655" i="2"/>
  <c r="O655" i="2"/>
  <c r="Q647" i="2"/>
  <c r="O647" i="2"/>
  <c r="Q639" i="2"/>
  <c r="O639" i="2"/>
  <c r="Q631" i="2"/>
  <c r="O631" i="2"/>
  <c r="Q623" i="2"/>
  <c r="O623" i="2"/>
  <c r="Q615" i="2"/>
  <c r="O615" i="2"/>
  <c r="Q607" i="2"/>
  <c r="O607" i="2"/>
  <c r="Q599" i="2"/>
  <c r="O599" i="2"/>
  <c r="Q591" i="2"/>
  <c r="O591" i="2"/>
  <c r="Q583" i="2"/>
  <c r="O583" i="2"/>
  <c r="Q575" i="2"/>
  <c r="O575" i="2"/>
  <c r="Q567" i="2"/>
  <c r="O567" i="2"/>
  <c r="Q559" i="2"/>
  <c r="O559" i="2"/>
  <c r="Q551" i="2"/>
  <c r="O551" i="2"/>
  <c r="Q543" i="2"/>
  <c r="O543" i="2"/>
  <c r="Q535" i="2"/>
  <c r="O535" i="2"/>
  <c r="Q527" i="2"/>
  <c r="O527" i="2"/>
  <c r="Q519" i="2"/>
  <c r="O519" i="2"/>
  <c r="Q511" i="2"/>
  <c r="O511" i="2"/>
  <c r="Q503" i="2"/>
  <c r="O503" i="2"/>
  <c r="Q495" i="2"/>
  <c r="O495" i="2"/>
  <c r="Q487" i="2"/>
  <c r="O487" i="2"/>
  <c r="Q479" i="2"/>
  <c r="O479" i="2"/>
  <c r="Q471" i="2"/>
  <c r="O471" i="2"/>
  <c r="Q463" i="2"/>
  <c r="O463" i="2"/>
  <c r="Q455" i="2"/>
  <c r="O455" i="2"/>
  <c r="Q447" i="2"/>
  <c r="O447" i="2"/>
  <c r="Q439" i="2"/>
  <c r="O439" i="2"/>
  <c r="Q431" i="2"/>
  <c r="O431" i="2"/>
  <c r="Q423" i="2"/>
  <c r="O423" i="2"/>
  <c r="Q415" i="2"/>
  <c r="O415" i="2"/>
  <c r="Q407" i="2"/>
  <c r="O407" i="2"/>
  <c r="Q399" i="2"/>
  <c r="O399" i="2"/>
  <c r="Q391" i="2"/>
  <c r="O391" i="2"/>
  <c r="Q383" i="2"/>
  <c r="O383" i="2"/>
  <c r="Q375" i="2"/>
  <c r="O375" i="2"/>
  <c r="Q367" i="2"/>
  <c r="O367" i="2"/>
  <c r="Q359" i="2"/>
  <c r="O359" i="2"/>
  <c r="Q351" i="2"/>
  <c r="O351" i="2"/>
  <c r="Q343" i="2"/>
  <c r="O343" i="2"/>
  <c r="Q335" i="2"/>
  <c r="O335" i="2"/>
  <c r="Q327" i="2"/>
  <c r="O327" i="2"/>
  <c r="Q319" i="2"/>
  <c r="O319" i="2"/>
  <c r="Q311" i="2"/>
  <c r="O311" i="2"/>
  <c r="Q303" i="2"/>
  <c r="O303" i="2"/>
  <c r="Q295" i="2"/>
  <c r="O295" i="2"/>
  <c r="Q287" i="2"/>
  <c r="O287" i="2"/>
  <c r="Q279" i="2"/>
  <c r="O279" i="2"/>
  <c r="Q271" i="2"/>
  <c r="O271" i="2"/>
  <c r="Q263" i="2"/>
  <c r="O263" i="2"/>
  <c r="Q255" i="2"/>
  <c r="O255" i="2"/>
  <c r="N255" i="2"/>
  <c r="Q247" i="2"/>
  <c r="O247" i="2"/>
  <c r="N247" i="2"/>
  <c r="Q239" i="2"/>
  <c r="O239" i="2"/>
  <c r="N239" i="2"/>
  <c r="Q231" i="2"/>
  <c r="O231" i="2"/>
  <c r="N231" i="2"/>
  <c r="Q223" i="2"/>
  <c r="O223" i="2"/>
  <c r="N223" i="2"/>
  <c r="Q215" i="2"/>
  <c r="O215" i="2"/>
  <c r="N215" i="2"/>
  <c r="Q207" i="2"/>
  <c r="O207" i="2"/>
  <c r="N207" i="2"/>
  <c r="Q199" i="2"/>
  <c r="O199" i="2"/>
  <c r="N199" i="2"/>
  <c r="Q191" i="2"/>
  <c r="O191" i="2"/>
  <c r="N191" i="2"/>
  <c r="Q183" i="2"/>
  <c r="O183" i="2"/>
  <c r="N183" i="2"/>
  <c r="Q175" i="2"/>
  <c r="O175" i="2"/>
  <c r="N175" i="2"/>
  <c r="Q167" i="2"/>
  <c r="O167" i="2"/>
  <c r="N167" i="2"/>
  <c r="Q159" i="2"/>
  <c r="O159" i="2"/>
  <c r="N159" i="2"/>
  <c r="Q151" i="2"/>
  <c r="O151" i="2"/>
  <c r="N151" i="2"/>
  <c r="Q143" i="2"/>
  <c r="O143" i="2"/>
  <c r="N143" i="2"/>
  <c r="Q135" i="2"/>
  <c r="O135" i="2"/>
  <c r="N135" i="2"/>
  <c r="Q127" i="2"/>
  <c r="O127" i="2"/>
  <c r="N127" i="2"/>
  <c r="Q119" i="2"/>
  <c r="O119" i="2"/>
  <c r="N119" i="2"/>
  <c r="Q111" i="2"/>
  <c r="O111" i="2"/>
  <c r="N111" i="2"/>
  <c r="Q103" i="2"/>
  <c r="O103" i="2"/>
  <c r="N103" i="2"/>
  <c r="Q95" i="2"/>
  <c r="O95" i="2"/>
  <c r="N95" i="2"/>
  <c r="Q87" i="2"/>
  <c r="O87" i="2"/>
  <c r="N87" i="2"/>
  <c r="Q79" i="2"/>
  <c r="O79" i="2"/>
  <c r="N79" i="2"/>
  <c r="Q71" i="2"/>
  <c r="O71" i="2"/>
  <c r="N71" i="2"/>
  <c r="Q63" i="2"/>
  <c r="O63" i="2"/>
  <c r="N63" i="2"/>
  <c r="Q55" i="2"/>
  <c r="O55" i="2"/>
  <c r="N55" i="2"/>
  <c r="Q47" i="2"/>
  <c r="O47" i="2"/>
  <c r="N47" i="2"/>
  <c r="Q39" i="2"/>
  <c r="O39" i="2"/>
  <c r="N39" i="2"/>
  <c r="Q31" i="2"/>
  <c r="O31" i="2"/>
  <c r="N31" i="2"/>
  <c r="Q23" i="2"/>
  <c r="O23" i="2"/>
  <c r="N23" i="2"/>
  <c r="Q15" i="2"/>
  <c r="O15" i="2"/>
  <c r="N15" i="2"/>
  <c r="Q7" i="2"/>
  <c r="O7" i="2"/>
  <c r="N7" i="2"/>
  <c r="N883" i="2"/>
  <c r="N871" i="2"/>
  <c r="N851" i="2"/>
  <c r="N303" i="2"/>
  <c r="O981" i="2"/>
  <c r="O895" i="2"/>
  <c r="O770" i="2"/>
  <c r="O610" i="2"/>
  <c r="O441" i="2"/>
  <c r="O272" i="2"/>
  <c r="O56" i="2"/>
  <c r="Q759" i="2"/>
  <c r="Q971" i="2"/>
  <c r="O971" i="2"/>
  <c r="Q923" i="2"/>
  <c r="O923" i="2"/>
  <c r="Q843" i="2"/>
  <c r="O843" i="2"/>
  <c r="Q771" i="2"/>
  <c r="O771" i="2"/>
  <c r="O707" i="2"/>
  <c r="Q707" i="2"/>
  <c r="Q643" i="2"/>
  <c r="O643" i="2"/>
  <c r="Q587" i="2"/>
  <c r="O587" i="2"/>
  <c r="Q539" i="2"/>
  <c r="O539" i="2"/>
  <c r="Q507" i="2"/>
  <c r="O507" i="2"/>
  <c r="Q451" i="2"/>
  <c r="O451" i="2"/>
  <c r="Q395" i="2"/>
  <c r="O395" i="2"/>
  <c r="Q355" i="2"/>
  <c r="O355" i="2"/>
  <c r="Q291" i="2"/>
  <c r="O291" i="2"/>
  <c r="Q235" i="2"/>
  <c r="O235" i="2"/>
  <c r="Q179" i="2"/>
  <c r="O179" i="2"/>
  <c r="Q123" i="2"/>
  <c r="O123" i="2"/>
  <c r="N123" i="2"/>
  <c r="Q75" i="2"/>
  <c r="O75" i="2"/>
  <c r="N75" i="2"/>
  <c r="Q19" i="2"/>
  <c r="O19" i="2"/>
  <c r="N19" i="2"/>
  <c r="N315" i="2"/>
  <c r="Q968" i="2"/>
  <c r="O968" i="2"/>
  <c r="Q928" i="2"/>
  <c r="O928" i="2"/>
  <c r="Q991" i="2"/>
  <c r="O991" i="2"/>
  <c r="O967" i="2"/>
  <c r="Q967" i="2"/>
  <c r="O935" i="2"/>
  <c r="Q935" i="2"/>
  <c r="Q927" i="2"/>
  <c r="O927" i="2"/>
  <c r="O911" i="2"/>
  <c r="Q911" i="2"/>
  <c r="Q903" i="2"/>
  <c r="O903" i="2"/>
  <c r="O998" i="2"/>
  <c r="Q998" i="2"/>
  <c r="Q990" i="2"/>
  <c r="O990" i="2"/>
  <c r="O982" i="2"/>
  <c r="Q982" i="2"/>
  <c r="O974" i="2"/>
  <c r="Q974" i="2"/>
  <c r="O966" i="2"/>
  <c r="Q966" i="2"/>
  <c r="Q958" i="2"/>
  <c r="O958" i="2"/>
  <c r="O950" i="2"/>
  <c r="Q950" i="2"/>
  <c r="O942" i="2"/>
  <c r="Q942" i="2"/>
  <c r="O934" i="2"/>
  <c r="Q934" i="2"/>
  <c r="O926" i="2"/>
  <c r="Q926" i="2"/>
  <c r="O918" i="2"/>
  <c r="Q918" i="2"/>
  <c r="O910" i="2"/>
  <c r="Q910" i="2"/>
  <c r="O902" i="2"/>
  <c r="Q902" i="2"/>
  <c r="O894" i="2"/>
  <c r="Q894" i="2"/>
  <c r="O886" i="2"/>
  <c r="Q886" i="2"/>
  <c r="O878" i="2"/>
  <c r="Q878" i="2"/>
  <c r="O870" i="2"/>
  <c r="Q870" i="2"/>
  <c r="O862" i="2"/>
  <c r="Q862" i="2"/>
  <c r="O854" i="2"/>
  <c r="Q854" i="2"/>
  <c r="O846" i="2"/>
  <c r="Q846" i="2"/>
  <c r="O838" i="2"/>
  <c r="Q838" i="2"/>
  <c r="O830" i="2"/>
  <c r="Q830" i="2"/>
  <c r="O822" i="2"/>
  <c r="Q822" i="2"/>
  <c r="O814" i="2"/>
  <c r="Q814" i="2"/>
  <c r="O806" i="2"/>
  <c r="Q806" i="2"/>
  <c r="O798" i="2"/>
  <c r="Q798" i="2"/>
  <c r="O790" i="2"/>
  <c r="Q790" i="2"/>
  <c r="O782" i="2"/>
  <c r="Q782" i="2"/>
  <c r="O774" i="2"/>
  <c r="Q774" i="2"/>
  <c r="O766" i="2"/>
  <c r="Q766" i="2"/>
  <c r="O758" i="2"/>
  <c r="Q758" i="2"/>
  <c r="O750" i="2"/>
  <c r="Q750" i="2"/>
  <c r="O742" i="2"/>
  <c r="Q742" i="2"/>
  <c r="O734" i="2"/>
  <c r="Q734" i="2"/>
  <c r="O726" i="2"/>
  <c r="Q726" i="2"/>
  <c r="O718" i="2"/>
  <c r="Q718" i="2"/>
  <c r="O710" i="2"/>
  <c r="Q710" i="2"/>
  <c r="O702" i="2"/>
  <c r="Q702" i="2"/>
  <c r="O694" i="2"/>
  <c r="Q694" i="2"/>
  <c r="O686" i="2"/>
  <c r="Q686" i="2"/>
  <c r="Q678" i="2"/>
  <c r="O678" i="2"/>
  <c r="Q670" i="2"/>
  <c r="O670" i="2"/>
  <c r="Q662" i="2"/>
  <c r="O662" i="2"/>
  <c r="Q654" i="2"/>
  <c r="O654" i="2"/>
  <c r="Q646" i="2"/>
  <c r="O646" i="2"/>
  <c r="Q638" i="2"/>
  <c r="O638" i="2"/>
  <c r="Q630" i="2"/>
  <c r="O630" i="2"/>
  <c r="Q622" i="2"/>
  <c r="O622" i="2"/>
  <c r="Q614" i="2"/>
  <c r="O614" i="2"/>
  <c r="Q606" i="2"/>
  <c r="O606" i="2"/>
  <c r="Q598" i="2"/>
  <c r="O598" i="2"/>
  <c r="Q590" i="2"/>
  <c r="O590" i="2"/>
  <c r="Q582" i="2"/>
  <c r="O582" i="2"/>
  <c r="Q574" i="2"/>
  <c r="O574" i="2"/>
  <c r="Q566" i="2"/>
  <c r="O566" i="2"/>
  <c r="Q558" i="2"/>
  <c r="O558" i="2"/>
  <c r="Q550" i="2"/>
  <c r="O550" i="2"/>
  <c r="Q542" i="2"/>
  <c r="O542" i="2"/>
  <c r="Q534" i="2"/>
  <c r="O534" i="2"/>
  <c r="Q526" i="2"/>
  <c r="O526" i="2"/>
  <c r="Q518" i="2"/>
  <c r="O518" i="2"/>
  <c r="Q510" i="2"/>
  <c r="O510" i="2"/>
  <c r="Q502" i="2"/>
  <c r="O502" i="2"/>
  <c r="Q494" i="2"/>
  <c r="O494" i="2"/>
  <c r="Q486" i="2"/>
  <c r="O486" i="2"/>
  <c r="Q478" i="2"/>
  <c r="O478" i="2"/>
  <c r="Q470" i="2"/>
  <c r="O470" i="2"/>
  <c r="Q462" i="2"/>
  <c r="O462" i="2"/>
  <c r="Q454" i="2"/>
  <c r="O454" i="2"/>
  <c r="Q446" i="2"/>
  <c r="O446" i="2"/>
  <c r="Q438" i="2"/>
  <c r="O438" i="2"/>
  <c r="Q430" i="2"/>
  <c r="O430" i="2"/>
  <c r="Q422" i="2"/>
  <c r="O422" i="2"/>
  <c r="Q414" i="2"/>
  <c r="O414" i="2"/>
  <c r="Q406" i="2"/>
  <c r="O406" i="2"/>
  <c r="Q398" i="2"/>
  <c r="O398" i="2"/>
  <c r="Q390" i="2"/>
  <c r="O390" i="2"/>
  <c r="Q382" i="2"/>
  <c r="O382" i="2"/>
  <c r="Q374" i="2"/>
  <c r="O374" i="2"/>
  <c r="Q366" i="2"/>
  <c r="O366" i="2"/>
  <c r="Q358" i="2"/>
  <c r="O358" i="2"/>
  <c r="Q350" i="2"/>
  <c r="O350" i="2"/>
  <c r="Q342" i="2"/>
  <c r="O342" i="2"/>
  <c r="Q334" i="2"/>
  <c r="O334" i="2"/>
  <c r="Q326" i="2"/>
  <c r="O326" i="2"/>
  <c r="Q318" i="2"/>
  <c r="O318" i="2"/>
  <c r="Q310" i="2"/>
  <c r="O310" i="2"/>
  <c r="Q302" i="2"/>
  <c r="O302" i="2"/>
  <c r="Q294" i="2"/>
  <c r="O294" i="2"/>
  <c r="Q286" i="2"/>
  <c r="O286" i="2"/>
  <c r="Q278" i="2"/>
  <c r="O278" i="2"/>
  <c r="Q270" i="2"/>
  <c r="O270" i="2"/>
  <c r="Q262" i="2"/>
  <c r="O262" i="2"/>
  <c r="Q254" i="2"/>
  <c r="O254" i="2"/>
  <c r="Q246" i="2"/>
  <c r="O246" i="2"/>
  <c r="Q238" i="2"/>
  <c r="O238" i="2"/>
  <c r="Q230" i="2"/>
  <c r="O230" i="2"/>
  <c r="Q222" i="2"/>
  <c r="O222" i="2"/>
  <c r="Q214" i="2"/>
  <c r="O214" i="2"/>
  <c r="Q206" i="2"/>
  <c r="O206" i="2"/>
  <c r="Q198" i="2"/>
  <c r="O198" i="2"/>
  <c r="Q190" i="2"/>
  <c r="O190" i="2"/>
  <c r="Q182" i="2"/>
  <c r="O182" i="2"/>
  <c r="Q174" i="2"/>
  <c r="O174" i="2"/>
  <c r="Q166" i="2"/>
  <c r="O166" i="2"/>
  <c r="Q158" i="2"/>
  <c r="O158" i="2"/>
  <c r="Q150" i="2"/>
  <c r="O150" i="2"/>
  <c r="Q142" i="2"/>
  <c r="O142" i="2"/>
  <c r="Q134" i="2"/>
  <c r="O134" i="2"/>
  <c r="Q126" i="2"/>
  <c r="O126" i="2"/>
  <c r="Q118" i="2"/>
  <c r="O118" i="2"/>
  <c r="Q110" i="2"/>
  <c r="O110" i="2"/>
  <c r="Q102" i="2"/>
  <c r="O102" i="2"/>
  <c r="Q94" i="2"/>
  <c r="O94" i="2"/>
  <c r="Q86" i="2"/>
  <c r="O86" i="2"/>
  <c r="Q78" i="2"/>
  <c r="O78" i="2"/>
  <c r="Q70" i="2"/>
  <c r="O70" i="2"/>
  <c r="Q62" i="2"/>
  <c r="O62" i="2"/>
  <c r="Q54" i="2"/>
  <c r="O54" i="2"/>
  <c r="Q46" i="2"/>
  <c r="O46" i="2"/>
  <c r="Q38" i="2"/>
  <c r="O38" i="2"/>
  <c r="Q30" i="2"/>
  <c r="O30" i="2"/>
  <c r="Q22" i="2"/>
  <c r="O22" i="2"/>
  <c r="Q14" i="2"/>
  <c r="O14" i="2"/>
  <c r="Q6" i="2"/>
  <c r="O6" i="2"/>
  <c r="N997" i="2"/>
  <c r="N989" i="2"/>
  <c r="N981" i="2"/>
  <c r="N973" i="2"/>
  <c r="N965" i="2"/>
  <c r="N891" i="2"/>
  <c r="N880" i="2"/>
  <c r="N870" i="2"/>
  <c r="N848" i="2"/>
  <c r="N819" i="2"/>
  <c r="N803" i="2"/>
  <c r="N787" i="2"/>
  <c r="N771" i="2"/>
  <c r="N755" i="2"/>
  <c r="N723" i="2"/>
  <c r="N707" i="2"/>
  <c r="N675" i="2"/>
  <c r="N643" i="2"/>
  <c r="N611" i="2"/>
  <c r="N595" i="2"/>
  <c r="N579" i="2"/>
  <c r="N547" i="2"/>
  <c r="N531" i="2"/>
  <c r="N515" i="2"/>
  <c r="N467" i="2"/>
  <c r="N451" i="2"/>
  <c r="N435" i="2"/>
  <c r="N403" i="2"/>
  <c r="N387" i="2"/>
  <c r="N355" i="2"/>
  <c r="N302" i="2"/>
  <c r="N279" i="2"/>
  <c r="N102" i="2"/>
  <c r="N38" i="2"/>
  <c r="O973" i="2"/>
  <c r="O881" i="2"/>
  <c r="O754" i="2"/>
  <c r="O592" i="2"/>
  <c r="O418" i="2"/>
  <c r="O249" i="2"/>
  <c r="O24" i="2"/>
  <c r="Q983" i="2"/>
  <c r="Q727" i="2"/>
  <c r="Q987" i="2"/>
  <c r="O987" i="2"/>
  <c r="Q939" i="2"/>
  <c r="O939" i="2"/>
  <c r="Q899" i="2"/>
  <c r="O899" i="2"/>
  <c r="Q835" i="2"/>
  <c r="O835" i="2"/>
  <c r="Q763" i="2"/>
  <c r="O763" i="2"/>
  <c r="O715" i="2"/>
  <c r="Q715" i="2"/>
  <c r="Q659" i="2"/>
  <c r="O659" i="2"/>
  <c r="Q603" i="2"/>
  <c r="O603" i="2"/>
  <c r="Q555" i="2"/>
  <c r="O555" i="2"/>
  <c r="Q499" i="2"/>
  <c r="O499" i="2"/>
  <c r="Q443" i="2"/>
  <c r="O443" i="2"/>
  <c r="Q371" i="2"/>
  <c r="O371" i="2"/>
  <c r="Q323" i="2"/>
  <c r="O323" i="2"/>
  <c r="Q259" i="2"/>
  <c r="O259" i="2"/>
  <c r="Q195" i="2"/>
  <c r="O195" i="2"/>
  <c r="Q147" i="2"/>
  <c r="O147" i="2"/>
  <c r="N147" i="2"/>
  <c r="Q99" i="2"/>
  <c r="O99" i="2"/>
  <c r="N99" i="2"/>
  <c r="Q43" i="2"/>
  <c r="O43" i="2"/>
  <c r="N43" i="2"/>
  <c r="Q1000" i="2"/>
  <c r="O1000" i="2"/>
  <c r="Q944" i="2"/>
  <c r="O944" i="2"/>
  <c r="O957" i="2"/>
  <c r="Q957" i="2"/>
  <c r="O949" i="2"/>
  <c r="Q949" i="2"/>
  <c r="O941" i="2"/>
  <c r="Q941" i="2"/>
  <c r="O933" i="2"/>
  <c r="Q933" i="2"/>
  <c r="O925" i="2"/>
  <c r="Q925" i="2"/>
  <c r="O917" i="2"/>
  <c r="Q917" i="2"/>
  <c r="O909" i="2"/>
  <c r="Q909" i="2"/>
  <c r="O901" i="2"/>
  <c r="Q901" i="2"/>
  <c r="O893" i="2"/>
  <c r="Q893" i="2"/>
  <c r="O885" i="2"/>
  <c r="Q885" i="2"/>
  <c r="O877" i="2"/>
  <c r="Q877" i="2"/>
  <c r="O869" i="2"/>
  <c r="Q869" i="2"/>
  <c r="O861" i="2"/>
  <c r="Q861" i="2"/>
  <c r="O853" i="2"/>
  <c r="Q853" i="2"/>
  <c r="O845" i="2"/>
  <c r="Q845" i="2"/>
  <c r="O837" i="2"/>
  <c r="Q837" i="2"/>
  <c r="N837" i="2"/>
  <c r="O829" i="2"/>
  <c r="Q829" i="2"/>
  <c r="N829" i="2"/>
  <c r="O821" i="2"/>
  <c r="Q821" i="2"/>
  <c r="N821" i="2"/>
  <c r="O813" i="2"/>
  <c r="Q813" i="2"/>
  <c r="N813" i="2"/>
  <c r="O805" i="2"/>
  <c r="Q805" i="2"/>
  <c r="N805" i="2"/>
  <c r="O797" i="2"/>
  <c r="Q797" i="2"/>
  <c r="N797" i="2"/>
  <c r="O789" i="2"/>
  <c r="Q789" i="2"/>
  <c r="N789" i="2"/>
  <c r="O781" i="2"/>
  <c r="Q781" i="2"/>
  <c r="N781" i="2"/>
  <c r="O773" i="2"/>
  <c r="Q773" i="2"/>
  <c r="N773" i="2"/>
  <c r="O765" i="2"/>
  <c r="Q765" i="2"/>
  <c r="N765" i="2"/>
  <c r="O757" i="2"/>
  <c r="Q757" i="2"/>
  <c r="N757" i="2"/>
  <c r="O749" i="2"/>
  <c r="Q749" i="2"/>
  <c r="N749" i="2"/>
  <c r="O741" i="2"/>
  <c r="Q741" i="2"/>
  <c r="N741" i="2"/>
  <c r="O733" i="2"/>
  <c r="Q733" i="2"/>
  <c r="N733" i="2"/>
  <c r="O725" i="2"/>
  <c r="Q725" i="2"/>
  <c r="N725" i="2"/>
  <c r="O717" i="2"/>
  <c r="Q717" i="2"/>
  <c r="N717" i="2"/>
  <c r="O709" i="2"/>
  <c r="Q709" i="2"/>
  <c r="N709" i="2"/>
  <c r="O701" i="2"/>
  <c r="Q701" i="2"/>
  <c r="N701" i="2"/>
  <c r="O693" i="2"/>
  <c r="Q693" i="2"/>
  <c r="N693" i="2"/>
  <c r="O685" i="2"/>
  <c r="Q685" i="2"/>
  <c r="N685" i="2"/>
  <c r="Q677" i="2"/>
  <c r="O677" i="2"/>
  <c r="N677" i="2"/>
  <c r="Q669" i="2"/>
  <c r="O669" i="2"/>
  <c r="N669" i="2"/>
  <c r="Q661" i="2"/>
  <c r="O661" i="2"/>
  <c r="N661" i="2"/>
  <c r="Q653" i="2"/>
  <c r="O653" i="2"/>
  <c r="N653" i="2"/>
  <c r="Q645" i="2"/>
  <c r="O645" i="2"/>
  <c r="N645" i="2"/>
  <c r="Q637" i="2"/>
  <c r="O637" i="2"/>
  <c r="N637" i="2"/>
  <c r="Q629" i="2"/>
  <c r="O629" i="2"/>
  <c r="N629" i="2"/>
  <c r="Q621" i="2"/>
  <c r="O621" i="2"/>
  <c r="N621" i="2"/>
  <c r="Q613" i="2"/>
  <c r="O613" i="2"/>
  <c r="N613" i="2"/>
  <c r="Q605" i="2"/>
  <c r="O605" i="2"/>
  <c r="N605" i="2"/>
  <c r="Q597" i="2"/>
  <c r="O597" i="2"/>
  <c r="N597" i="2"/>
  <c r="Q589" i="2"/>
  <c r="O589" i="2"/>
  <c r="N589" i="2"/>
  <c r="Q581" i="2"/>
  <c r="O581" i="2"/>
  <c r="N581" i="2"/>
  <c r="Q573" i="2"/>
  <c r="O573" i="2"/>
  <c r="N573" i="2"/>
  <c r="Q565" i="2"/>
  <c r="O565" i="2"/>
  <c r="N565" i="2"/>
  <c r="Q557" i="2"/>
  <c r="O557" i="2"/>
  <c r="N557" i="2"/>
  <c r="Q549" i="2"/>
  <c r="O549" i="2"/>
  <c r="N549" i="2"/>
  <c r="Q541" i="2"/>
  <c r="O541" i="2"/>
  <c r="N541" i="2"/>
  <c r="Q533" i="2"/>
  <c r="O533" i="2"/>
  <c r="N533" i="2"/>
  <c r="Q525" i="2"/>
  <c r="O525" i="2"/>
  <c r="N525" i="2"/>
  <c r="Q517" i="2"/>
  <c r="O517" i="2"/>
  <c r="N517" i="2"/>
  <c r="Q509" i="2"/>
  <c r="O509" i="2"/>
  <c r="N509" i="2"/>
  <c r="Q501" i="2"/>
  <c r="O501" i="2"/>
  <c r="N501" i="2"/>
  <c r="Q493" i="2"/>
  <c r="O493" i="2"/>
  <c r="N493" i="2"/>
  <c r="Q485" i="2"/>
  <c r="O485" i="2"/>
  <c r="N485" i="2"/>
  <c r="Q477" i="2"/>
  <c r="O477" i="2"/>
  <c r="N477" i="2"/>
  <c r="Q469" i="2"/>
  <c r="O469" i="2"/>
  <c r="N469" i="2"/>
  <c r="Q461" i="2"/>
  <c r="O461" i="2"/>
  <c r="N461" i="2"/>
  <c r="Q453" i="2"/>
  <c r="O453" i="2"/>
  <c r="N453" i="2"/>
  <c r="Q445" i="2"/>
  <c r="O445" i="2"/>
  <c r="N445" i="2"/>
  <c r="Q437" i="2"/>
  <c r="O437" i="2"/>
  <c r="N437" i="2"/>
  <c r="Q429" i="2"/>
  <c r="O429" i="2"/>
  <c r="N429" i="2"/>
  <c r="Q421" i="2"/>
  <c r="O421" i="2"/>
  <c r="N421" i="2"/>
  <c r="Q413" i="2"/>
  <c r="O413" i="2"/>
  <c r="N413" i="2"/>
  <c r="Q405" i="2"/>
  <c r="O405" i="2"/>
  <c r="N405" i="2"/>
  <c r="Q397" i="2"/>
  <c r="O397" i="2"/>
  <c r="N397" i="2"/>
  <c r="Q389" i="2"/>
  <c r="O389" i="2"/>
  <c r="N389" i="2"/>
  <c r="Q381" i="2"/>
  <c r="O381" i="2"/>
  <c r="N381" i="2"/>
  <c r="Q373" i="2"/>
  <c r="O373" i="2"/>
  <c r="N373" i="2"/>
  <c r="Q365" i="2"/>
  <c r="O365" i="2"/>
  <c r="N365" i="2"/>
  <c r="Q357" i="2"/>
  <c r="O357" i="2"/>
  <c r="N357" i="2"/>
  <c r="Q349" i="2"/>
  <c r="O349" i="2"/>
  <c r="N349" i="2"/>
  <c r="Q341" i="2"/>
  <c r="O341" i="2"/>
  <c r="N341" i="2"/>
  <c r="Q333" i="2"/>
  <c r="O333" i="2"/>
  <c r="N333" i="2"/>
  <c r="Q325" i="2"/>
  <c r="O325" i="2"/>
  <c r="N325" i="2"/>
  <c r="Q317" i="2"/>
  <c r="O317" i="2"/>
  <c r="N317" i="2"/>
  <c r="Q309" i="2"/>
  <c r="O309" i="2"/>
  <c r="N309" i="2"/>
  <c r="Q301" i="2"/>
  <c r="O301" i="2"/>
  <c r="N301" i="2"/>
  <c r="Q293" i="2"/>
  <c r="O293" i="2"/>
  <c r="N293" i="2"/>
  <c r="Q285" i="2"/>
  <c r="O285" i="2"/>
  <c r="N285" i="2"/>
  <c r="Q277" i="2"/>
  <c r="O277" i="2"/>
  <c r="N277" i="2"/>
  <c r="Q269" i="2"/>
  <c r="O269" i="2"/>
  <c r="N269" i="2"/>
  <c r="Q261" i="2"/>
  <c r="O261" i="2"/>
  <c r="N261" i="2"/>
  <c r="Q253" i="2"/>
  <c r="O253" i="2"/>
  <c r="N253" i="2"/>
  <c r="Q245" i="2"/>
  <c r="O245" i="2"/>
  <c r="N245" i="2"/>
  <c r="Q237" i="2"/>
  <c r="O237" i="2"/>
  <c r="N237" i="2"/>
  <c r="Q229" i="2"/>
  <c r="O229" i="2"/>
  <c r="N229" i="2"/>
  <c r="Q221" i="2"/>
  <c r="O221" i="2"/>
  <c r="N221" i="2"/>
  <c r="Q213" i="2"/>
  <c r="O213" i="2"/>
  <c r="N213" i="2"/>
  <c r="Q205" i="2"/>
  <c r="O205" i="2"/>
  <c r="N205" i="2"/>
  <c r="Q197" i="2"/>
  <c r="O197" i="2"/>
  <c r="N197" i="2"/>
  <c r="Q189" i="2"/>
  <c r="O189" i="2"/>
  <c r="N189" i="2"/>
  <c r="Q181" i="2"/>
  <c r="O181" i="2"/>
  <c r="N181" i="2"/>
  <c r="Q173" i="2"/>
  <c r="O173" i="2"/>
  <c r="N173" i="2"/>
  <c r="Q165" i="2"/>
  <c r="O165" i="2"/>
  <c r="N165" i="2"/>
  <c r="Q157" i="2"/>
  <c r="O157" i="2"/>
  <c r="N157" i="2"/>
  <c r="Q149" i="2"/>
  <c r="O149" i="2"/>
  <c r="N149" i="2"/>
  <c r="Q141" i="2"/>
  <c r="O141" i="2"/>
  <c r="N141" i="2"/>
  <c r="Q133" i="2"/>
  <c r="O133" i="2"/>
  <c r="N133" i="2"/>
  <c r="Q125" i="2"/>
  <c r="O125" i="2"/>
  <c r="N125" i="2"/>
  <c r="Q117" i="2"/>
  <c r="O117" i="2"/>
  <c r="N117" i="2"/>
  <c r="Q109" i="2"/>
  <c r="O109" i="2"/>
  <c r="N109" i="2"/>
  <c r="Q101" i="2"/>
  <c r="O101" i="2"/>
  <c r="N101" i="2"/>
  <c r="Q93" i="2"/>
  <c r="O93" i="2"/>
  <c r="N93" i="2"/>
  <c r="Q85" i="2"/>
  <c r="O85" i="2"/>
  <c r="N85" i="2"/>
  <c r="Q77" i="2"/>
  <c r="O77" i="2"/>
  <c r="N77" i="2"/>
  <c r="Q69" i="2"/>
  <c r="O69" i="2"/>
  <c r="N69" i="2"/>
  <c r="Q61" i="2"/>
  <c r="O61" i="2"/>
  <c r="N61" i="2"/>
  <c r="Q53" i="2"/>
  <c r="O53" i="2"/>
  <c r="N53" i="2"/>
  <c r="Q45" i="2"/>
  <c r="O45" i="2"/>
  <c r="N45" i="2"/>
  <c r="Q37" i="2"/>
  <c r="O37" i="2"/>
  <c r="N37" i="2"/>
  <c r="Q29" i="2"/>
  <c r="O29" i="2"/>
  <c r="N29" i="2"/>
  <c r="Q21" i="2"/>
  <c r="O21" i="2"/>
  <c r="N21" i="2"/>
  <c r="Q13" i="2"/>
  <c r="O13" i="2"/>
  <c r="N13" i="2"/>
  <c r="Q5" i="2"/>
  <c r="O5" i="2"/>
  <c r="N5" i="2"/>
  <c r="N899" i="2"/>
  <c r="N890" i="2"/>
  <c r="N879" i="2"/>
  <c r="N869" i="2"/>
  <c r="N859" i="2"/>
  <c r="N847" i="2"/>
  <c r="N832" i="2"/>
  <c r="N816" i="2"/>
  <c r="N800" i="2"/>
  <c r="N784" i="2"/>
  <c r="N768" i="2"/>
  <c r="N752" i="2"/>
  <c r="N736" i="2"/>
  <c r="N720" i="2"/>
  <c r="N704" i="2"/>
  <c r="N688" i="2"/>
  <c r="N672" i="2"/>
  <c r="N656" i="2"/>
  <c r="N640" i="2"/>
  <c r="N624" i="2"/>
  <c r="N608" i="2"/>
  <c r="N592" i="2"/>
  <c r="N576" i="2"/>
  <c r="N560" i="2"/>
  <c r="N544" i="2"/>
  <c r="N528" i="2"/>
  <c r="N512" i="2"/>
  <c r="N496" i="2"/>
  <c r="N480" i="2"/>
  <c r="N464" i="2"/>
  <c r="N448" i="2"/>
  <c r="N432" i="2"/>
  <c r="N416" i="2"/>
  <c r="N400" i="2"/>
  <c r="N384" i="2"/>
  <c r="N368" i="2"/>
  <c r="N352" i="2"/>
  <c r="N336" i="2"/>
  <c r="N319" i="2"/>
  <c r="N299" i="2"/>
  <c r="N278" i="2"/>
  <c r="N254" i="2"/>
  <c r="N222" i="2"/>
  <c r="N190" i="2"/>
  <c r="N158" i="2"/>
  <c r="N94" i="2"/>
  <c r="N30" i="2"/>
  <c r="O965" i="2"/>
  <c r="O866" i="2"/>
  <c r="O738" i="2"/>
  <c r="O569" i="2"/>
  <c r="O400" i="2"/>
  <c r="O226" i="2"/>
  <c r="Q951" i="2"/>
  <c r="Q695" i="2"/>
  <c r="Q907" i="2"/>
  <c r="O907" i="2"/>
  <c r="Q867" i="2"/>
  <c r="O867" i="2"/>
  <c r="Q795" i="2"/>
  <c r="O795" i="2"/>
  <c r="Q739" i="2"/>
  <c r="O739" i="2"/>
  <c r="O691" i="2"/>
  <c r="Q691" i="2"/>
  <c r="Q627" i="2"/>
  <c r="O627" i="2"/>
  <c r="Q563" i="2"/>
  <c r="O563" i="2"/>
  <c r="Q483" i="2"/>
  <c r="O483" i="2"/>
  <c r="Q419" i="2"/>
  <c r="O419" i="2"/>
  <c r="Q339" i="2"/>
  <c r="O339" i="2"/>
  <c r="Q283" i="2"/>
  <c r="O283" i="2"/>
  <c r="Q227" i="2"/>
  <c r="O227" i="2"/>
  <c r="Q163" i="2"/>
  <c r="O163" i="2"/>
  <c r="Q115" i="2"/>
  <c r="O115" i="2"/>
  <c r="N115" i="2"/>
  <c r="Q67" i="2"/>
  <c r="O67" i="2"/>
  <c r="N67" i="2"/>
  <c r="Q11" i="2"/>
  <c r="O11" i="2"/>
  <c r="N11" i="2"/>
  <c r="Q994" i="2"/>
  <c r="O994" i="2"/>
  <c r="Q992" i="2"/>
  <c r="O992" i="2"/>
  <c r="Q936" i="2"/>
  <c r="O936" i="2"/>
  <c r="O999" i="2"/>
  <c r="Q999" i="2"/>
  <c r="O975" i="2"/>
  <c r="Q975" i="2"/>
  <c r="Q959" i="2"/>
  <c r="O959" i="2"/>
  <c r="Q943" i="2"/>
  <c r="O943" i="2"/>
  <c r="Q996" i="2"/>
  <c r="O996" i="2"/>
  <c r="Q988" i="2"/>
  <c r="O988" i="2"/>
  <c r="Q980" i="2"/>
  <c r="O980" i="2"/>
  <c r="Q972" i="2"/>
  <c r="O972" i="2"/>
  <c r="Q964" i="2"/>
  <c r="O964" i="2"/>
  <c r="O956" i="2"/>
  <c r="Q956" i="2"/>
  <c r="O948" i="2"/>
  <c r="Q948" i="2"/>
  <c r="O940" i="2"/>
  <c r="Q940" i="2"/>
  <c r="O932" i="2"/>
  <c r="Q932" i="2"/>
  <c r="O924" i="2"/>
  <c r="Q924" i="2"/>
  <c r="O916" i="2"/>
  <c r="Q916" i="2"/>
  <c r="O908" i="2"/>
  <c r="Q908" i="2"/>
  <c r="O900" i="2"/>
  <c r="Q900" i="2"/>
  <c r="O892" i="2"/>
  <c r="Q892" i="2"/>
  <c r="O884" i="2"/>
  <c r="Q884" i="2"/>
  <c r="O876" i="2"/>
  <c r="Q876" i="2"/>
  <c r="O868" i="2"/>
  <c r="Q868" i="2"/>
  <c r="O860" i="2"/>
  <c r="Q860" i="2"/>
  <c r="O852" i="2"/>
  <c r="Q852" i="2"/>
  <c r="O844" i="2"/>
  <c r="Q844" i="2"/>
  <c r="N844" i="2"/>
  <c r="O836" i="2"/>
  <c r="Q836" i="2"/>
  <c r="N836" i="2"/>
  <c r="O828" i="2"/>
  <c r="Q828" i="2"/>
  <c r="N828" i="2"/>
  <c r="O820" i="2"/>
  <c r="Q820" i="2"/>
  <c r="N820" i="2"/>
  <c r="O812" i="2"/>
  <c r="Q812" i="2"/>
  <c r="N812" i="2"/>
  <c r="O804" i="2"/>
  <c r="Q804" i="2"/>
  <c r="N804" i="2"/>
  <c r="O796" i="2"/>
  <c r="Q796" i="2"/>
  <c r="N796" i="2"/>
  <c r="O788" i="2"/>
  <c r="Q788" i="2"/>
  <c r="N788" i="2"/>
  <c r="O780" i="2"/>
  <c r="Q780" i="2"/>
  <c r="N780" i="2"/>
  <c r="O772" i="2"/>
  <c r="Q772" i="2"/>
  <c r="N772" i="2"/>
  <c r="O764" i="2"/>
  <c r="Q764" i="2"/>
  <c r="N764" i="2"/>
  <c r="O756" i="2"/>
  <c r="Q756" i="2"/>
  <c r="N756" i="2"/>
  <c r="O748" i="2"/>
  <c r="Q748" i="2"/>
  <c r="N748" i="2"/>
  <c r="O740" i="2"/>
  <c r="Q740" i="2"/>
  <c r="N740" i="2"/>
  <c r="O732" i="2"/>
  <c r="Q732" i="2"/>
  <c r="N732" i="2"/>
  <c r="O724" i="2"/>
  <c r="Q724" i="2"/>
  <c r="N724" i="2"/>
  <c r="O716" i="2"/>
  <c r="Q716" i="2"/>
  <c r="N716" i="2"/>
  <c r="O708" i="2"/>
  <c r="Q708" i="2"/>
  <c r="N708" i="2"/>
  <c r="O700" i="2"/>
  <c r="Q700" i="2"/>
  <c r="N700" i="2"/>
  <c r="O692" i="2"/>
  <c r="Q692" i="2"/>
  <c r="N692" i="2"/>
  <c r="O684" i="2"/>
  <c r="Q684" i="2"/>
  <c r="N684" i="2"/>
  <c r="Q676" i="2"/>
  <c r="O676" i="2"/>
  <c r="N676" i="2"/>
  <c r="Q668" i="2"/>
  <c r="O668" i="2"/>
  <c r="N668" i="2"/>
  <c r="Q660" i="2"/>
  <c r="O660" i="2"/>
  <c r="N660" i="2"/>
  <c r="O652" i="2"/>
  <c r="Q652" i="2"/>
  <c r="N652" i="2"/>
  <c r="O644" i="2"/>
  <c r="Q644" i="2"/>
  <c r="N644" i="2"/>
  <c r="O636" i="2"/>
  <c r="Q636" i="2"/>
  <c r="N636" i="2"/>
  <c r="O628" i="2"/>
  <c r="Q628" i="2"/>
  <c r="N628" i="2"/>
  <c r="O620" i="2"/>
  <c r="Q620" i="2"/>
  <c r="N620" i="2"/>
  <c r="Q612" i="2"/>
  <c r="O612" i="2"/>
  <c r="N612" i="2"/>
  <c r="Q604" i="2"/>
  <c r="O604" i="2"/>
  <c r="N604" i="2"/>
  <c r="Q596" i="2"/>
  <c r="O596" i="2"/>
  <c r="N596" i="2"/>
  <c r="O588" i="2"/>
  <c r="Q588" i="2"/>
  <c r="N588" i="2"/>
  <c r="O580" i="2"/>
  <c r="Q580" i="2"/>
  <c r="N580" i="2"/>
  <c r="O572" i="2"/>
  <c r="Q572" i="2"/>
  <c r="N572" i="2"/>
  <c r="O564" i="2"/>
  <c r="Q564" i="2"/>
  <c r="N564" i="2"/>
  <c r="O556" i="2"/>
  <c r="Q556" i="2"/>
  <c r="N556" i="2"/>
  <c r="Q548" i="2"/>
  <c r="O548" i="2"/>
  <c r="N548" i="2"/>
  <c r="Q540" i="2"/>
  <c r="O540" i="2"/>
  <c r="N540" i="2"/>
  <c r="Q532" i="2"/>
  <c r="O532" i="2"/>
  <c r="N532" i="2"/>
  <c r="O524" i="2"/>
  <c r="N524" i="2"/>
  <c r="O516" i="2"/>
  <c r="N516" i="2"/>
  <c r="Q516" i="2"/>
  <c r="O508" i="2"/>
  <c r="Q508" i="2"/>
  <c r="N508" i="2"/>
  <c r="O500" i="2"/>
  <c r="Q500" i="2"/>
  <c r="N500" i="2"/>
  <c r="O492" i="2"/>
  <c r="Q492" i="2"/>
  <c r="N492" i="2"/>
  <c r="Q484" i="2"/>
  <c r="O484" i="2"/>
  <c r="N484" i="2"/>
  <c r="Q476" i="2"/>
  <c r="O476" i="2"/>
  <c r="N476" i="2"/>
  <c r="Q468" i="2"/>
  <c r="O468" i="2"/>
  <c r="N468" i="2"/>
  <c r="O460" i="2"/>
  <c r="Q460" i="2"/>
  <c r="N460" i="2"/>
  <c r="O452" i="2"/>
  <c r="Q452" i="2"/>
  <c r="N452" i="2"/>
  <c r="O444" i="2"/>
  <c r="Q444" i="2"/>
  <c r="N444" i="2"/>
  <c r="O436" i="2"/>
  <c r="Q436" i="2"/>
  <c r="N436" i="2"/>
  <c r="O428" i="2"/>
  <c r="Q428" i="2"/>
  <c r="N428" i="2"/>
  <c r="Q420" i="2"/>
  <c r="O420" i="2"/>
  <c r="N420" i="2"/>
  <c r="Q412" i="2"/>
  <c r="O412" i="2"/>
  <c r="N412" i="2"/>
  <c r="Q404" i="2"/>
  <c r="O404" i="2"/>
  <c r="N404" i="2"/>
  <c r="O396" i="2"/>
  <c r="Q396" i="2"/>
  <c r="N396" i="2"/>
  <c r="O388" i="2"/>
  <c r="Q388" i="2"/>
  <c r="N388" i="2"/>
  <c r="O380" i="2"/>
  <c r="Q380" i="2"/>
  <c r="N380" i="2"/>
  <c r="O372" i="2"/>
  <c r="Q372" i="2"/>
  <c r="N372" i="2"/>
  <c r="O364" i="2"/>
  <c r="Q364" i="2"/>
  <c r="N364" i="2"/>
  <c r="Q356" i="2"/>
  <c r="O356" i="2"/>
  <c r="N356" i="2"/>
  <c r="Q348" i="2"/>
  <c r="O348" i="2"/>
  <c r="N348" i="2"/>
  <c r="Q340" i="2"/>
  <c r="O340" i="2"/>
  <c r="N340" i="2"/>
  <c r="O332" i="2"/>
  <c r="Q332" i="2"/>
  <c r="N332" i="2"/>
  <c r="O324" i="2"/>
  <c r="Q324" i="2"/>
  <c r="N324" i="2"/>
  <c r="O316" i="2"/>
  <c r="Q316" i="2"/>
  <c r="N316" i="2"/>
  <c r="O308" i="2"/>
  <c r="Q308" i="2"/>
  <c r="N308" i="2"/>
  <c r="O300" i="2"/>
  <c r="Q300" i="2"/>
  <c r="N300" i="2"/>
  <c r="Q292" i="2"/>
  <c r="O292" i="2"/>
  <c r="N292" i="2"/>
  <c r="Q284" i="2"/>
  <c r="O284" i="2"/>
  <c r="N284" i="2"/>
  <c r="Q276" i="2"/>
  <c r="O276" i="2"/>
  <c r="N276" i="2"/>
  <c r="O268" i="2"/>
  <c r="N268" i="2"/>
  <c r="O260" i="2"/>
  <c r="N260" i="2"/>
  <c r="Q260" i="2"/>
  <c r="O252" i="2"/>
  <c r="Q252" i="2"/>
  <c r="N252" i="2"/>
  <c r="O244" i="2"/>
  <c r="Q244" i="2"/>
  <c r="N244" i="2"/>
  <c r="O236" i="2"/>
  <c r="Q236" i="2"/>
  <c r="N236" i="2"/>
  <c r="Q228" i="2"/>
  <c r="O228" i="2"/>
  <c r="N228" i="2"/>
  <c r="Q220" i="2"/>
  <c r="O220" i="2"/>
  <c r="N220" i="2"/>
  <c r="Q212" i="2"/>
  <c r="O212" i="2"/>
  <c r="N212" i="2"/>
  <c r="O204" i="2"/>
  <c r="Q204" i="2"/>
  <c r="N204" i="2"/>
  <c r="O196" i="2"/>
  <c r="Q196" i="2"/>
  <c r="N196" i="2"/>
  <c r="O188" i="2"/>
  <c r="Q188" i="2"/>
  <c r="N188" i="2"/>
  <c r="O180" i="2"/>
  <c r="Q180" i="2"/>
  <c r="N180" i="2"/>
  <c r="O172" i="2"/>
  <c r="Q172" i="2"/>
  <c r="N172" i="2"/>
  <c r="Q164" i="2"/>
  <c r="O164" i="2"/>
  <c r="N164" i="2"/>
  <c r="Q156" i="2"/>
  <c r="O156" i="2"/>
  <c r="N156" i="2"/>
  <c r="Q148" i="2"/>
  <c r="O148" i="2"/>
  <c r="N148" i="2"/>
  <c r="O140" i="2"/>
  <c r="Q140" i="2"/>
  <c r="N140" i="2"/>
  <c r="O132" i="2"/>
  <c r="Q132" i="2"/>
  <c r="N132" i="2"/>
  <c r="O124" i="2"/>
  <c r="Q124" i="2"/>
  <c r="N124" i="2"/>
  <c r="O116" i="2"/>
  <c r="Q116" i="2"/>
  <c r="N116" i="2"/>
  <c r="O108" i="2"/>
  <c r="Q108" i="2"/>
  <c r="N108" i="2"/>
  <c r="Q100" i="2"/>
  <c r="O100" i="2"/>
  <c r="N100" i="2"/>
  <c r="Q92" i="2"/>
  <c r="O92" i="2"/>
  <c r="N92" i="2"/>
  <c r="Q84" i="2"/>
  <c r="O84" i="2"/>
  <c r="N84" i="2"/>
  <c r="O76" i="2"/>
  <c r="Q76" i="2"/>
  <c r="N76" i="2"/>
  <c r="O68" i="2"/>
  <c r="Q68" i="2"/>
  <c r="N68" i="2"/>
  <c r="O60" i="2"/>
  <c r="Q60" i="2"/>
  <c r="N60" i="2"/>
  <c r="O52" i="2"/>
  <c r="Q52" i="2"/>
  <c r="N52" i="2"/>
  <c r="O44" i="2"/>
  <c r="Q44" i="2"/>
  <c r="N44" i="2"/>
  <c r="Q36" i="2"/>
  <c r="O36" i="2"/>
  <c r="N36" i="2"/>
  <c r="Q28" i="2"/>
  <c r="O28" i="2"/>
  <c r="N28" i="2"/>
  <c r="Q20" i="2"/>
  <c r="O20" i="2"/>
  <c r="N20" i="2"/>
  <c r="O12" i="2"/>
  <c r="N12" i="2"/>
  <c r="O4" i="2"/>
  <c r="N4" i="2"/>
  <c r="Q4" i="2"/>
  <c r="N995" i="2"/>
  <c r="N987" i="2"/>
  <c r="N979" i="2"/>
  <c r="N971" i="2"/>
  <c r="N963" i="2"/>
  <c r="N955" i="2"/>
  <c r="N947" i="2"/>
  <c r="N939" i="2"/>
  <c r="N931" i="2"/>
  <c r="N923" i="2"/>
  <c r="N915" i="2"/>
  <c r="N907" i="2"/>
  <c r="N898" i="2"/>
  <c r="N888" i="2"/>
  <c r="N878" i="2"/>
  <c r="N868" i="2"/>
  <c r="N856" i="2"/>
  <c r="N846" i="2"/>
  <c r="N831" i="2"/>
  <c r="N815" i="2"/>
  <c r="N799" i="2"/>
  <c r="N783" i="2"/>
  <c r="N767" i="2"/>
  <c r="N751" i="2"/>
  <c r="N735" i="2"/>
  <c r="N719" i="2"/>
  <c r="N703" i="2"/>
  <c r="N687" i="2"/>
  <c r="N671" i="2"/>
  <c r="N655" i="2"/>
  <c r="N639" i="2"/>
  <c r="N623" i="2"/>
  <c r="N607" i="2"/>
  <c r="N591" i="2"/>
  <c r="N575" i="2"/>
  <c r="N559" i="2"/>
  <c r="N543" i="2"/>
  <c r="N527" i="2"/>
  <c r="N511" i="2"/>
  <c r="N495" i="2"/>
  <c r="N479" i="2"/>
  <c r="N463" i="2"/>
  <c r="N447" i="2"/>
  <c r="N431" i="2"/>
  <c r="N415" i="2"/>
  <c r="N399" i="2"/>
  <c r="N383" i="2"/>
  <c r="N367" i="2"/>
  <c r="N351" i="2"/>
  <c r="N335" i="2"/>
  <c r="N318" i="2"/>
  <c r="N295" i="2"/>
  <c r="N275" i="2"/>
  <c r="N251" i="2"/>
  <c r="N219" i="2"/>
  <c r="N187" i="2"/>
  <c r="N150" i="2"/>
  <c r="N86" i="2"/>
  <c r="N22" i="2"/>
  <c r="O955" i="2"/>
  <c r="O850" i="2"/>
  <c r="O720" i="2"/>
  <c r="O546" i="2"/>
  <c r="O377" i="2"/>
  <c r="O208" i="2"/>
  <c r="Q919" i="2"/>
  <c r="Q524" i="2"/>
  <c r="N2" i="2"/>
  <c r="O2" i="2"/>
</calcChain>
</file>

<file path=xl/sharedStrings.xml><?xml version="1.0" encoding="utf-8"?>
<sst xmlns="http://schemas.openxmlformats.org/spreadsheetml/2006/main" count="8089" uniqueCount="52">
  <si>
    <t>Car_ID</t>
  </si>
  <si>
    <t>Brand</t>
  </si>
  <si>
    <t>Model_Year</t>
  </si>
  <si>
    <t>Kilometers_Driven</t>
  </si>
  <si>
    <t>Fuel_Type</t>
  </si>
  <si>
    <t>Transmission</t>
  </si>
  <si>
    <t>Owner_Type</t>
  </si>
  <si>
    <t>Engine_CC</t>
  </si>
  <si>
    <t>Max_Power_bhp</t>
  </si>
  <si>
    <t>Mileage_kmpl</t>
  </si>
  <si>
    <t>Seats</t>
  </si>
  <si>
    <t>Price_USD</t>
  </si>
  <si>
    <t>Audi</t>
  </si>
  <si>
    <t>Diesel</t>
  </si>
  <si>
    <t>Manual</t>
  </si>
  <si>
    <t>First</t>
  </si>
  <si>
    <t>BMW</t>
  </si>
  <si>
    <t>Hybrid</t>
  </si>
  <si>
    <t>Automatic</t>
  </si>
  <si>
    <t>Kia</t>
  </si>
  <si>
    <t>Third</t>
  </si>
  <si>
    <t>Mercedes</t>
  </si>
  <si>
    <t>Petrol</t>
  </si>
  <si>
    <t>Second</t>
  </si>
  <si>
    <t>Volkswagen</t>
  </si>
  <si>
    <t>Ford</t>
  </si>
  <si>
    <t>Electric</t>
  </si>
  <si>
    <t>Hyundai</t>
  </si>
  <si>
    <t>Honda</t>
  </si>
  <si>
    <t>Toyota</t>
  </si>
  <si>
    <t>Nissan</t>
  </si>
  <si>
    <t>Car_Age</t>
  </si>
  <si>
    <t>Price_Per_Year</t>
  </si>
  <si>
    <t>KM_Per_Year</t>
  </si>
  <si>
    <t>Power_to_CC_Ratio</t>
  </si>
  <si>
    <t>Age_Category</t>
  </si>
  <si>
    <t>Mileage_Category</t>
  </si>
  <si>
    <t>Performance_Category</t>
  </si>
  <si>
    <t>Row Labels</t>
  </si>
  <si>
    <t>Grand Total</t>
  </si>
  <si>
    <t>Average of Price_USD</t>
  </si>
  <si>
    <t>Count of Car_ID</t>
  </si>
  <si>
    <t>Max of Price_USD2</t>
  </si>
  <si>
    <t>Min of Price_USD3</t>
  </si>
  <si>
    <t>Average of Car_Age</t>
  </si>
  <si>
    <t>Old (12+ years)</t>
  </si>
  <si>
    <t>Mature (8-12 years)</t>
  </si>
  <si>
    <t>Recent (4-7 years)</t>
  </si>
  <si>
    <t>New (0-3 years)</t>
  </si>
  <si>
    <t>Column Labels</t>
  </si>
  <si>
    <t>Average of KM_Per_Year</t>
  </si>
  <si>
    <t>Average of Kilometers_Driven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</si>
</sst>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[car_price_dataset.xlsx]Pivot_tables!"Top 10 Most Listed Brands"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Pivot_tables!$A$34:$A$44</c:f>
              <c:strCache>
                <c:ptCount val="10"/>
                <c:pt idx="0">
                  <c:v>Toyota</c:v>
                </c:pt>
                <c:pt idx="1">
                  <c:v>Ford</c:v>
                </c:pt>
                <c:pt idx="2">
                  <c:v>Mercedes</c:v>
                </c:pt>
                <c:pt idx="3">
                  <c:v>Volkswagen</c:v>
                </c:pt>
                <c:pt idx="4">
                  <c:v>Kia</c:v>
                </c:pt>
                <c:pt idx="5">
                  <c:v>Hyundai</c:v>
                </c:pt>
                <c:pt idx="6">
                  <c:v>Audi</c:v>
                </c:pt>
                <c:pt idx="7">
                  <c:v>BMW</c:v>
                </c:pt>
                <c:pt idx="8">
                  <c:v>Nissan</c:v>
                </c:pt>
                <c:pt idx="9">
                  <c:v>Honda</c:v>
                </c:pt>
              </c:strCache>
            </c:strRef>
          </c:cat>
          <c:val>
            <c:numRef>
              <c:f>Pivot_tables!$B$34:$B$44</c:f>
              <c:numCache>
                <c:formatCode>General</c:formatCode>
                <c:ptCount val="10"/>
                <c:pt idx="0">
                  <c:v>118</c:v>
                </c:pt>
                <c:pt idx="1">
                  <c:v>110</c:v>
                </c:pt>
                <c:pt idx="2">
                  <c:v>107</c:v>
                </c:pt>
                <c:pt idx="3">
                  <c:v>107</c:v>
                </c:pt>
                <c:pt idx="4">
                  <c:v>100</c:v>
                </c:pt>
                <c:pt idx="5">
                  <c:v>96</c:v>
                </c:pt>
                <c:pt idx="6">
                  <c:v>94</c:v>
                </c:pt>
                <c:pt idx="7">
                  <c:v>94</c:v>
                </c:pt>
                <c:pt idx="8">
                  <c:v>91</c:v>
                </c:pt>
                <c:pt idx="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2-4839-8EBE-A261AF843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932416"/>
        <c:axId val="1156932896"/>
      </c:barChart>
      <c:catAx>
        <c:axId val="11569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32896"/>
        <c:crosses val="autoZero"/>
        <c:auto val="1"/>
        <c:lblAlgn val="ctr"/>
        <c:lblOffset val="100"/>
        <c:noMultiLvlLbl val="0"/>
      </c:catAx>
      <c:valAx>
        <c:axId val="11569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3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[car_price_dataset.xlsx]Pivot_tables!"Average Price: Fuel Type vs Transmission"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Pivot_tables!$B$15:$B$16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Pivot_tables!$A$17:$A$21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Pivot_tables!$B$17:$B$21</c:f>
              <c:numCache>
                <c:formatCode>"$"#,##0.00</c:formatCode>
                <c:ptCount val="4"/>
                <c:pt idx="0">
                  <c:v>55834.873027522968</c:v>
                </c:pt>
                <c:pt idx="1">
                  <c:v>62357.712695652182</c:v>
                </c:pt>
                <c:pt idx="2">
                  <c:v>60230.22119658118</c:v>
                </c:pt>
                <c:pt idx="3">
                  <c:v>57506.215034965026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D-478C-9268-D1D94B9CDA3D}"/>
            </c:ext>
          </c:extLst>
        </c:ser>
        <c:ser>
          <c:idx val="1"/>
          <c:order val="1"/>
          <c:tx>
            <c:strRef>
              <c:f>Pivot_tables!$C$15:$C$16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Pivot_tables!$A$17:$A$21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Pivot_tables!$C$17:$C$21</c:f>
              <c:numCache>
                <c:formatCode>"$"#,##0.00</c:formatCode>
                <c:ptCount val="4"/>
                <c:pt idx="0">
                  <c:v>59455.758965517271</c:v>
                </c:pt>
                <c:pt idx="1">
                  <c:v>57997.434306569354</c:v>
                </c:pt>
                <c:pt idx="2">
                  <c:v>60281.945111111119</c:v>
                </c:pt>
                <c:pt idx="3">
                  <c:v>60228.183906249993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D-478C-9268-D1D94B9CD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113072"/>
        <c:axId val="1370110192"/>
      </c:barChart>
      <c:catAx>
        <c:axId val="137011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10192"/>
        <c:crosses val="autoZero"/>
        <c:auto val="1"/>
        <c:lblAlgn val="ctr"/>
        <c:lblOffset val="100"/>
        <c:noMultiLvlLbl val="0"/>
      </c:catAx>
      <c:valAx>
        <c:axId val="13701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1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_Distribution of Car Prices</a:t>
            </a:r>
            <a:endParaRPr lang="en-US"/>
          </a:p>
        </cx:rich>
      </cx:tx>
    </cx:title>
    <cx:plotArea>
      <cx:plotAreaRegion>
        <cx:series layoutId="clusteredColumn" uniqueId="{3623851F-B047-4F9C-B9B9-C47C21F2F9DC}">
          <cx:tx>
            <cx:txData>
              <cx:f>_xlchart.v1.6</cx:f>
              <cx:v>Price_USD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91440</xdr:rowOff>
    </xdr:from>
    <xdr:to>
      <xdr:col>7</xdr:col>
      <xdr:colOff>495300</xdr:colOff>
      <xdr:row>19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E92C73-6365-4059-9742-AC40130120E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8229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312420</xdr:colOff>
      <xdr:row>21</xdr:row>
      <xdr:rowOff>121920</xdr:rowOff>
    </xdr:from>
    <xdr:to>
      <xdr:col>8</xdr:col>
      <xdr:colOff>7620</xdr:colOff>
      <xdr:row>36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69A5FB-199B-461C-B87D-729BACBE9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38</xdr:row>
      <xdr:rowOff>152400</xdr:rowOff>
    </xdr:from>
    <xdr:to>
      <xdr:col>8</xdr:col>
      <xdr:colOff>53340</xdr:colOff>
      <xdr:row>53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555F07-72F7-4DAB-8C53-45975361B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mimah" refreshedDate="46053.44006458333" createdVersion="8" refreshedVersion="8" minRefreshableVersion="3" recordCount="1000" xr:uid="{E2AE60A8-DCDD-43C1-A98E-B8BC30383E23}">
  <cacheSource type="worksheet">
    <worksheetSource ref="A1:S1001" sheet="Clean_data"/>
  </cacheSource>
  <cacheFields count="19">
    <cacheField name="Car_ID" numFmtId="0">
      <sharedItems containsSemiMixedTypes="0" containsString="0" containsNumber="1" containsInteger="1" minValue="1" maxValue="1000"/>
    </cacheField>
    <cacheField name="Brand" numFmtId="0">
      <sharedItems count="10">
        <s v="Audi"/>
        <s v="BMW"/>
        <s v="Kia"/>
        <s v="Mercedes"/>
        <s v="Volkswagen"/>
        <s v="Ford"/>
        <s v="Hyundai"/>
        <s v="Honda"/>
        <s v="Toyota"/>
        <s v="Nissan"/>
      </sharedItems>
    </cacheField>
    <cacheField name="Model_Year" numFmtId="0">
      <sharedItems containsSemiMixedTypes="0" containsString="0" containsNumber="1" containsInteger="1" minValue="2005" maxValue="2024"/>
    </cacheField>
    <cacheField name="Kilometers_Driven" numFmtId="0">
      <sharedItems containsSemiMixedTypes="0" containsString="0" containsNumber="1" containsInteger="1" minValue="5155" maxValue="199812"/>
    </cacheField>
    <cacheField name="Fuel_Type" numFmtId="0">
      <sharedItems count="4">
        <s v="Diesel"/>
        <s v="Hybrid"/>
        <s v="Petrol"/>
        <s v="Electric"/>
      </sharedItems>
    </cacheField>
    <cacheField name="Transmission" numFmtId="0">
      <sharedItems count="2">
        <s v="Manual"/>
        <s v="Automatic"/>
      </sharedItems>
    </cacheField>
    <cacheField name="Owner_Type" numFmtId="0">
      <sharedItems count="3">
        <s v="First"/>
        <s v="Third"/>
        <s v="Second"/>
      </sharedItems>
    </cacheField>
    <cacheField name="Engine_CC" numFmtId="0">
      <sharedItems containsSemiMixedTypes="0" containsString="0" containsNumber="1" containsInteger="1" minValue="801" maxValue="4996"/>
    </cacheField>
    <cacheField name="Max_Power_bhp" numFmtId="0">
      <sharedItems containsSemiMixedTypes="0" containsString="0" containsNumber="1" minValue="40.5" maxValue="599.6"/>
    </cacheField>
    <cacheField name="Mileage_kmpl" numFmtId="2">
      <sharedItems containsSemiMixedTypes="0" containsString="0" containsNumber="1" minValue="5.04" maxValue="29.99"/>
    </cacheField>
    <cacheField name="Seats" numFmtId="0">
      <sharedItems containsSemiMixedTypes="0" containsString="0" containsNumber="1" containsInteger="1" minValue="2" maxValue="7"/>
    </cacheField>
    <cacheField name="Price_USD" numFmtId="164">
      <sharedItems containsSemiMixedTypes="0" containsString="0" containsNumber="1" minValue="3028.42" maxValue="119611.94"/>
    </cacheField>
    <cacheField name="Car_Age" numFmtId="0">
      <sharedItems containsSemiMixedTypes="0" containsString="0" containsNumber="1" containsInteger="1" minValue="0" maxValue="19"/>
    </cacheField>
    <cacheField name="Price_Per_Year" numFmtId="0">
      <sharedItems containsSemiMixedTypes="0" containsString="0" containsNumber="1" minValue="168.24555555555557" maxValue="117485.2"/>
    </cacheField>
    <cacheField name="KM_Per_Year" numFmtId="0">
      <sharedItems containsSemiMixedTypes="0" containsString="0" containsNumber="1" minValue="274.05263157894734" maxValue="198783"/>
    </cacheField>
    <cacheField name="Power_to_CC_Ratio" numFmtId="0">
      <sharedItems containsSemiMixedTypes="0" containsString="0" containsNumber="1" minValue="8.4147101599833789" maxValue="649.51573849878935"/>
    </cacheField>
    <cacheField name="Age_Category" numFmtId="0">
      <sharedItems count="4">
        <s v="Old (12+ years)"/>
        <s v="Recent (4-7 years)"/>
        <s v="Mature (8-12 years)"/>
        <s v="New (0-3 years)"/>
      </sharedItems>
    </cacheField>
    <cacheField name="Mileage_Category" numFmtId="0">
      <sharedItems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2005"/>
    <n v="197018"/>
    <x v="0"/>
    <x v="0"/>
    <x v="0"/>
    <n v="4046"/>
    <n v="223.6"/>
    <n v="29.61"/>
    <n v="6"/>
    <n v="119611.94"/>
    <n v="19"/>
    <n v="6295.3652631578952"/>
    <n v="10369.368421052632"/>
    <n v="55.264458724666333"/>
    <x v="0"/>
    <s v="Excellent"/>
    <s v="Very High"/>
  </r>
  <r>
    <n v="2"/>
    <x v="1"/>
    <n v="2019"/>
    <n v="43467"/>
    <x v="1"/>
    <x v="1"/>
    <x v="0"/>
    <n v="3731"/>
    <n v="248.4"/>
    <n v="21.66"/>
    <n v="5"/>
    <n v="90842.46"/>
    <n v="5"/>
    <n v="18168.492000000002"/>
    <n v="8693.4"/>
    <n v="66.57732511391049"/>
    <x v="1"/>
    <s v="Good"/>
    <s v="Very High"/>
  </r>
  <r>
    <n v="3"/>
    <x v="2"/>
    <n v="2012"/>
    <n v="153697"/>
    <x v="1"/>
    <x v="1"/>
    <x v="1"/>
    <n v="4925"/>
    <n v="465.5"/>
    <n v="12.14"/>
    <n v="6"/>
    <n v="78432.240000000005"/>
    <n v="12"/>
    <n v="6536.02"/>
    <n v="12808.083333333334"/>
    <n v="94.517766497461935"/>
    <x v="2"/>
    <s v="Low"/>
    <s v="Very High"/>
  </r>
  <r>
    <n v="4"/>
    <x v="3"/>
    <n v="2015"/>
    <n v="38893"/>
    <x v="2"/>
    <x v="1"/>
    <x v="2"/>
    <n v="3771"/>
    <n v="229.7"/>
    <n v="19.649999999999999"/>
    <n v="6"/>
    <n v="44568.89"/>
    <n v="9"/>
    <n v="4952.0988888888887"/>
    <n v="4321.4444444444443"/>
    <n v="60.912224874038714"/>
    <x v="2"/>
    <s v="Average"/>
    <s v="Very High"/>
  </r>
  <r>
    <n v="5"/>
    <x v="0"/>
    <n v="2016"/>
    <n v="81329"/>
    <x v="1"/>
    <x v="1"/>
    <x v="0"/>
    <n v="2817"/>
    <n v="573.20000000000005"/>
    <n v="7.74"/>
    <n v="5"/>
    <n v="8751.82"/>
    <n v="8"/>
    <n v="1093.9775"/>
    <n v="10166.125"/>
    <n v="203.47887823926163"/>
    <x v="2"/>
    <s v="Low"/>
    <s v="Very High"/>
  </r>
  <r>
    <n v="6"/>
    <x v="4"/>
    <n v="2016"/>
    <n v="36007"/>
    <x v="2"/>
    <x v="1"/>
    <x v="1"/>
    <n v="3215"/>
    <n v="453.2"/>
    <n v="29.15"/>
    <n v="7"/>
    <n v="6633.65"/>
    <n v="8"/>
    <n v="829.20624999999995"/>
    <n v="4500.875"/>
    <n v="140.9642301710731"/>
    <x v="2"/>
    <s v="Excellent"/>
    <s v="Very High"/>
  </r>
  <r>
    <n v="7"/>
    <x v="5"/>
    <n v="2008"/>
    <n v="175604"/>
    <x v="3"/>
    <x v="0"/>
    <x v="0"/>
    <n v="3896"/>
    <n v="374.6"/>
    <n v="9.3699999999999992"/>
    <n v="6"/>
    <n v="67839.210000000006"/>
    <n v="16"/>
    <n v="4239.9506250000004"/>
    <n v="10975.25"/>
    <n v="96.149897330595493"/>
    <x v="0"/>
    <s v="Low"/>
    <s v="Very High"/>
  </r>
  <r>
    <n v="8"/>
    <x v="0"/>
    <n v="2020"/>
    <n v="59253"/>
    <x v="3"/>
    <x v="0"/>
    <x v="0"/>
    <n v="2409"/>
    <n v="533.29999999999995"/>
    <n v="21.2"/>
    <n v="6"/>
    <n v="92157.83"/>
    <n v="4"/>
    <n v="23039.4575"/>
    <n v="14813.25"/>
    <n v="221.37816521378164"/>
    <x v="1"/>
    <s v="Good"/>
    <s v="Very High"/>
  </r>
  <r>
    <n v="9"/>
    <x v="2"/>
    <n v="2008"/>
    <n v="17323"/>
    <x v="1"/>
    <x v="0"/>
    <x v="2"/>
    <n v="1517"/>
    <n v="67.8"/>
    <n v="11.14"/>
    <n v="6"/>
    <n v="65873.37"/>
    <n v="16"/>
    <n v="4117.0856249999997"/>
    <n v="1082.6875"/>
    <n v="44.693473961766642"/>
    <x v="0"/>
    <s v="Low"/>
    <s v="Low"/>
  </r>
  <r>
    <n v="10"/>
    <x v="3"/>
    <n v="2009"/>
    <n v="116335"/>
    <x v="1"/>
    <x v="0"/>
    <x v="0"/>
    <n v="4361"/>
    <n v="184"/>
    <n v="22.94"/>
    <n v="6"/>
    <n v="101371.85"/>
    <n v="15"/>
    <n v="6758.1233333333339"/>
    <n v="7755.666666666667"/>
    <n v="42.1921577619812"/>
    <x v="0"/>
    <s v="Good"/>
    <s v="High"/>
  </r>
  <r>
    <n v="11"/>
    <x v="1"/>
    <n v="2009"/>
    <n v="117356"/>
    <x v="0"/>
    <x v="1"/>
    <x v="1"/>
    <n v="1816"/>
    <n v="300.39999999999998"/>
    <n v="24.42"/>
    <n v="5"/>
    <n v="6910.9"/>
    <n v="15"/>
    <n v="460.72666666666663"/>
    <n v="7823.7333333333336"/>
    <n v="165.41850220264314"/>
    <x v="0"/>
    <s v="Good"/>
    <s v="Very High"/>
  </r>
  <r>
    <n v="12"/>
    <x v="2"/>
    <n v="2012"/>
    <n v="115944"/>
    <x v="1"/>
    <x v="1"/>
    <x v="1"/>
    <n v="4365"/>
    <n v="167.1"/>
    <n v="21.84"/>
    <n v="7"/>
    <n v="45909.99"/>
    <n v="12"/>
    <n v="3825.8325"/>
    <n v="9662"/>
    <n v="38.281786941580755"/>
    <x v="2"/>
    <s v="Good"/>
    <s v="High"/>
  </r>
  <r>
    <n v="13"/>
    <x v="2"/>
    <n v="2014"/>
    <n v="150282"/>
    <x v="0"/>
    <x v="1"/>
    <x v="2"/>
    <n v="2760"/>
    <n v="456.6"/>
    <n v="20.36"/>
    <n v="7"/>
    <n v="30737.24"/>
    <n v="10"/>
    <n v="3073.7240000000002"/>
    <n v="15028.2"/>
    <n v="165.43478260869568"/>
    <x v="2"/>
    <s v="Good"/>
    <s v="Very High"/>
  </r>
  <r>
    <n v="14"/>
    <x v="5"/>
    <n v="2021"/>
    <n v="21456"/>
    <x v="3"/>
    <x v="0"/>
    <x v="0"/>
    <n v="1848"/>
    <n v="554.79999999999995"/>
    <n v="27.31"/>
    <n v="2"/>
    <n v="55330.94"/>
    <n v="3"/>
    <n v="18443.646666666667"/>
    <n v="7152"/>
    <n v="300.2164502164502"/>
    <x v="3"/>
    <s v="Excellent"/>
    <s v="Very High"/>
  </r>
  <r>
    <n v="15"/>
    <x v="6"/>
    <n v="2013"/>
    <n v="36367"/>
    <x v="3"/>
    <x v="1"/>
    <x v="1"/>
    <n v="2157"/>
    <n v="277.3"/>
    <n v="6.97"/>
    <n v="6"/>
    <n v="11468.04"/>
    <n v="11"/>
    <n v="1042.5490909090911"/>
    <n v="3306.090909090909"/>
    <n v="128.55818266110339"/>
    <x v="2"/>
    <s v="Low"/>
    <s v="Very High"/>
  </r>
  <r>
    <n v="16"/>
    <x v="3"/>
    <n v="2023"/>
    <n v="59624"/>
    <x v="2"/>
    <x v="0"/>
    <x v="0"/>
    <n v="4226"/>
    <n v="231.6"/>
    <n v="13.27"/>
    <n v="6"/>
    <n v="114633.4"/>
    <n v="1"/>
    <n v="114633.4"/>
    <n v="59624"/>
    <n v="54.803596781826784"/>
    <x v="3"/>
    <s v="Low"/>
    <s v="Very High"/>
  </r>
  <r>
    <n v="17"/>
    <x v="7"/>
    <n v="2018"/>
    <n v="146178"/>
    <x v="3"/>
    <x v="1"/>
    <x v="0"/>
    <n v="915"/>
    <n v="578.5"/>
    <n v="11.21"/>
    <n v="2"/>
    <n v="29120.880000000001"/>
    <n v="6"/>
    <n v="4853.4800000000005"/>
    <n v="24363"/>
    <n v="632.24043715846994"/>
    <x v="1"/>
    <s v="Low"/>
    <s v="Very High"/>
  </r>
  <r>
    <n v="18"/>
    <x v="2"/>
    <n v="2012"/>
    <n v="73008"/>
    <x v="0"/>
    <x v="1"/>
    <x v="0"/>
    <n v="2895"/>
    <n v="289.10000000000002"/>
    <n v="29.7"/>
    <n v="7"/>
    <n v="110910.01"/>
    <n v="12"/>
    <n v="9242.5008333333335"/>
    <n v="6084"/>
    <n v="99.861830742659762"/>
    <x v="2"/>
    <s v="Excellent"/>
    <s v="Very High"/>
  </r>
  <r>
    <n v="19"/>
    <x v="6"/>
    <n v="2013"/>
    <n v="130926"/>
    <x v="1"/>
    <x v="0"/>
    <x v="2"/>
    <n v="2601"/>
    <n v="313.89999999999998"/>
    <n v="14.73"/>
    <n v="4"/>
    <n v="52829.5"/>
    <n v="11"/>
    <n v="4802.681818181818"/>
    <n v="11902.363636363636"/>
    <n v="120.68435217224143"/>
    <x v="2"/>
    <s v="Low"/>
    <s v="Very High"/>
  </r>
  <r>
    <n v="20"/>
    <x v="7"/>
    <n v="2015"/>
    <n v="120395"/>
    <x v="2"/>
    <x v="0"/>
    <x v="0"/>
    <n v="2946"/>
    <n v="236.9"/>
    <n v="23.32"/>
    <n v="4"/>
    <n v="118306.32"/>
    <n v="9"/>
    <n v="13145.146666666667"/>
    <n v="13377.222222222223"/>
    <n v="80.414120841819411"/>
    <x v="2"/>
    <s v="Good"/>
    <s v="Very High"/>
  </r>
  <r>
    <n v="21"/>
    <x v="3"/>
    <n v="2005"/>
    <n v="121492"/>
    <x v="0"/>
    <x v="1"/>
    <x v="1"/>
    <n v="2420"/>
    <n v="549.29999999999995"/>
    <n v="22.12"/>
    <n v="7"/>
    <n v="67824.83"/>
    <n v="19"/>
    <n v="3569.7278947368422"/>
    <n v="6394.3157894736842"/>
    <n v="226.98347107438016"/>
    <x v="0"/>
    <s v="Good"/>
    <s v="Very High"/>
  </r>
  <r>
    <n v="22"/>
    <x v="8"/>
    <n v="2018"/>
    <n v="77240"/>
    <x v="1"/>
    <x v="1"/>
    <x v="0"/>
    <n v="3750"/>
    <n v="358.6"/>
    <n v="10.3"/>
    <n v="6"/>
    <n v="111907.45"/>
    <n v="6"/>
    <n v="18651.241666666665"/>
    <n v="12873.333333333334"/>
    <n v="95.626666666666679"/>
    <x v="1"/>
    <s v="Low"/>
    <s v="Very High"/>
  </r>
  <r>
    <n v="23"/>
    <x v="4"/>
    <n v="2009"/>
    <n v="69315"/>
    <x v="2"/>
    <x v="0"/>
    <x v="1"/>
    <n v="4592"/>
    <n v="466.8"/>
    <n v="10.97"/>
    <n v="4"/>
    <n v="3625.83"/>
    <n v="15"/>
    <n v="241.72200000000001"/>
    <n v="4621"/>
    <n v="101.65505226480838"/>
    <x v="0"/>
    <s v="Low"/>
    <s v="Very High"/>
  </r>
  <r>
    <n v="24"/>
    <x v="6"/>
    <n v="2018"/>
    <n v="15756"/>
    <x v="3"/>
    <x v="1"/>
    <x v="0"/>
    <n v="3741"/>
    <n v="494.6"/>
    <n v="12.03"/>
    <n v="5"/>
    <n v="90543.94"/>
    <n v="6"/>
    <n v="15090.656666666668"/>
    <n v="2626"/>
    <n v="132.21063886661321"/>
    <x v="1"/>
    <s v="Low"/>
    <s v="Very High"/>
  </r>
  <r>
    <n v="25"/>
    <x v="9"/>
    <n v="2008"/>
    <n v="41378"/>
    <x v="0"/>
    <x v="1"/>
    <x v="1"/>
    <n v="1777"/>
    <n v="231.4"/>
    <n v="15.28"/>
    <n v="5"/>
    <n v="108656.93"/>
    <n v="16"/>
    <n v="6791.0581249999996"/>
    <n v="2586.125"/>
    <n v="130.21947101857063"/>
    <x v="0"/>
    <s v="Average"/>
    <s v="Very High"/>
  </r>
  <r>
    <n v="26"/>
    <x v="8"/>
    <n v="2005"/>
    <n v="140327"/>
    <x v="1"/>
    <x v="0"/>
    <x v="1"/>
    <n v="3866"/>
    <n v="282.89999999999998"/>
    <n v="10.86"/>
    <n v="2"/>
    <n v="19347.310000000001"/>
    <n v="19"/>
    <n v="1018.2794736842106"/>
    <n v="7385.6315789473683"/>
    <n v="73.176409725814793"/>
    <x v="0"/>
    <s v="Low"/>
    <s v="Very High"/>
  </r>
  <r>
    <n v="27"/>
    <x v="4"/>
    <n v="2023"/>
    <n v="150556"/>
    <x v="2"/>
    <x v="1"/>
    <x v="0"/>
    <n v="1583"/>
    <n v="515.1"/>
    <n v="5.49"/>
    <n v="7"/>
    <n v="14246.72"/>
    <n v="1"/>
    <n v="14246.72"/>
    <n v="150556"/>
    <n v="325.3948199620973"/>
    <x v="3"/>
    <s v="Low"/>
    <s v="Very High"/>
  </r>
  <r>
    <n v="28"/>
    <x v="5"/>
    <n v="2012"/>
    <n v="130703"/>
    <x v="2"/>
    <x v="0"/>
    <x v="0"/>
    <n v="1040"/>
    <n v="243.4"/>
    <n v="26.98"/>
    <n v="7"/>
    <n v="52675"/>
    <n v="12"/>
    <n v="4389.583333333333"/>
    <n v="10891.916666666666"/>
    <n v="234.03846153846155"/>
    <x v="2"/>
    <s v="Excellent"/>
    <s v="Very High"/>
  </r>
  <r>
    <n v="29"/>
    <x v="0"/>
    <n v="2019"/>
    <n v="61549"/>
    <x v="3"/>
    <x v="1"/>
    <x v="1"/>
    <n v="2353"/>
    <n v="484.6"/>
    <n v="29.14"/>
    <n v="4"/>
    <n v="112240.43"/>
    <n v="5"/>
    <n v="22448.085999999999"/>
    <n v="12309.8"/>
    <n v="205.94985125371866"/>
    <x v="1"/>
    <s v="Excellent"/>
    <s v="Very High"/>
  </r>
  <r>
    <n v="30"/>
    <x v="1"/>
    <n v="2019"/>
    <n v="170575"/>
    <x v="1"/>
    <x v="0"/>
    <x v="2"/>
    <n v="1812"/>
    <n v="567"/>
    <n v="13.54"/>
    <n v="6"/>
    <n v="66459.23"/>
    <n v="5"/>
    <n v="13291.846"/>
    <n v="34115"/>
    <n v="312.91390728476819"/>
    <x v="1"/>
    <s v="Low"/>
    <s v="Very High"/>
  </r>
  <r>
    <n v="31"/>
    <x v="9"/>
    <n v="2013"/>
    <n v="78794"/>
    <x v="3"/>
    <x v="1"/>
    <x v="0"/>
    <n v="986"/>
    <n v="389"/>
    <n v="13.46"/>
    <n v="7"/>
    <n v="64712.41"/>
    <n v="11"/>
    <n v="5882.9463636363644"/>
    <n v="7163.090909090909"/>
    <n v="394.5233265720081"/>
    <x v="2"/>
    <s v="Low"/>
    <s v="Very High"/>
  </r>
  <r>
    <n v="32"/>
    <x v="5"/>
    <n v="2013"/>
    <n v="50113"/>
    <x v="3"/>
    <x v="0"/>
    <x v="2"/>
    <n v="2681"/>
    <n v="455.3"/>
    <n v="5.18"/>
    <n v="4"/>
    <n v="19511.759999999998"/>
    <n v="11"/>
    <n v="1773.7963636363636"/>
    <n v="4555.727272727273"/>
    <n v="169.82469227900037"/>
    <x v="2"/>
    <s v="Low"/>
    <s v="Very High"/>
  </r>
  <r>
    <n v="33"/>
    <x v="3"/>
    <n v="2014"/>
    <n v="79069"/>
    <x v="1"/>
    <x v="1"/>
    <x v="0"/>
    <n v="1230"/>
    <n v="490.9"/>
    <n v="22.01"/>
    <n v="4"/>
    <n v="3092.37"/>
    <n v="10"/>
    <n v="309.23699999999997"/>
    <n v="7906.9"/>
    <n v="399.10569105691053"/>
    <x v="2"/>
    <s v="Good"/>
    <s v="Very High"/>
  </r>
  <r>
    <n v="34"/>
    <x v="5"/>
    <n v="2024"/>
    <n v="141321"/>
    <x v="1"/>
    <x v="0"/>
    <x v="0"/>
    <n v="1038"/>
    <n v="513.20000000000005"/>
    <n v="25.64"/>
    <n v="7"/>
    <n v="97786.39"/>
    <n v="0"/>
    <n v="97786.39"/>
    <n v="141321"/>
    <n v="494.41233140655106"/>
    <x v="3"/>
    <s v="Excellent"/>
    <s v="Very High"/>
  </r>
  <r>
    <n v="35"/>
    <x v="0"/>
    <n v="2013"/>
    <n v="155273"/>
    <x v="1"/>
    <x v="1"/>
    <x v="0"/>
    <n v="3145"/>
    <n v="261.2"/>
    <n v="8.67"/>
    <n v="4"/>
    <n v="13246.22"/>
    <n v="11"/>
    <n v="1204.2018181818182"/>
    <n v="14115.727272727272"/>
    <n v="83.052464228934809"/>
    <x v="2"/>
    <s v="Low"/>
    <s v="Very High"/>
  </r>
  <r>
    <n v="36"/>
    <x v="3"/>
    <n v="2007"/>
    <n v="130541"/>
    <x v="0"/>
    <x v="1"/>
    <x v="0"/>
    <n v="875"/>
    <n v="68.7"/>
    <n v="8.99"/>
    <n v="2"/>
    <n v="77160.429999999993"/>
    <n v="17"/>
    <n v="4538.8488235294117"/>
    <n v="7678.8823529411766"/>
    <n v="78.51428571428572"/>
    <x v="0"/>
    <s v="Low"/>
    <s v="Low"/>
  </r>
  <r>
    <n v="37"/>
    <x v="9"/>
    <n v="2024"/>
    <n v="194648"/>
    <x v="1"/>
    <x v="1"/>
    <x v="2"/>
    <n v="2156"/>
    <n v="265.10000000000002"/>
    <n v="24.75"/>
    <n v="2"/>
    <n v="110010.13"/>
    <n v="0"/>
    <n v="110010.13"/>
    <n v="194648"/>
    <n v="122.9591836734694"/>
    <x v="3"/>
    <s v="Good"/>
    <s v="Very High"/>
  </r>
  <r>
    <n v="38"/>
    <x v="0"/>
    <n v="2015"/>
    <n v="14686"/>
    <x v="2"/>
    <x v="1"/>
    <x v="0"/>
    <n v="3130"/>
    <n v="417.3"/>
    <n v="20.41"/>
    <n v="7"/>
    <n v="27412.27"/>
    <n v="9"/>
    <n v="3045.807777777778"/>
    <n v="1631.7777777777778"/>
    <n v="133.32268370607031"/>
    <x v="2"/>
    <s v="Good"/>
    <s v="Very High"/>
  </r>
  <r>
    <n v="39"/>
    <x v="7"/>
    <n v="2010"/>
    <n v="58363"/>
    <x v="3"/>
    <x v="1"/>
    <x v="1"/>
    <n v="2702"/>
    <n v="292.2"/>
    <n v="6.12"/>
    <n v="6"/>
    <n v="80836.92"/>
    <n v="14"/>
    <n v="5774.0657142857144"/>
    <n v="4168.7857142857147"/>
    <n v="108.1421169504071"/>
    <x v="0"/>
    <s v="Low"/>
    <s v="Very High"/>
  </r>
  <r>
    <n v="40"/>
    <x v="1"/>
    <n v="2006"/>
    <n v="102543"/>
    <x v="0"/>
    <x v="1"/>
    <x v="1"/>
    <n v="4813"/>
    <n v="459.4"/>
    <n v="20.56"/>
    <n v="2"/>
    <n v="12207.73"/>
    <n v="18"/>
    <n v="678.20722222222219"/>
    <n v="5696.833333333333"/>
    <n v="95.449823394971958"/>
    <x v="0"/>
    <s v="Good"/>
    <s v="Very High"/>
  </r>
  <r>
    <n v="41"/>
    <x v="9"/>
    <n v="2011"/>
    <n v="136733"/>
    <x v="1"/>
    <x v="1"/>
    <x v="2"/>
    <n v="2859"/>
    <n v="239.9"/>
    <n v="12.72"/>
    <n v="2"/>
    <n v="73639.350000000006"/>
    <n v="13"/>
    <n v="5664.5653846153855"/>
    <n v="10517.923076923076"/>
    <n v="83.910458202168599"/>
    <x v="0"/>
    <s v="Low"/>
    <s v="Very High"/>
  </r>
  <r>
    <n v="42"/>
    <x v="7"/>
    <n v="2022"/>
    <n v="180915"/>
    <x v="0"/>
    <x v="1"/>
    <x v="0"/>
    <n v="940"/>
    <n v="395.5"/>
    <n v="14.22"/>
    <n v="7"/>
    <n v="22180.01"/>
    <n v="2"/>
    <n v="11090.004999999999"/>
    <n v="90457.5"/>
    <n v="420.74468085106383"/>
    <x v="3"/>
    <s v="Low"/>
    <s v="Very High"/>
  </r>
  <r>
    <n v="43"/>
    <x v="4"/>
    <n v="2006"/>
    <n v="100673"/>
    <x v="1"/>
    <x v="1"/>
    <x v="1"/>
    <n v="2589"/>
    <n v="144.4"/>
    <n v="24.24"/>
    <n v="5"/>
    <n v="89106.57"/>
    <n v="18"/>
    <n v="4950.3650000000007"/>
    <n v="5592.9444444444443"/>
    <n v="55.774430281962154"/>
    <x v="0"/>
    <s v="Good"/>
    <s v="Medium"/>
  </r>
  <r>
    <n v="44"/>
    <x v="9"/>
    <n v="2021"/>
    <n v="197035"/>
    <x v="0"/>
    <x v="0"/>
    <x v="2"/>
    <n v="4426"/>
    <n v="459.6"/>
    <n v="25.27"/>
    <n v="4"/>
    <n v="38244.06"/>
    <n v="3"/>
    <n v="12748.019999999999"/>
    <n v="65678.333333333328"/>
    <n v="103.84093990058744"/>
    <x v="3"/>
    <s v="Excellent"/>
    <s v="Very High"/>
  </r>
  <r>
    <n v="45"/>
    <x v="4"/>
    <n v="2015"/>
    <n v="47828"/>
    <x v="3"/>
    <x v="0"/>
    <x v="0"/>
    <n v="816"/>
    <n v="345.6"/>
    <n v="15.01"/>
    <n v="2"/>
    <n v="57216.75"/>
    <n v="9"/>
    <n v="6357.416666666667"/>
    <n v="5314.2222222222226"/>
    <n v="423.52941176470591"/>
    <x v="2"/>
    <s v="Average"/>
    <s v="Very High"/>
  </r>
  <r>
    <n v="46"/>
    <x v="3"/>
    <n v="2016"/>
    <n v="53604"/>
    <x v="3"/>
    <x v="1"/>
    <x v="1"/>
    <n v="1264"/>
    <n v="154.30000000000001"/>
    <n v="28.68"/>
    <n v="5"/>
    <n v="73133.37"/>
    <n v="8"/>
    <n v="9141.6712499999994"/>
    <n v="6700.5"/>
    <n v="122.07278481012659"/>
    <x v="2"/>
    <s v="Excellent"/>
    <s v="High"/>
  </r>
  <r>
    <n v="47"/>
    <x v="7"/>
    <n v="2023"/>
    <n v="15526"/>
    <x v="2"/>
    <x v="0"/>
    <x v="1"/>
    <n v="2627"/>
    <n v="203.5"/>
    <n v="15.16"/>
    <n v="6"/>
    <n v="23038.99"/>
    <n v="1"/>
    <n v="23038.99"/>
    <n v="15526"/>
    <n v="77.464788732394368"/>
    <x v="3"/>
    <s v="Average"/>
    <s v="Very High"/>
  </r>
  <r>
    <n v="48"/>
    <x v="1"/>
    <n v="2011"/>
    <n v="73910"/>
    <x v="2"/>
    <x v="1"/>
    <x v="2"/>
    <n v="3828"/>
    <n v="459.2"/>
    <n v="24.3"/>
    <n v="5"/>
    <n v="89771.62"/>
    <n v="13"/>
    <n v="6905.5092307692303"/>
    <n v="5685.3846153846152"/>
    <n v="119.95820271682341"/>
    <x v="0"/>
    <s v="Good"/>
    <s v="Very High"/>
  </r>
  <r>
    <n v="49"/>
    <x v="0"/>
    <n v="2024"/>
    <n v="30592"/>
    <x v="1"/>
    <x v="1"/>
    <x v="0"/>
    <n v="1319"/>
    <n v="310.3"/>
    <n v="17.100000000000001"/>
    <n v="7"/>
    <n v="38408.92"/>
    <n v="0"/>
    <n v="38408.92"/>
    <n v="30592"/>
    <n v="235.25398028809707"/>
    <x v="3"/>
    <s v="Average"/>
    <s v="Very High"/>
  </r>
  <r>
    <n v="50"/>
    <x v="2"/>
    <n v="2010"/>
    <n v="33982"/>
    <x v="3"/>
    <x v="0"/>
    <x v="0"/>
    <n v="889"/>
    <n v="161"/>
    <n v="27.44"/>
    <n v="6"/>
    <n v="80497.509999999995"/>
    <n v="14"/>
    <n v="5749.8221428571424"/>
    <n v="2427.2857142857142"/>
    <n v="181.10236220472441"/>
    <x v="0"/>
    <s v="Excellent"/>
    <s v="High"/>
  </r>
  <r>
    <n v="51"/>
    <x v="5"/>
    <n v="2005"/>
    <n v="5207"/>
    <x v="0"/>
    <x v="1"/>
    <x v="1"/>
    <n v="3651"/>
    <n v="581.70000000000005"/>
    <n v="27.69"/>
    <n v="6"/>
    <n v="21519.119999999999"/>
    <n v="19"/>
    <n v="1132.5852631578946"/>
    <n v="274.05263157894734"/>
    <n v="159.32621199671325"/>
    <x v="0"/>
    <s v="Excellent"/>
    <s v="Very High"/>
  </r>
  <r>
    <n v="52"/>
    <x v="8"/>
    <n v="2021"/>
    <n v="93733"/>
    <x v="0"/>
    <x v="1"/>
    <x v="1"/>
    <n v="3643"/>
    <n v="440.5"/>
    <n v="7.19"/>
    <n v="5"/>
    <n v="83509.77"/>
    <n v="3"/>
    <n v="27836.59"/>
    <n v="31244.333333333332"/>
    <n v="120.91682679110623"/>
    <x v="3"/>
    <s v="Low"/>
    <s v="Very High"/>
  </r>
  <r>
    <n v="53"/>
    <x v="1"/>
    <n v="2015"/>
    <n v="129982"/>
    <x v="0"/>
    <x v="0"/>
    <x v="1"/>
    <n v="2684"/>
    <n v="576"/>
    <n v="28.41"/>
    <n v="7"/>
    <n v="17998"/>
    <n v="9"/>
    <n v="1999.7777777777778"/>
    <n v="14442.444444444445"/>
    <n v="214.60506706408344"/>
    <x v="2"/>
    <s v="Excellent"/>
    <s v="Very High"/>
  </r>
  <r>
    <n v="54"/>
    <x v="7"/>
    <n v="2022"/>
    <n v="73619"/>
    <x v="2"/>
    <x v="0"/>
    <x v="0"/>
    <n v="4971"/>
    <n v="279.2"/>
    <n v="25.64"/>
    <n v="2"/>
    <n v="52766.71"/>
    <n v="2"/>
    <n v="26383.355"/>
    <n v="36809.5"/>
    <n v="56.165761416214039"/>
    <x v="3"/>
    <s v="Excellent"/>
    <s v="Very High"/>
  </r>
  <r>
    <n v="55"/>
    <x v="2"/>
    <n v="2021"/>
    <n v="165400"/>
    <x v="0"/>
    <x v="1"/>
    <x v="2"/>
    <n v="1725"/>
    <n v="306.10000000000002"/>
    <n v="24.78"/>
    <n v="5"/>
    <n v="31923.11"/>
    <n v="3"/>
    <n v="10641.036666666667"/>
    <n v="55133.333333333336"/>
    <n v="177.44927536231884"/>
    <x v="3"/>
    <s v="Good"/>
    <s v="Very High"/>
  </r>
  <r>
    <n v="56"/>
    <x v="1"/>
    <n v="2011"/>
    <n v="51479"/>
    <x v="2"/>
    <x v="0"/>
    <x v="2"/>
    <n v="4534"/>
    <n v="542.9"/>
    <n v="10.02"/>
    <n v="2"/>
    <n v="90559.9"/>
    <n v="13"/>
    <n v="6966.1461538461535"/>
    <n v="3959.9230769230771"/>
    <n v="119.73974415527128"/>
    <x v="0"/>
    <s v="Low"/>
    <s v="Very High"/>
  </r>
  <r>
    <n v="57"/>
    <x v="7"/>
    <n v="2021"/>
    <n v="156175"/>
    <x v="2"/>
    <x v="0"/>
    <x v="0"/>
    <n v="1769"/>
    <n v="334"/>
    <n v="25.13"/>
    <n v="5"/>
    <n v="33658.1"/>
    <n v="3"/>
    <n v="11219.366666666667"/>
    <n v="52058.333333333336"/>
    <n v="188.80723572639911"/>
    <x v="3"/>
    <s v="Excellent"/>
    <s v="Very High"/>
  </r>
  <r>
    <n v="58"/>
    <x v="6"/>
    <n v="2024"/>
    <n v="175963"/>
    <x v="1"/>
    <x v="1"/>
    <x v="2"/>
    <n v="1894"/>
    <n v="436.1"/>
    <n v="26.25"/>
    <n v="2"/>
    <n v="106160.92"/>
    <n v="0"/>
    <n v="106160.92"/>
    <n v="175963"/>
    <n v="230.25343189017954"/>
    <x v="3"/>
    <s v="Excellent"/>
    <s v="Very High"/>
  </r>
  <r>
    <n v="59"/>
    <x v="6"/>
    <n v="2013"/>
    <n v="146826"/>
    <x v="0"/>
    <x v="0"/>
    <x v="1"/>
    <n v="3995"/>
    <n v="181.2"/>
    <n v="12.23"/>
    <n v="5"/>
    <n v="107342.96"/>
    <n v="11"/>
    <n v="9758.4509090909105"/>
    <n v="13347.818181818182"/>
    <n v="45.356695869837296"/>
    <x v="2"/>
    <s v="Low"/>
    <s v="High"/>
  </r>
  <r>
    <n v="60"/>
    <x v="4"/>
    <n v="2021"/>
    <n v="86437"/>
    <x v="0"/>
    <x v="0"/>
    <x v="2"/>
    <n v="2204"/>
    <n v="290.2"/>
    <n v="28.81"/>
    <n v="6"/>
    <n v="25983.63"/>
    <n v="3"/>
    <n v="8661.2100000000009"/>
    <n v="28812.333333333332"/>
    <n v="131.66969147005443"/>
    <x v="3"/>
    <s v="Excellent"/>
    <s v="Very High"/>
  </r>
  <r>
    <n v="61"/>
    <x v="1"/>
    <n v="2024"/>
    <n v="103540"/>
    <x v="3"/>
    <x v="1"/>
    <x v="2"/>
    <n v="4164"/>
    <n v="109.1"/>
    <n v="6.25"/>
    <n v="4"/>
    <n v="74819.98"/>
    <n v="0"/>
    <n v="74819.98"/>
    <n v="103540"/>
    <n v="26.200768491834776"/>
    <x v="3"/>
    <s v="Low"/>
    <s v="Medium"/>
  </r>
  <r>
    <n v="62"/>
    <x v="6"/>
    <n v="2012"/>
    <n v="77982"/>
    <x v="1"/>
    <x v="0"/>
    <x v="2"/>
    <n v="4782"/>
    <n v="155.30000000000001"/>
    <n v="8.75"/>
    <n v="6"/>
    <n v="13262.96"/>
    <n v="12"/>
    <n v="1105.2466666666667"/>
    <n v="6498.5"/>
    <n v="32.475951484734424"/>
    <x v="2"/>
    <s v="Low"/>
    <s v="High"/>
  </r>
  <r>
    <n v="63"/>
    <x v="7"/>
    <n v="2021"/>
    <n v="107747"/>
    <x v="3"/>
    <x v="0"/>
    <x v="1"/>
    <n v="4813"/>
    <n v="40.5"/>
    <n v="18.440000000000001"/>
    <n v="2"/>
    <n v="48809.84"/>
    <n v="3"/>
    <n v="16269.946666666665"/>
    <n v="35915.666666666664"/>
    <n v="8.4147101599833789"/>
    <x v="3"/>
    <s v="Average"/>
    <s v="Low"/>
  </r>
  <r>
    <n v="64"/>
    <x v="4"/>
    <n v="2011"/>
    <n v="191994"/>
    <x v="1"/>
    <x v="1"/>
    <x v="0"/>
    <n v="3892"/>
    <n v="62"/>
    <n v="19.39"/>
    <n v="7"/>
    <n v="86458.64"/>
    <n v="13"/>
    <n v="6650.664615384615"/>
    <n v="14768.76923076923"/>
    <n v="15.93011305241521"/>
    <x v="0"/>
    <s v="Average"/>
    <s v="Low"/>
  </r>
  <r>
    <n v="65"/>
    <x v="7"/>
    <n v="2005"/>
    <n v="53231"/>
    <x v="0"/>
    <x v="1"/>
    <x v="1"/>
    <n v="4959"/>
    <n v="587.29999999999995"/>
    <n v="21.13"/>
    <n v="6"/>
    <n v="80152.52"/>
    <n v="19"/>
    <n v="4218.5536842105266"/>
    <n v="2801.6315789473683"/>
    <n v="118.43113530953821"/>
    <x v="0"/>
    <s v="Good"/>
    <s v="Very High"/>
  </r>
  <r>
    <n v="66"/>
    <x v="4"/>
    <n v="2017"/>
    <n v="34301"/>
    <x v="2"/>
    <x v="1"/>
    <x v="0"/>
    <n v="2874"/>
    <n v="175.7"/>
    <n v="5.42"/>
    <n v="4"/>
    <n v="76089.98"/>
    <n v="7"/>
    <n v="10869.997142857143"/>
    <n v="4900.1428571428569"/>
    <n v="61.134307585247036"/>
    <x v="1"/>
    <s v="Low"/>
    <s v="High"/>
  </r>
  <r>
    <n v="67"/>
    <x v="1"/>
    <n v="2023"/>
    <n v="198783"/>
    <x v="2"/>
    <x v="0"/>
    <x v="0"/>
    <n v="1084"/>
    <n v="411.5"/>
    <n v="29.01"/>
    <n v="2"/>
    <n v="36057.279999999999"/>
    <n v="1"/>
    <n v="36057.279999999999"/>
    <n v="198783"/>
    <n v="379.61254612546122"/>
    <x v="3"/>
    <s v="Excellent"/>
    <s v="Very High"/>
  </r>
  <r>
    <n v="68"/>
    <x v="2"/>
    <n v="2023"/>
    <n v="177395"/>
    <x v="2"/>
    <x v="1"/>
    <x v="0"/>
    <n v="1987"/>
    <n v="509.9"/>
    <n v="6.11"/>
    <n v="6"/>
    <n v="47228.92"/>
    <n v="1"/>
    <n v="47228.92"/>
    <n v="177395"/>
    <n v="256.61801711122291"/>
    <x v="3"/>
    <s v="Low"/>
    <s v="Very High"/>
  </r>
  <r>
    <n v="69"/>
    <x v="0"/>
    <n v="2021"/>
    <n v="23752"/>
    <x v="2"/>
    <x v="1"/>
    <x v="2"/>
    <n v="4769"/>
    <n v="348.4"/>
    <n v="8.58"/>
    <n v="5"/>
    <n v="15044.7"/>
    <n v="3"/>
    <n v="5014.9000000000005"/>
    <n v="7917.333333333333"/>
    <n v="73.055147829733684"/>
    <x v="3"/>
    <s v="Low"/>
    <s v="Very High"/>
  </r>
  <r>
    <n v="70"/>
    <x v="9"/>
    <n v="2017"/>
    <n v="103452"/>
    <x v="2"/>
    <x v="0"/>
    <x v="2"/>
    <n v="3765"/>
    <n v="125.8"/>
    <n v="5.35"/>
    <n v="7"/>
    <n v="87125.67"/>
    <n v="7"/>
    <n v="12446.524285714286"/>
    <n v="14778.857142857143"/>
    <n v="33.41301460823373"/>
    <x v="1"/>
    <s v="Low"/>
    <s v="Medium"/>
  </r>
  <r>
    <n v="71"/>
    <x v="2"/>
    <n v="2020"/>
    <n v="149467"/>
    <x v="3"/>
    <x v="1"/>
    <x v="0"/>
    <n v="1583"/>
    <n v="447.7"/>
    <n v="19.170000000000002"/>
    <n v="2"/>
    <n v="61954.99"/>
    <n v="4"/>
    <n v="15488.747499999999"/>
    <n v="37366.75"/>
    <n v="282.81743524952623"/>
    <x v="1"/>
    <s v="Average"/>
    <s v="Very High"/>
  </r>
  <r>
    <n v="72"/>
    <x v="3"/>
    <n v="2012"/>
    <n v="126237"/>
    <x v="1"/>
    <x v="1"/>
    <x v="0"/>
    <n v="1749"/>
    <n v="376.1"/>
    <n v="28.31"/>
    <n v="6"/>
    <n v="85925.58"/>
    <n v="12"/>
    <n v="7160.4650000000001"/>
    <n v="10519.75"/>
    <n v="215.03716409376787"/>
    <x v="2"/>
    <s v="Excellent"/>
    <s v="Very High"/>
  </r>
  <r>
    <n v="73"/>
    <x v="7"/>
    <n v="2023"/>
    <n v="61273"/>
    <x v="0"/>
    <x v="1"/>
    <x v="2"/>
    <n v="4739"/>
    <n v="449.5"/>
    <n v="21.65"/>
    <n v="2"/>
    <n v="32126.39"/>
    <n v="1"/>
    <n v="32126.39"/>
    <n v="61273"/>
    <n v="94.851234437645076"/>
    <x v="3"/>
    <s v="Good"/>
    <s v="Very High"/>
  </r>
  <r>
    <n v="74"/>
    <x v="3"/>
    <n v="2022"/>
    <n v="96878"/>
    <x v="3"/>
    <x v="1"/>
    <x v="1"/>
    <n v="844"/>
    <n v="471.1"/>
    <n v="25.57"/>
    <n v="5"/>
    <n v="40959.269999999997"/>
    <n v="2"/>
    <n v="20479.634999999998"/>
    <n v="48439"/>
    <n v="558.17535545023702"/>
    <x v="3"/>
    <s v="Excellent"/>
    <s v="Very High"/>
  </r>
  <r>
    <n v="75"/>
    <x v="2"/>
    <n v="2005"/>
    <n v="9895"/>
    <x v="1"/>
    <x v="0"/>
    <x v="0"/>
    <n v="2610"/>
    <n v="586.20000000000005"/>
    <n v="5.33"/>
    <n v="4"/>
    <n v="42103.19"/>
    <n v="19"/>
    <n v="2215.9573684210527"/>
    <n v="520.78947368421052"/>
    <n v="224.59770114942532"/>
    <x v="0"/>
    <s v="Low"/>
    <s v="Very High"/>
  </r>
  <r>
    <n v="76"/>
    <x v="4"/>
    <n v="2018"/>
    <n v="124968"/>
    <x v="2"/>
    <x v="1"/>
    <x v="1"/>
    <n v="2881"/>
    <n v="361.2"/>
    <n v="18.55"/>
    <n v="6"/>
    <n v="6011.86"/>
    <n v="6"/>
    <n v="1001.9766666666666"/>
    <n v="20828"/>
    <n v="125.37313432835822"/>
    <x v="1"/>
    <s v="Average"/>
    <s v="Very High"/>
  </r>
  <r>
    <n v="77"/>
    <x v="9"/>
    <n v="2023"/>
    <n v="120700"/>
    <x v="1"/>
    <x v="1"/>
    <x v="2"/>
    <n v="4298"/>
    <n v="231.3"/>
    <n v="16.489999999999998"/>
    <n v="2"/>
    <n v="42902.6"/>
    <n v="1"/>
    <n v="42902.6"/>
    <n v="120700"/>
    <n v="53.815728245695674"/>
    <x v="3"/>
    <s v="Average"/>
    <s v="Very High"/>
  </r>
  <r>
    <n v="78"/>
    <x v="9"/>
    <n v="2019"/>
    <n v="81559"/>
    <x v="1"/>
    <x v="0"/>
    <x v="0"/>
    <n v="1629"/>
    <n v="403.1"/>
    <n v="17.47"/>
    <n v="2"/>
    <n v="96986.64"/>
    <n v="5"/>
    <n v="19397.328000000001"/>
    <n v="16311.8"/>
    <n v="247.45242480049112"/>
    <x v="1"/>
    <s v="Average"/>
    <s v="Very High"/>
  </r>
  <r>
    <n v="79"/>
    <x v="8"/>
    <n v="2022"/>
    <n v="15699"/>
    <x v="2"/>
    <x v="1"/>
    <x v="1"/>
    <n v="2709"/>
    <n v="78.3"/>
    <n v="6.81"/>
    <n v="2"/>
    <n v="107983.92"/>
    <n v="2"/>
    <n v="53991.96"/>
    <n v="7849.5"/>
    <n v="28.903654485049831"/>
    <x v="3"/>
    <s v="Low"/>
    <s v="Low"/>
  </r>
  <r>
    <n v="80"/>
    <x v="9"/>
    <n v="2006"/>
    <n v="14715"/>
    <x v="2"/>
    <x v="0"/>
    <x v="1"/>
    <n v="3381"/>
    <n v="542.5"/>
    <n v="22.11"/>
    <n v="4"/>
    <n v="63631.54"/>
    <n v="18"/>
    <n v="3535.0855555555554"/>
    <n v="817.5"/>
    <n v="160.45548654244308"/>
    <x v="0"/>
    <s v="Good"/>
    <s v="Very High"/>
  </r>
  <r>
    <n v="81"/>
    <x v="0"/>
    <n v="2021"/>
    <n v="24169"/>
    <x v="2"/>
    <x v="0"/>
    <x v="1"/>
    <n v="1491"/>
    <n v="106.9"/>
    <n v="17.579999999999998"/>
    <n v="2"/>
    <n v="56293.7"/>
    <n v="3"/>
    <n v="18764.566666666666"/>
    <n v="8056.333333333333"/>
    <n v="71.696847753185779"/>
    <x v="3"/>
    <s v="Average"/>
    <s v="Medium"/>
  </r>
  <r>
    <n v="82"/>
    <x v="9"/>
    <n v="2022"/>
    <n v="123413"/>
    <x v="0"/>
    <x v="0"/>
    <x v="2"/>
    <n v="4819"/>
    <n v="223.6"/>
    <n v="24.13"/>
    <n v="7"/>
    <n v="6606.48"/>
    <n v="2"/>
    <n v="3303.24"/>
    <n v="61706.5"/>
    <n v="46.399667980908902"/>
    <x v="3"/>
    <s v="Good"/>
    <s v="Very High"/>
  </r>
  <r>
    <n v="83"/>
    <x v="2"/>
    <n v="2010"/>
    <n v="152235"/>
    <x v="2"/>
    <x v="1"/>
    <x v="2"/>
    <n v="1731"/>
    <n v="496.8"/>
    <n v="17.13"/>
    <n v="7"/>
    <n v="105866.91"/>
    <n v="14"/>
    <n v="7561.9221428571427"/>
    <n v="10873.928571428571"/>
    <n v="287.00173310225301"/>
    <x v="0"/>
    <s v="Average"/>
    <s v="Very High"/>
  </r>
  <r>
    <n v="84"/>
    <x v="8"/>
    <n v="2023"/>
    <n v="124264"/>
    <x v="0"/>
    <x v="0"/>
    <x v="1"/>
    <n v="4206"/>
    <n v="374.5"/>
    <n v="8.73"/>
    <n v="2"/>
    <n v="4522.1899999999996"/>
    <n v="1"/>
    <n v="4522.1899999999996"/>
    <n v="124264"/>
    <n v="89.039467427484539"/>
    <x v="3"/>
    <s v="Low"/>
    <s v="Very High"/>
  </r>
  <r>
    <n v="85"/>
    <x v="2"/>
    <n v="2008"/>
    <n v="10782"/>
    <x v="2"/>
    <x v="0"/>
    <x v="1"/>
    <n v="947"/>
    <n v="260.39999999999998"/>
    <n v="21.21"/>
    <n v="7"/>
    <n v="113535.76"/>
    <n v="16"/>
    <n v="7095.9849999999997"/>
    <n v="673.875"/>
    <n v="274.97360084477293"/>
    <x v="0"/>
    <s v="Good"/>
    <s v="Very High"/>
  </r>
  <r>
    <n v="86"/>
    <x v="2"/>
    <n v="2005"/>
    <n v="129481"/>
    <x v="0"/>
    <x v="0"/>
    <x v="2"/>
    <n v="1832"/>
    <n v="305.10000000000002"/>
    <n v="9.31"/>
    <n v="6"/>
    <n v="60238.3"/>
    <n v="19"/>
    <n v="3170.4368421052632"/>
    <n v="6814.7894736842109"/>
    <n v="166.53930131004367"/>
    <x v="0"/>
    <s v="Low"/>
    <s v="Very High"/>
  </r>
  <r>
    <n v="87"/>
    <x v="5"/>
    <n v="2012"/>
    <n v="40585"/>
    <x v="1"/>
    <x v="1"/>
    <x v="1"/>
    <n v="2111"/>
    <n v="518.5"/>
    <n v="26.81"/>
    <n v="7"/>
    <n v="43006.34"/>
    <n v="12"/>
    <n v="3583.8616666666662"/>
    <n v="3382.0833333333335"/>
    <n v="245.61819043107531"/>
    <x v="2"/>
    <s v="Excellent"/>
    <s v="Very High"/>
  </r>
  <r>
    <n v="88"/>
    <x v="8"/>
    <n v="2011"/>
    <n v="35682"/>
    <x v="3"/>
    <x v="1"/>
    <x v="1"/>
    <n v="1187"/>
    <n v="230.4"/>
    <n v="20.329999999999998"/>
    <n v="2"/>
    <n v="111133.56"/>
    <n v="13"/>
    <n v="8548.7353846153837"/>
    <n v="2744.7692307692309"/>
    <n v="194.10278011794441"/>
    <x v="0"/>
    <s v="Good"/>
    <s v="Very High"/>
  </r>
  <r>
    <n v="89"/>
    <x v="2"/>
    <n v="2007"/>
    <n v="183936"/>
    <x v="1"/>
    <x v="1"/>
    <x v="2"/>
    <n v="3921"/>
    <n v="527"/>
    <n v="8.93"/>
    <n v="5"/>
    <n v="5853.75"/>
    <n v="17"/>
    <n v="344.33823529411762"/>
    <n v="10819.764705882353"/>
    <n v="134.40448865085438"/>
    <x v="0"/>
    <s v="Low"/>
    <s v="Very High"/>
  </r>
  <r>
    <n v="90"/>
    <x v="5"/>
    <n v="2014"/>
    <n v="134992"/>
    <x v="1"/>
    <x v="1"/>
    <x v="1"/>
    <n v="2673"/>
    <n v="89.4"/>
    <n v="29.06"/>
    <n v="6"/>
    <n v="71026.710000000006"/>
    <n v="10"/>
    <n v="7102.6710000000003"/>
    <n v="13499.2"/>
    <n v="33.445566778900115"/>
    <x v="2"/>
    <s v="Excellent"/>
    <s v="Low"/>
  </r>
  <r>
    <n v="91"/>
    <x v="5"/>
    <n v="2014"/>
    <n v="89416"/>
    <x v="2"/>
    <x v="1"/>
    <x v="1"/>
    <n v="4388"/>
    <n v="475"/>
    <n v="17.96"/>
    <n v="4"/>
    <n v="67225.11"/>
    <n v="10"/>
    <n v="6722.5110000000004"/>
    <n v="8941.6"/>
    <n v="108.24977210574293"/>
    <x v="2"/>
    <s v="Average"/>
    <s v="Very High"/>
  </r>
  <r>
    <n v="92"/>
    <x v="8"/>
    <n v="2023"/>
    <n v="191186"/>
    <x v="0"/>
    <x v="1"/>
    <x v="1"/>
    <n v="1715"/>
    <n v="514.6"/>
    <n v="6.82"/>
    <n v="2"/>
    <n v="28660.49"/>
    <n v="1"/>
    <n v="28660.49"/>
    <n v="191186"/>
    <n v="300.05830903790087"/>
    <x v="3"/>
    <s v="Low"/>
    <s v="Very High"/>
  </r>
  <r>
    <n v="93"/>
    <x v="3"/>
    <n v="2018"/>
    <n v="132810"/>
    <x v="3"/>
    <x v="1"/>
    <x v="2"/>
    <n v="2678"/>
    <n v="141.80000000000001"/>
    <n v="20.67"/>
    <n v="4"/>
    <n v="53179.83"/>
    <n v="6"/>
    <n v="8863.3050000000003"/>
    <n v="22135"/>
    <n v="52.949962658700528"/>
    <x v="1"/>
    <s v="Good"/>
    <s v="Medium"/>
  </r>
  <r>
    <n v="94"/>
    <x v="4"/>
    <n v="2006"/>
    <n v="43067"/>
    <x v="2"/>
    <x v="0"/>
    <x v="1"/>
    <n v="4548"/>
    <n v="281"/>
    <n v="11.33"/>
    <n v="5"/>
    <n v="79314.89"/>
    <n v="18"/>
    <n v="4406.3827777777778"/>
    <n v="2392.6111111111113"/>
    <n v="61.785400175901493"/>
    <x v="0"/>
    <s v="Low"/>
    <s v="Very High"/>
  </r>
  <r>
    <n v="95"/>
    <x v="0"/>
    <n v="2005"/>
    <n v="178757"/>
    <x v="2"/>
    <x v="0"/>
    <x v="2"/>
    <n v="1077"/>
    <n v="132.69999999999999"/>
    <n v="25.09"/>
    <n v="4"/>
    <n v="88074.35"/>
    <n v="19"/>
    <n v="4635.492105263158"/>
    <n v="9408.2631578947367"/>
    <n v="123.21262766945217"/>
    <x v="0"/>
    <s v="Excellent"/>
    <s v="Medium"/>
  </r>
  <r>
    <n v="96"/>
    <x v="4"/>
    <n v="2022"/>
    <n v="23073"/>
    <x v="2"/>
    <x v="0"/>
    <x v="2"/>
    <n v="2777"/>
    <n v="435.7"/>
    <n v="25.45"/>
    <n v="2"/>
    <n v="3083.87"/>
    <n v="2"/>
    <n v="1541.9349999999999"/>
    <n v="11536.5"/>
    <n v="156.89593086064096"/>
    <x v="3"/>
    <s v="Excellent"/>
    <s v="Very High"/>
  </r>
  <r>
    <n v="97"/>
    <x v="9"/>
    <n v="2011"/>
    <n v="41035"/>
    <x v="1"/>
    <x v="0"/>
    <x v="0"/>
    <n v="2659"/>
    <n v="339.8"/>
    <n v="29.47"/>
    <n v="2"/>
    <n v="112611.85"/>
    <n v="13"/>
    <n v="8662.4500000000007"/>
    <n v="3156.5384615384614"/>
    <n v="127.79240315908237"/>
    <x v="0"/>
    <s v="Excellent"/>
    <s v="Very High"/>
  </r>
  <r>
    <n v="98"/>
    <x v="0"/>
    <n v="2012"/>
    <n v="95373"/>
    <x v="0"/>
    <x v="1"/>
    <x v="0"/>
    <n v="3836"/>
    <n v="395.8"/>
    <n v="17.55"/>
    <n v="5"/>
    <n v="22249.47"/>
    <n v="12"/>
    <n v="1854.1225000000002"/>
    <n v="7947.75"/>
    <n v="103.18039624608969"/>
    <x v="2"/>
    <s v="Average"/>
    <s v="Very High"/>
  </r>
  <r>
    <n v="99"/>
    <x v="9"/>
    <n v="2005"/>
    <n v="88362"/>
    <x v="0"/>
    <x v="0"/>
    <x v="1"/>
    <n v="4171"/>
    <n v="150"/>
    <n v="16.37"/>
    <n v="2"/>
    <n v="30328.91"/>
    <n v="19"/>
    <n v="1596.2584210526315"/>
    <n v="4650.6315789473683"/>
    <n v="35.962598897146968"/>
    <x v="0"/>
    <s v="Average"/>
    <s v="High"/>
  </r>
  <r>
    <n v="100"/>
    <x v="2"/>
    <n v="2007"/>
    <n v="95517"/>
    <x v="3"/>
    <x v="0"/>
    <x v="2"/>
    <n v="2982"/>
    <n v="158.6"/>
    <n v="23.84"/>
    <n v="5"/>
    <n v="33826.39"/>
    <n v="17"/>
    <n v="1989.7876470588235"/>
    <n v="5618.6470588235297"/>
    <n v="53.185781354795431"/>
    <x v="0"/>
    <s v="Good"/>
    <s v="High"/>
  </r>
  <r>
    <n v="101"/>
    <x v="7"/>
    <n v="2012"/>
    <n v="70450"/>
    <x v="0"/>
    <x v="0"/>
    <x v="0"/>
    <n v="1970"/>
    <n v="63.2"/>
    <n v="8.31"/>
    <n v="5"/>
    <n v="7424.96"/>
    <n v="12"/>
    <n v="618.74666666666667"/>
    <n v="5870.833333333333"/>
    <n v="32.081218274111677"/>
    <x v="2"/>
    <s v="Low"/>
    <s v="Low"/>
  </r>
  <r>
    <n v="102"/>
    <x v="8"/>
    <n v="2019"/>
    <n v="15382"/>
    <x v="0"/>
    <x v="0"/>
    <x v="1"/>
    <n v="1289"/>
    <n v="220.4"/>
    <n v="18.670000000000002"/>
    <n v="2"/>
    <n v="17397.099999999999"/>
    <n v="5"/>
    <n v="3479.4199999999996"/>
    <n v="3076.4"/>
    <n v="170.98525989138869"/>
    <x v="1"/>
    <s v="Average"/>
    <s v="Very High"/>
  </r>
  <r>
    <n v="103"/>
    <x v="0"/>
    <n v="2009"/>
    <n v="140509"/>
    <x v="2"/>
    <x v="1"/>
    <x v="0"/>
    <n v="3325"/>
    <n v="353.5"/>
    <n v="18.66"/>
    <n v="7"/>
    <n v="118402.94"/>
    <n v="15"/>
    <n v="7893.5293333333339"/>
    <n v="9367.2666666666664"/>
    <n v="106.31578947368421"/>
    <x v="0"/>
    <s v="Average"/>
    <s v="Very High"/>
  </r>
  <r>
    <n v="104"/>
    <x v="0"/>
    <n v="2007"/>
    <n v="66929"/>
    <x v="2"/>
    <x v="1"/>
    <x v="0"/>
    <n v="1982"/>
    <n v="520.4"/>
    <n v="7.24"/>
    <n v="5"/>
    <n v="39880.36"/>
    <n v="17"/>
    <n v="2345.9035294117648"/>
    <n v="3937"/>
    <n v="262.56306760847627"/>
    <x v="0"/>
    <s v="Low"/>
    <s v="Very High"/>
  </r>
  <r>
    <n v="105"/>
    <x v="2"/>
    <n v="2023"/>
    <n v="103864"/>
    <x v="1"/>
    <x v="1"/>
    <x v="2"/>
    <n v="3288"/>
    <n v="413.5"/>
    <n v="15.45"/>
    <n v="2"/>
    <n v="16490.23"/>
    <n v="1"/>
    <n v="16490.23"/>
    <n v="103864"/>
    <n v="125.76034063260342"/>
    <x v="3"/>
    <s v="Average"/>
    <s v="Very High"/>
  </r>
  <r>
    <n v="106"/>
    <x v="3"/>
    <n v="2005"/>
    <n v="148401"/>
    <x v="2"/>
    <x v="0"/>
    <x v="2"/>
    <n v="2676"/>
    <n v="283.8"/>
    <n v="26.33"/>
    <n v="7"/>
    <n v="15517.98"/>
    <n v="19"/>
    <n v="816.73578947368424"/>
    <n v="7810.5789473684208"/>
    <n v="106.05381165919282"/>
    <x v="0"/>
    <s v="Excellent"/>
    <s v="Very High"/>
  </r>
  <r>
    <n v="107"/>
    <x v="5"/>
    <n v="2019"/>
    <n v="30169"/>
    <x v="2"/>
    <x v="1"/>
    <x v="0"/>
    <n v="3262"/>
    <n v="573.70000000000005"/>
    <n v="26.4"/>
    <n v="5"/>
    <n v="87176.82"/>
    <n v="5"/>
    <n v="17435.364000000001"/>
    <n v="6033.8"/>
    <n v="175.87369711833233"/>
    <x v="1"/>
    <s v="Excellent"/>
    <s v="Very High"/>
  </r>
  <r>
    <n v="108"/>
    <x v="2"/>
    <n v="2012"/>
    <n v="92468"/>
    <x v="2"/>
    <x v="0"/>
    <x v="0"/>
    <n v="2430"/>
    <n v="442.8"/>
    <n v="7.48"/>
    <n v="7"/>
    <n v="102984.53"/>
    <n v="12"/>
    <n v="8582.0441666666666"/>
    <n v="7705.666666666667"/>
    <n v="182.22222222222223"/>
    <x v="2"/>
    <s v="Low"/>
    <s v="Very High"/>
  </r>
  <r>
    <n v="109"/>
    <x v="6"/>
    <n v="2006"/>
    <n v="39594"/>
    <x v="2"/>
    <x v="1"/>
    <x v="2"/>
    <n v="1087"/>
    <n v="560.9"/>
    <n v="7.27"/>
    <n v="6"/>
    <n v="33063.42"/>
    <n v="18"/>
    <n v="1836.8566666666666"/>
    <n v="2199.6666666666665"/>
    <n v="516.00735970561175"/>
    <x v="0"/>
    <s v="Low"/>
    <s v="Very High"/>
  </r>
  <r>
    <n v="110"/>
    <x v="5"/>
    <n v="2007"/>
    <n v="196703"/>
    <x v="1"/>
    <x v="1"/>
    <x v="1"/>
    <n v="2707"/>
    <n v="335.4"/>
    <n v="11.57"/>
    <n v="6"/>
    <n v="5446.41"/>
    <n v="17"/>
    <n v="320.37705882352941"/>
    <n v="11570.764705882353"/>
    <n v="123.90099741411156"/>
    <x v="0"/>
    <s v="Low"/>
    <s v="Very High"/>
  </r>
  <r>
    <n v="111"/>
    <x v="8"/>
    <n v="2018"/>
    <n v="50033"/>
    <x v="2"/>
    <x v="1"/>
    <x v="2"/>
    <n v="1961"/>
    <n v="185"/>
    <n v="26.87"/>
    <n v="7"/>
    <n v="29101.53"/>
    <n v="6"/>
    <n v="4850.2550000000001"/>
    <n v="8338.8333333333339"/>
    <n v="94.339622641509436"/>
    <x v="1"/>
    <s v="Excellent"/>
    <s v="High"/>
  </r>
  <r>
    <n v="112"/>
    <x v="5"/>
    <n v="2018"/>
    <n v="68133"/>
    <x v="3"/>
    <x v="1"/>
    <x v="0"/>
    <n v="929"/>
    <n v="69.599999999999994"/>
    <n v="8.2200000000000006"/>
    <n v="5"/>
    <n v="9612.34"/>
    <n v="6"/>
    <n v="1602.0566666666666"/>
    <n v="11355.5"/>
    <n v="74.919268030139932"/>
    <x v="1"/>
    <s v="Low"/>
    <s v="Low"/>
  </r>
  <r>
    <n v="113"/>
    <x v="3"/>
    <n v="2015"/>
    <n v="78861"/>
    <x v="3"/>
    <x v="1"/>
    <x v="1"/>
    <n v="3163"/>
    <n v="446.6"/>
    <n v="23"/>
    <n v="2"/>
    <n v="15097.21"/>
    <n v="9"/>
    <n v="1677.4677777777777"/>
    <n v="8762.3333333333339"/>
    <n v="141.19506797344295"/>
    <x v="2"/>
    <s v="Good"/>
    <s v="Very High"/>
  </r>
  <r>
    <n v="114"/>
    <x v="5"/>
    <n v="2020"/>
    <n v="188362"/>
    <x v="3"/>
    <x v="0"/>
    <x v="0"/>
    <n v="943"/>
    <n v="107.9"/>
    <n v="7.53"/>
    <n v="4"/>
    <n v="53486.45"/>
    <n v="4"/>
    <n v="13371.612499999999"/>
    <n v="47090.5"/>
    <n v="114.42205726405092"/>
    <x v="1"/>
    <s v="Low"/>
    <s v="Medium"/>
  </r>
  <r>
    <n v="115"/>
    <x v="8"/>
    <n v="2008"/>
    <n v="36750"/>
    <x v="3"/>
    <x v="1"/>
    <x v="1"/>
    <n v="815"/>
    <n v="209.6"/>
    <n v="20.58"/>
    <n v="2"/>
    <n v="29900.45"/>
    <n v="16"/>
    <n v="1868.778125"/>
    <n v="2296.875"/>
    <n v="257.17791411042947"/>
    <x v="0"/>
    <s v="Good"/>
    <s v="Very High"/>
  </r>
  <r>
    <n v="116"/>
    <x v="3"/>
    <n v="2024"/>
    <n v="45461"/>
    <x v="2"/>
    <x v="0"/>
    <x v="0"/>
    <n v="1044"/>
    <n v="338.2"/>
    <n v="13.9"/>
    <n v="4"/>
    <n v="63365.67"/>
    <n v="0"/>
    <n v="63365.67"/>
    <n v="45461"/>
    <n v="323.94636015325671"/>
    <x v="3"/>
    <s v="Low"/>
    <s v="Very High"/>
  </r>
  <r>
    <n v="117"/>
    <x v="4"/>
    <n v="2009"/>
    <n v="83222"/>
    <x v="3"/>
    <x v="0"/>
    <x v="1"/>
    <n v="1726"/>
    <n v="356.1"/>
    <n v="24.72"/>
    <n v="4"/>
    <n v="32658.77"/>
    <n v="15"/>
    <n v="2177.2513333333332"/>
    <n v="5548.1333333333332"/>
    <n v="206.31517960602551"/>
    <x v="0"/>
    <s v="Good"/>
    <s v="Very High"/>
  </r>
  <r>
    <n v="118"/>
    <x v="0"/>
    <n v="2018"/>
    <n v="117020"/>
    <x v="2"/>
    <x v="0"/>
    <x v="1"/>
    <n v="3978"/>
    <n v="376.3"/>
    <n v="10.84"/>
    <n v="5"/>
    <n v="113042.86"/>
    <n v="6"/>
    <n v="18840.476666666666"/>
    <n v="19503.333333333332"/>
    <n v="94.595274007038711"/>
    <x v="1"/>
    <s v="Low"/>
    <s v="Very High"/>
  </r>
  <r>
    <n v="119"/>
    <x v="0"/>
    <n v="2020"/>
    <n v="29226"/>
    <x v="1"/>
    <x v="0"/>
    <x v="0"/>
    <n v="2976"/>
    <n v="133.1"/>
    <n v="20.98"/>
    <n v="7"/>
    <n v="108995.44"/>
    <n v="4"/>
    <n v="27248.86"/>
    <n v="7306.5"/>
    <n v="44.7244623655914"/>
    <x v="1"/>
    <s v="Good"/>
    <s v="Medium"/>
  </r>
  <r>
    <n v="120"/>
    <x v="9"/>
    <n v="2022"/>
    <n v="11721"/>
    <x v="3"/>
    <x v="0"/>
    <x v="1"/>
    <n v="1686"/>
    <n v="252.7"/>
    <n v="10.89"/>
    <n v="2"/>
    <n v="69316.31"/>
    <n v="2"/>
    <n v="34658.154999999999"/>
    <n v="5860.5"/>
    <n v="149.88137603795965"/>
    <x v="3"/>
    <s v="Low"/>
    <s v="Very High"/>
  </r>
  <r>
    <n v="121"/>
    <x v="4"/>
    <n v="2011"/>
    <n v="192226"/>
    <x v="0"/>
    <x v="1"/>
    <x v="2"/>
    <n v="1140"/>
    <n v="385.6"/>
    <n v="22.84"/>
    <n v="7"/>
    <n v="44467.61"/>
    <n v="13"/>
    <n v="3420.5853846153846"/>
    <n v="14786.615384615385"/>
    <n v="338.24561403508778"/>
    <x v="0"/>
    <s v="Good"/>
    <s v="Very High"/>
  </r>
  <r>
    <n v="122"/>
    <x v="4"/>
    <n v="2014"/>
    <n v="25609"/>
    <x v="3"/>
    <x v="1"/>
    <x v="0"/>
    <n v="2851"/>
    <n v="583.1"/>
    <n v="26.84"/>
    <n v="6"/>
    <n v="47594.19"/>
    <n v="10"/>
    <n v="4759.4189999999999"/>
    <n v="2560.9"/>
    <n v="204.52472816555596"/>
    <x v="2"/>
    <s v="Excellent"/>
    <s v="Very High"/>
  </r>
  <r>
    <n v="123"/>
    <x v="5"/>
    <n v="2011"/>
    <n v="188202"/>
    <x v="3"/>
    <x v="1"/>
    <x v="2"/>
    <n v="4198"/>
    <n v="447.5"/>
    <n v="8.17"/>
    <n v="5"/>
    <n v="51186.720000000001"/>
    <n v="13"/>
    <n v="3937.44"/>
    <n v="14477.076923076924"/>
    <n v="106.59838018103858"/>
    <x v="0"/>
    <s v="Low"/>
    <s v="Very High"/>
  </r>
  <r>
    <n v="124"/>
    <x v="0"/>
    <n v="2005"/>
    <n v="135513"/>
    <x v="2"/>
    <x v="1"/>
    <x v="0"/>
    <n v="4750"/>
    <n v="556.70000000000005"/>
    <n v="26.66"/>
    <n v="5"/>
    <n v="88126.78"/>
    <n v="19"/>
    <n v="4638.2515789473682"/>
    <n v="7132.2631578947367"/>
    <n v="117.2"/>
    <x v="0"/>
    <s v="Excellent"/>
    <s v="Very High"/>
  </r>
  <r>
    <n v="125"/>
    <x v="8"/>
    <n v="2023"/>
    <n v="109211"/>
    <x v="3"/>
    <x v="0"/>
    <x v="1"/>
    <n v="1105"/>
    <n v="466.8"/>
    <n v="19.84"/>
    <n v="6"/>
    <n v="55841.760000000002"/>
    <n v="1"/>
    <n v="55841.760000000002"/>
    <n v="109211"/>
    <n v="422.44343891402718"/>
    <x v="3"/>
    <s v="Average"/>
    <s v="Very High"/>
  </r>
  <r>
    <n v="126"/>
    <x v="1"/>
    <n v="2020"/>
    <n v="191321"/>
    <x v="0"/>
    <x v="1"/>
    <x v="1"/>
    <n v="1707"/>
    <n v="371.4"/>
    <n v="8.18"/>
    <n v="2"/>
    <n v="103237.4"/>
    <n v="4"/>
    <n v="25809.35"/>
    <n v="47830.25"/>
    <n v="217.57469244288222"/>
    <x v="1"/>
    <s v="Low"/>
    <s v="Very High"/>
  </r>
  <r>
    <n v="127"/>
    <x v="1"/>
    <n v="2023"/>
    <n v="184967"/>
    <x v="2"/>
    <x v="1"/>
    <x v="1"/>
    <n v="3454"/>
    <n v="147.5"/>
    <n v="15.69"/>
    <n v="6"/>
    <n v="113459.09"/>
    <n v="1"/>
    <n v="113459.09"/>
    <n v="184967"/>
    <n v="42.704111175448752"/>
    <x v="3"/>
    <s v="Average"/>
    <s v="Medium"/>
  </r>
  <r>
    <n v="128"/>
    <x v="3"/>
    <n v="2008"/>
    <n v="141728"/>
    <x v="2"/>
    <x v="0"/>
    <x v="0"/>
    <n v="4592"/>
    <n v="413.3"/>
    <n v="9.02"/>
    <n v="2"/>
    <n v="42305.7"/>
    <n v="16"/>
    <n v="2644.1062499999998"/>
    <n v="8858"/>
    <n v="90.00435540069688"/>
    <x v="0"/>
    <s v="Low"/>
    <s v="Very High"/>
  </r>
  <r>
    <n v="129"/>
    <x v="0"/>
    <n v="2022"/>
    <n v="129865"/>
    <x v="1"/>
    <x v="0"/>
    <x v="2"/>
    <n v="4842"/>
    <n v="389.1"/>
    <n v="22.51"/>
    <n v="4"/>
    <n v="68601.25"/>
    <n v="2"/>
    <n v="34300.625"/>
    <n v="64932.5"/>
    <n v="80.359355638166065"/>
    <x v="3"/>
    <s v="Good"/>
    <s v="Very High"/>
  </r>
  <r>
    <n v="130"/>
    <x v="0"/>
    <n v="2006"/>
    <n v="79520"/>
    <x v="1"/>
    <x v="1"/>
    <x v="2"/>
    <n v="2171"/>
    <n v="377.4"/>
    <n v="23.97"/>
    <n v="5"/>
    <n v="14121.61"/>
    <n v="18"/>
    <n v="784.5338888888889"/>
    <n v="4417.7777777777774"/>
    <n v="173.83694150161216"/>
    <x v="0"/>
    <s v="Good"/>
    <s v="Very High"/>
  </r>
  <r>
    <n v="131"/>
    <x v="1"/>
    <n v="2005"/>
    <n v="199812"/>
    <x v="3"/>
    <x v="1"/>
    <x v="0"/>
    <n v="1120"/>
    <n v="314.3"/>
    <n v="7.64"/>
    <n v="2"/>
    <n v="26454.880000000001"/>
    <n v="19"/>
    <n v="1392.3621052631579"/>
    <n v="10516.421052631578"/>
    <n v="280.625"/>
    <x v="0"/>
    <s v="Low"/>
    <s v="Very High"/>
  </r>
  <r>
    <n v="132"/>
    <x v="0"/>
    <n v="2019"/>
    <n v="69309"/>
    <x v="1"/>
    <x v="0"/>
    <x v="0"/>
    <n v="4859"/>
    <n v="336"/>
    <n v="17.649999999999999"/>
    <n v="7"/>
    <n v="51375.49"/>
    <n v="5"/>
    <n v="10275.098"/>
    <n v="13861.8"/>
    <n v="69.1500308705495"/>
    <x v="1"/>
    <s v="Average"/>
    <s v="Very High"/>
  </r>
  <r>
    <n v="133"/>
    <x v="5"/>
    <n v="2009"/>
    <n v="34984"/>
    <x v="1"/>
    <x v="1"/>
    <x v="2"/>
    <n v="1931"/>
    <n v="227.3"/>
    <n v="25.37"/>
    <n v="7"/>
    <n v="27125.72"/>
    <n v="15"/>
    <n v="1808.3813333333335"/>
    <n v="2332.2666666666669"/>
    <n v="117.71103055411704"/>
    <x v="0"/>
    <s v="Excellent"/>
    <s v="Very High"/>
  </r>
  <r>
    <n v="134"/>
    <x v="6"/>
    <n v="2024"/>
    <n v="123947"/>
    <x v="1"/>
    <x v="1"/>
    <x v="2"/>
    <n v="3378"/>
    <n v="330.8"/>
    <n v="28.4"/>
    <n v="5"/>
    <n v="105557.58"/>
    <n v="0"/>
    <n v="105557.58"/>
    <n v="123947"/>
    <n v="97.927767910005926"/>
    <x v="3"/>
    <s v="Excellent"/>
    <s v="Very High"/>
  </r>
  <r>
    <n v="135"/>
    <x v="7"/>
    <n v="2015"/>
    <n v="10901"/>
    <x v="2"/>
    <x v="1"/>
    <x v="2"/>
    <n v="4842"/>
    <n v="150.6"/>
    <n v="17.84"/>
    <n v="6"/>
    <n v="21519.49"/>
    <n v="9"/>
    <n v="2391.0544444444445"/>
    <n v="1211.2222222222222"/>
    <n v="31.10285006195787"/>
    <x v="2"/>
    <s v="Average"/>
    <s v="High"/>
  </r>
  <r>
    <n v="136"/>
    <x v="4"/>
    <n v="2014"/>
    <n v="167624"/>
    <x v="2"/>
    <x v="1"/>
    <x v="2"/>
    <n v="4167"/>
    <n v="490.9"/>
    <n v="28.76"/>
    <n v="6"/>
    <n v="56312.32"/>
    <n v="10"/>
    <n v="5631.232"/>
    <n v="16762.400000000001"/>
    <n v="117.80657547396208"/>
    <x v="2"/>
    <s v="Excellent"/>
    <s v="Very High"/>
  </r>
  <r>
    <n v="137"/>
    <x v="9"/>
    <n v="2006"/>
    <n v="36055"/>
    <x v="2"/>
    <x v="0"/>
    <x v="0"/>
    <n v="1617"/>
    <n v="144"/>
    <n v="18.39"/>
    <n v="2"/>
    <n v="73866.81"/>
    <n v="18"/>
    <n v="4103.7116666666661"/>
    <n v="2003.0555555555557"/>
    <n v="89.053803339517629"/>
    <x v="0"/>
    <s v="Average"/>
    <s v="Medium"/>
  </r>
  <r>
    <n v="138"/>
    <x v="3"/>
    <n v="2007"/>
    <n v="173757"/>
    <x v="1"/>
    <x v="0"/>
    <x v="0"/>
    <n v="811"/>
    <n v="87.6"/>
    <n v="14.85"/>
    <n v="6"/>
    <n v="83948.08"/>
    <n v="17"/>
    <n v="4938.1223529411764"/>
    <n v="10221"/>
    <n v="108.01479654747224"/>
    <x v="0"/>
    <s v="Low"/>
    <s v="Low"/>
  </r>
  <r>
    <n v="139"/>
    <x v="6"/>
    <n v="2016"/>
    <n v="150788"/>
    <x v="2"/>
    <x v="0"/>
    <x v="1"/>
    <n v="994"/>
    <n v="284.3"/>
    <n v="26.21"/>
    <n v="5"/>
    <n v="47819.12"/>
    <n v="8"/>
    <n v="5977.39"/>
    <n v="18848.5"/>
    <n v="286.01609657947688"/>
    <x v="2"/>
    <s v="Excellent"/>
    <s v="Very High"/>
  </r>
  <r>
    <n v="140"/>
    <x v="1"/>
    <n v="2024"/>
    <n v="119099"/>
    <x v="1"/>
    <x v="1"/>
    <x v="2"/>
    <n v="3337"/>
    <n v="408.7"/>
    <n v="17.32"/>
    <n v="2"/>
    <n v="104684.59"/>
    <n v="0"/>
    <n v="104684.59"/>
    <n v="119099"/>
    <n v="122.4752771950854"/>
    <x v="3"/>
    <s v="Average"/>
    <s v="Very High"/>
  </r>
  <r>
    <n v="141"/>
    <x v="4"/>
    <n v="2009"/>
    <n v="16138"/>
    <x v="2"/>
    <x v="1"/>
    <x v="1"/>
    <n v="3642"/>
    <n v="285.10000000000002"/>
    <n v="16.8"/>
    <n v="4"/>
    <n v="69493.34"/>
    <n v="15"/>
    <n v="4632.8893333333335"/>
    <n v="1075.8666666666666"/>
    <n v="78.281164195496984"/>
    <x v="0"/>
    <s v="Average"/>
    <s v="Very High"/>
  </r>
  <r>
    <n v="142"/>
    <x v="0"/>
    <n v="2009"/>
    <n v="171370"/>
    <x v="2"/>
    <x v="1"/>
    <x v="0"/>
    <n v="3029"/>
    <n v="195"/>
    <n v="17.260000000000002"/>
    <n v="6"/>
    <n v="54422.41"/>
    <n v="15"/>
    <n v="3628.1606666666671"/>
    <n v="11424.666666666666"/>
    <n v="64.377682403433482"/>
    <x v="0"/>
    <s v="Average"/>
    <s v="High"/>
  </r>
  <r>
    <n v="143"/>
    <x v="9"/>
    <n v="2010"/>
    <n v="187184"/>
    <x v="0"/>
    <x v="1"/>
    <x v="0"/>
    <n v="3809"/>
    <n v="352.6"/>
    <n v="26.17"/>
    <n v="6"/>
    <n v="10867.15"/>
    <n v="14"/>
    <n v="776.22500000000002"/>
    <n v="13370.285714285714"/>
    <n v="92.570228406405889"/>
    <x v="0"/>
    <s v="Excellent"/>
    <s v="Very High"/>
  </r>
  <r>
    <n v="144"/>
    <x v="0"/>
    <n v="2013"/>
    <n v="28429"/>
    <x v="3"/>
    <x v="1"/>
    <x v="1"/>
    <n v="2877"/>
    <n v="234.3"/>
    <n v="25.8"/>
    <n v="2"/>
    <n v="57368.67"/>
    <n v="11"/>
    <n v="5215.3336363636363"/>
    <n v="2584.4545454545455"/>
    <n v="81.438998957247136"/>
    <x v="2"/>
    <s v="Excellent"/>
    <s v="Very High"/>
  </r>
  <r>
    <n v="145"/>
    <x v="8"/>
    <n v="2006"/>
    <n v="55200"/>
    <x v="1"/>
    <x v="0"/>
    <x v="2"/>
    <n v="4667"/>
    <n v="562.4"/>
    <n v="15.09"/>
    <n v="7"/>
    <n v="99026.09"/>
    <n v="18"/>
    <n v="5501.4494444444445"/>
    <n v="3066.6666666666665"/>
    <n v="120.5056781658453"/>
    <x v="0"/>
    <s v="Average"/>
    <s v="Very High"/>
  </r>
  <r>
    <n v="146"/>
    <x v="8"/>
    <n v="2016"/>
    <n v="184316"/>
    <x v="0"/>
    <x v="1"/>
    <x v="2"/>
    <n v="1243"/>
    <n v="556.70000000000005"/>
    <n v="13.33"/>
    <n v="6"/>
    <n v="74901.3"/>
    <n v="8"/>
    <n v="9362.6625000000004"/>
    <n v="23039.5"/>
    <n v="447.86806114239744"/>
    <x v="2"/>
    <s v="Low"/>
    <s v="Very High"/>
  </r>
  <r>
    <n v="147"/>
    <x v="9"/>
    <n v="2007"/>
    <n v="106268"/>
    <x v="2"/>
    <x v="1"/>
    <x v="2"/>
    <n v="1097"/>
    <n v="321.3"/>
    <n v="17.3"/>
    <n v="5"/>
    <n v="100363.01"/>
    <n v="17"/>
    <n v="5903.7064705882349"/>
    <n v="6251.0588235294117"/>
    <n v="292.8896991795807"/>
    <x v="0"/>
    <s v="Average"/>
    <s v="Very High"/>
  </r>
  <r>
    <n v="148"/>
    <x v="9"/>
    <n v="2024"/>
    <n v="22347"/>
    <x v="1"/>
    <x v="0"/>
    <x v="2"/>
    <n v="1644"/>
    <n v="223.6"/>
    <n v="19.32"/>
    <n v="6"/>
    <n v="60799.37"/>
    <n v="0"/>
    <n v="60799.37"/>
    <n v="22347"/>
    <n v="136.00973236009733"/>
    <x v="3"/>
    <s v="Average"/>
    <s v="Very High"/>
  </r>
  <r>
    <n v="149"/>
    <x v="1"/>
    <n v="2016"/>
    <n v="152992"/>
    <x v="2"/>
    <x v="1"/>
    <x v="1"/>
    <n v="1815"/>
    <n v="452.8"/>
    <n v="10.96"/>
    <n v="4"/>
    <n v="16860.02"/>
    <n v="8"/>
    <n v="2107.5025000000001"/>
    <n v="19124"/>
    <n v="249.47658402203859"/>
    <x v="2"/>
    <s v="Low"/>
    <s v="Very High"/>
  </r>
  <r>
    <n v="150"/>
    <x v="9"/>
    <n v="2021"/>
    <n v="36822"/>
    <x v="3"/>
    <x v="0"/>
    <x v="1"/>
    <n v="2184"/>
    <n v="60.6"/>
    <n v="24.85"/>
    <n v="6"/>
    <n v="4595.8599999999997"/>
    <n v="3"/>
    <n v="1531.9533333333331"/>
    <n v="12274"/>
    <n v="27.747252747252745"/>
    <x v="3"/>
    <s v="Good"/>
    <s v="Low"/>
  </r>
  <r>
    <n v="151"/>
    <x v="5"/>
    <n v="2014"/>
    <n v="182731"/>
    <x v="0"/>
    <x v="0"/>
    <x v="0"/>
    <n v="2197"/>
    <n v="305.89999999999998"/>
    <n v="17.16"/>
    <n v="7"/>
    <n v="38476.69"/>
    <n v="10"/>
    <n v="3847.6690000000003"/>
    <n v="18273.099999999999"/>
    <n v="139.2353208921256"/>
    <x v="2"/>
    <s v="Average"/>
    <s v="Very High"/>
  </r>
  <r>
    <n v="152"/>
    <x v="0"/>
    <n v="2018"/>
    <n v="45108"/>
    <x v="3"/>
    <x v="0"/>
    <x v="2"/>
    <n v="1353"/>
    <n v="228.3"/>
    <n v="13.35"/>
    <n v="6"/>
    <n v="84664.89"/>
    <n v="6"/>
    <n v="14110.815000000001"/>
    <n v="7518"/>
    <n v="168.73614190687363"/>
    <x v="1"/>
    <s v="Low"/>
    <s v="Very High"/>
  </r>
  <r>
    <n v="153"/>
    <x v="6"/>
    <n v="2021"/>
    <n v="133955"/>
    <x v="0"/>
    <x v="0"/>
    <x v="2"/>
    <n v="3150"/>
    <n v="555.5"/>
    <n v="7.67"/>
    <n v="2"/>
    <n v="95460.41"/>
    <n v="3"/>
    <n v="31820.136666666669"/>
    <n v="44651.666666666664"/>
    <n v="176.34920634920636"/>
    <x v="3"/>
    <s v="Low"/>
    <s v="Very High"/>
  </r>
  <r>
    <n v="154"/>
    <x v="2"/>
    <n v="2022"/>
    <n v="12967"/>
    <x v="2"/>
    <x v="0"/>
    <x v="2"/>
    <n v="2069"/>
    <n v="46.7"/>
    <n v="10.97"/>
    <n v="6"/>
    <n v="37603.08"/>
    <n v="2"/>
    <n v="18801.54"/>
    <n v="6483.5"/>
    <n v="22.571290478492028"/>
    <x v="3"/>
    <s v="Low"/>
    <s v="Low"/>
  </r>
  <r>
    <n v="155"/>
    <x v="9"/>
    <n v="2023"/>
    <n v="115719"/>
    <x v="3"/>
    <x v="1"/>
    <x v="1"/>
    <n v="2060"/>
    <n v="349.6"/>
    <n v="28.73"/>
    <n v="7"/>
    <n v="60991.51"/>
    <n v="1"/>
    <n v="60991.51"/>
    <n v="115719"/>
    <n v="169.70873786407768"/>
    <x v="3"/>
    <s v="Excellent"/>
    <s v="Very High"/>
  </r>
  <r>
    <n v="156"/>
    <x v="3"/>
    <n v="2021"/>
    <n v="16871"/>
    <x v="3"/>
    <x v="0"/>
    <x v="2"/>
    <n v="984"/>
    <n v="454.8"/>
    <n v="12.63"/>
    <n v="2"/>
    <n v="52270.91"/>
    <n v="3"/>
    <n v="17423.636666666669"/>
    <n v="5623.666666666667"/>
    <n v="462.19512195121951"/>
    <x v="3"/>
    <s v="Low"/>
    <s v="Very High"/>
  </r>
  <r>
    <n v="157"/>
    <x v="8"/>
    <n v="2018"/>
    <n v="169685"/>
    <x v="2"/>
    <x v="0"/>
    <x v="1"/>
    <n v="3210"/>
    <n v="311.60000000000002"/>
    <n v="9.2200000000000006"/>
    <n v="5"/>
    <n v="51031.17"/>
    <n v="6"/>
    <n v="8505.1949999999997"/>
    <n v="28280.833333333332"/>
    <n v="97.071651090342684"/>
    <x v="1"/>
    <s v="Low"/>
    <s v="Very High"/>
  </r>
  <r>
    <n v="158"/>
    <x v="5"/>
    <n v="2013"/>
    <n v="33179"/>
    <x v="3"/>
    <x v="1"/>
    <x v="2"/>
    <n v="3009"/>
    <n v="87.8"/>
    <n v="16.52"/>
    <n v="2"/>
    <n v="30067.8"/>
    <n v="11"/>
    <n v="2733.4363636363637"/>
    <n v="3016.2727272727275"/>
    <n v="29.179129278830175"/>
    <x v="2"/>
    <s v="Average"/>
    <s v="Low"/>
  </r>
  <r>
    <n v="159"/>
    <x v="4"/>
    <n v="2012"/>
    <n v="188260"/>
    <x v="1"/>
    <x v="1"/>
    <x v="2"/>
    <n v="4472"/>
    <n v="584.6"/>
    <n v="12.68"/>
    <n v="4"/>
    <n v="18955.419999999998"/>
    <n v="12"/>
    <n v="1579.6183333333331"/>
    <n v="15688.333333333334"/>
    <n v="130.72450805008944"/>
    <x v="2"/>
    <s v="Low"/>
    <s v="Very High"/>
  </r>
  <r>
    <n v="160"/>
    <x v="2"/>
    <n v="2006"/>
    <n v="60099"/>
    <x v="0"/>
    <x v="0"/>
    <x v="0"/>
    <n v="2681"/>
    <n v="330.1"/>
    <n v="5.88"/>
    <n v="2"/>
    <n v="26012.560000000001"/>
    <n v="18"/>
    <n v="1445.1422222222222"/>
    <n v="3338.8333333333335"/>
    <n v="123.12569936590825"/>
    <x v="0"/>
    <s v="Low"/>
    <s v="Very High"/>
  </r>
  <r>
    <n v="161"/>
    <x v="6"/>
    <n v="2017"/>
    <n v="40262"/>
    <x v="0"/>
    <x v="1"/>
    <x v="2"/>
    <n v="1321"/>
    <n v="383.9"/>
    <n v="13.08"/>
    <n v="5"/>
    <n v="9473.89"/>
    <n v="7"/>
    <n v="1353.4128571428571"/>
    <n v="5751.7142857142853"/>
    <n v="290.61317183951553"/>
    <x v="1"/>
    <s v="Low"/>
    <s v="Very High"/>
  </r>
  <r>
    <n v="162"/>
    <x v="2"/>
    <n v="2011"/>
    <n v="83213"/>
    <x v="0"/>
    <x v="1"/>
    <x v="2"/>
    <n v="2687"/>
    <n v="172.5"/>
    <n v="18.600000000000001"/>
    <n v="6"/>
    <n v="26181.3"/>
    <n v="13"/>
    <n v="2013.9461538461537"/>
    <n v="6401"/>
    <n v="64.19799032378117"/>
    <x v="0"/>
    <s v="Average"/>
    <s v="High"/>
  </r>
  <r>
    <n v="163"/>
    <x v="9"/>
    <n v="2013"/>
    <n v="122407"/>
    <x v="1"/>
    <x v="0"/>
    <x v="0"/>
    <n v="3352"/>
    <n v="310.8"/>
    <n v="18.79"/>
    <n v="2"/>
    <n v="4076.51"/>
    <n v="11"/>
    <n v="370.59181818181821"/>
    <n v="11127.90909090909"/>
    <n v="92.72076372315037"/>
    <x v="2"/>
    <s v="Average"/>
    <s v="Very High"/>
  </r>
  <r>
    <n v="164"/>
    <x v="1"/>
    <n v="2015"/>
    <n v="154340"/>
    <x v="0"/>
    <x v="0"/>
    <x v="1"/>
    <n v="4609"/>
    <n v="280.3"/>
    <n v="13.91"/>
    <n v="2"/>
    <n v="76389.23"/>
    <n v="9"/>
    <n v="8487.692222222222"/>
    <n v="17148.888888888891"/>
    <n v="60.815795183336952"/>
    <x v="2"/>
    <s v="Low"/>
    <s v="Very High"/>
  </r>
  <r>
    <n v="165"/>
    <x v="8"/>
    <n v="2018"/>
    <n v="91269"/>
    <x v="2"/>
    <x v="1"/>
    <x v="1"/>
    <n v="4955"/>
    <n v="81.900000000000006"/>
    <n v="16.18"/>
    <n v="2"/>
    <n v="40015.919999999998"/>
    <n v="6"/>
    <n v="6669.32"/>
    <n v="15211.5"/>
    <n v="16.528758829465186"/>
    <x v="1"/>
    <s v="Average"/>
    <s v="Low"/>
  </r>
  <r>
    <n v="166"/>
    <x v="8"/>
    <n v="2008"/>
    <n v="65545"/>
    <x v="3"/>
    <x v="0"/>
    <x v="2"/>
    <n v="4279"/>
    <n v="99.4"/>
    <n v="29.14"/>
    <n v="2"/>
    <n v="116857.93"/>
    <n v="16"/>
    <n v="7303.6206249999996"/>
    <n v="4096.5625"/>
    <n v="23.229726571628888"/>
    <x v="0"/>
    <s v="Excellent"/>
    <s v="Low"/>
  </r>
  <r>
    <n v="167"/>
    <x v="4"/>
    <n v="2017"/>
    <n v="44922"/>
    <x v="1"/>
    <x v="0"/>
    <x v="1"/>
    <n v="2209"/>
    <n v="509"/>
    <n v="14.43"/>
    <n v="5"/>
    <n v="25664.89"/>
    <n v="7"/>
    <n v="3666.4128571428569"/>
    <n v="6417.4285714285716"/>
    <n v="230.42100497962878"/>
    <x v="1"/>
    <s v="Low"/>
    <s v="Very High"/>
  </r>
  <r>
    <n v="168"/>
    <x v="1"/>
    <n v="2006"/>
    <n v="47913"/>
    <x v="0"/>
    <x v="1"/>
    <x v="2"/>
    <n v="2494"/>
    <n v="174.3"/>
    <n v="11.46"/>
    <n v="7"/>
    <n v="43461.94"/>
    <n v="18"/>
    <n v="2414.5522222222226"/>
    <n v="2661.8333333333335"/>
    <n v="69.887730553327984"/>
    <x v="0"/>
    <s v="Low"/>
    <s v="High"/>
  </r>
  <r>
    <n v="169"/>
    <x v="0"/>
    <n v="2009"/>
    <n v="102033"/>
    <x v="2"/>
    <x v="0"/>
    <x v="0"/>
    <n v="1326"/>
    <n v="149.19999999999999"/>
    <n v="11.09"/>
    <n v="7"/>
    <n v="44867.42"/>
    <n v="15"/>
    <n v="2991.161333333333"/>
    <n v="6802.2"/>
    <n v="112.51885369532427"/>
    <x v="0"/>
    <s v="Low"/>
    <s v="Medium"/>
  </r>
  <r>
    <n v="170"/>
    <x v="7"/>
    <n v="2015"/>
    <n v="109792"/>
    <x v="3"/>
    <x v="0"/>
    <x v="0"/>
    <n v="3460"/>
    <n v="322.8"/>
    <n v="16.440000000000001"/>
    <n v="2"/>
    <n v="3988.83"/>
    <n v="9"/>
    <n v="443.20333333333332"/>
    <n v="12199.111111111111"/>
    <n v="93.294797687861276"/>
    <x v="2"/>
    <s v="Average"/>
    <s v="Very High"/>
  </r>
  <r>
    <n v="171"/>
    <x v="5"/>
    <n v="2010"/>
    <n v="191749"/>
    <x v="3"/>
    <x v="0"/>
    <x v="2"/>
    <n v="2972"/>
    <n v="470.5"/>
    <n v="23.99"/>
    <n v="5"/>
    <n v="101187.33"/>
    <n v="14"/>
    <n v="7227.6664285714287"/>
    <n v="13696.357142857143"/>
    <n v="158.31090174966351"/>
    <x v="0"/>
    <s v="Good"/>
    <s v="Very High"/>
  </r>
  <r>
    <n v="172"/>
    <x v="8"/>
    <n v="2022"/>
    <n v="185913"/>
    <x v="1"/>
    <x v="0"/>
    <x v="0"/>
    <n v="1079"/>
    <n v="74.7"/>
    <n v="10.15"/>
    <n v="5"/>
    <n v="6743.35"/>
    <n v="2"/>
    <n v="3371.6750000000002"/>
    <n v="92956.5"/>
    <n v="69.230769230769241"/>
    <x v="3"/>
    <s v="Low"/>
    <s v="Low"/>
  </r>
  <r>
    <n v="173"/>
    <x v="3"/>
    <n v="2014"/>
    <n v="182404"/>
    <x v="1"/>
    <x v="0"/>
    <x v="0"/>
    <n v="3764"/>
    <n v="363"/>
    <n v="22.73"/>
    <n v="2"/>
    <n v="113001.04"/>
    <n v="10"/>
    <n v="11300.103999999999"/>
    <n v="18240.400000000001"/>
    <n v="96.439957492029762"/>
    <x v="2"/>
    <s v="Good"/>
    <s v="Very High"/>
  </r>
  <r>
    <n v="174"/>
    <x v="8"/>
    <n v="2008"/>
    <n v="124863"/>
    <x v="1"/>
    <x v="1"/>
    <x v="2"/>
    <n v="4777"/>
    <n v="106.8"/>
    <n v="5.53"/>
    <n v="4"/>
    <n v="107372.7"/>
    <n v="16"/>
    <n v="6710.7937499999998"/>
    <n v="7803.9375"/>
    <n v="22.357127904542597"/>
    <x v="0"/>
    <s v="Low"/>
    <s v="Medium"/>
  </r>
  <r>
    <n v="175"/>
    <x v="2"/>
    <n v="2013"/>
    <n v="161104"/>
    <x v="2"/>
    <x v="1"/>
    <x v="2"/>
    <n v="3469"/>
    <n v="60.4"/>
    <n v="15.47"/>
    <n v="2"/>
    <n v="65656.06"/>
    <n v="11"/>
    <n v="5968.7327272727271"/>
    <n v="14645.818181818182"/>
    <n v="17.411357739982705"/>
    <x v="2"/>
    <s v="Average"/>
    <s v="Low"/>
  </r>
  <r>
    <n v="176"/>
    <x v="8"/>
    <n v="2010"/>
    <n v="173918"/>
    <x v="2"/>
    <x v="0"/>
    <x v="0"/>
    <n v="3693"/>
    <n v="69.5"/>
    <n v="24.4"/>
    <n v="4"/>
    <n v="66600.679999999993"/>
    <n v="14"/>
    <n v="4757.1914285714283"/>
    <n v="12422.714285714286"/>
    <n v="18.819388031410778"/>
    <x v="0"/>
    <s v="Good"/>
    <s v="Low"/>
  </r>
  <r>
    <n v="177"/>
    <x v="8"/>
    <n v="2006"/>
    <n v="195546"/>
    <x v="1"/>
    <x v="1"/>
    <x v="1"/>
    <n v="2551"/>
    <n v="507.1"/>
    <n v="13.47"/>
    <n v="2"/>
    <n v="79492.02"/>
    <n v="18"/>
    <n v="4416.2233333333334"/>
    <n v="10863.666666666666"/>
    <n v="198.78479027832222"/>
    <x v="0"/>
    <s v="Low"/>
    <s v="Very High"/>
  </r>
  <r>
    <n v="178"/>
    <x v="7"/>
    <n v="2021"/>
    <n v="49936"/>
    <x v="0"/>
    <x v="0"/>
    <x v="1"/>
    <n v="4781"/>
    <n v="106.1"/>
    <n v="19.09"/>
    <n v="4"/>
    <n v="48284.85"/>
    <n v="3"/>
    <n v="16094.949999999999"/>
    <n v="16645.333333333332"/>
    <n v="22.192010039740641"/>
    <x v="3"/>
    <s v="Average"/>
    <s v="Medium"/>
  </r>
  <r>
    <n v="179"/>
    <x v="7"/>
    <n v="2009"/>
    <n v="165866"/>
    <x v="3"/>
    <x v="0"/>
    <x v="2"/>
    <n v="3161"/>
    <n v="65.3"/>
    <n v="10.119999999999999"/>
    <n v="4"/>
    <n v="78725.009999999995"/>
    <n v="15"/>
    <n v="5248.3339999999998"/>
    <n v="11057.733333333334"/>
    <n v="20.658019614046186"/>
    <x v="0"/>
    <s v="Low"/>
    <s v="Low"/>
  </r>
  <r>
    <n v="180"/>
    <x v="6"/>
    <n v="2010"/>
    <n v="197660"/>
    <x v="3"/>
    <x v="0"/>
    <x v="2"/>
    <n v="4931"/>
    <n v="285.2"/>
    <n v="23.55"/>
    <n v="2"/>
    <n v="8237.9"/>
    <n v="14"/>
    <n v="588.42142857142858"/>
    <n v="14118.571428571429"/>
    <n v="57.838166700466431"/>
    <x v="0"/>
    <s v="Good"/>
    <s v="Very High"/>
  </r>
  <r>
    <n v="181"/>
    <x v="0"/>
    <n v="2016"/>
    <n v="186403"/>
    <x v="2"/>
    <x v="0"/>
    <x v="1"/>
    <n v="2508"/>
    <n v="512.6"/>
    <n v="6.31"/>
    <n v="4"/>
    <n v="9323.57"/>
    <n v="8"/>
    <n v="1165.44625"/>
    <n v="23300.375"/>
    <n v="204.38596491228071"/>
    <x v="2"/>
    <s v="Low"/>
    <s v="Very High"/>
  </r>
  <r>
    <n v="182"/>
    <x v="3"/>
    <n v="2014"/>
    <n v="33141"/>
    <x v="3"/>
    <x v="0"/>
    <x v="0"/>
    <n v="3486"/>
    <n v="186.9"/>
    <n v="26.31"/>
    <n v="6"/>
    <n v="56495.96"/>
    <n v="10"/>
    <n v="5649.5959999999995"/>
    <n v="3314.1"/>
    <n v="53.614457831325296"/>
    <x v="2"/>
    <s v="Excellent"/>
    <s v="High"/>
  </r>
  <r>
    <n v="183"/>
    <x v="8"/>
    <n v="2010"/>
    <n v="145146"/>
    <x v="0"/>
    <x v="1"/>
    <x v="1"/>
    <n v="3695"/>
    <n v="276.2"/>
    <n v="9.9499999999999993"/>
    <n v="7"/>
    <n v="67305.81"/>
    <n v="14"/>
    <n v="4807.5578571428568"/>
    <n v="10367.571428571429"/>
    <n v="74.749661705006773"/>
    <x v="0"/>
    <s v="Low"/>
    <s v="Very High"/>
  </r>
  <r>
    <n v="184"/>
    <x v="8"/>
    <n v="2012"/>
    <n v="142478"/>
    <x v="3"/>
    <x v="1"/>
    <x v="1"/>
    <n v="3576"/>
    <n v="62.4"/>
    <n v="26.86"/>
    <n v="5"/>
    <n v="106874.66"/>
    <n v="12"/>
    <n v="8906.2216666666664"/>
    <n v="11873.166666666666"/>
    <n v="17.449664429530202"/>
    <x v="2"/>
    <s v="Excellent"/>
    <s v="Low"/>
  </r>
  <r>
    <n v="185"/>
    <x v="5"/>
    <n v="2006"/>
    <n v="102359"/>
    <x v="2"/>
    <x v="0"/>
    <x v="1"/>
    <n v="1919"/>
    <n v="291.5"/>
    <n v="13.81"/>
    <n v="4"/>
    <n v="15245.29"/>
    <n v="18"/>
    <n v="846.96055555555563"/>
    <n v="5686.6111111111113"/>
    <n v="151.902032308494"/>
    <x v="0"/>
    <s v="Low"/>
    <s v="Very High"/>
  </r>
  <r>
    <n v="186"/>
    <x v="7"/>
    <n v="2016"/>
    <n v="128279"/>
    <x v="2"/>
    <x v="1"/>
    <x v="1"/>
    <n v="3788"/>
    <n v="363.5"/>
    <n v="23.07"/>
    <n v="4"/>
    <n v="99249.81"/>
    <n v="8"/>
    <n v="12406.22625"/>
    <n v="16034.875"/>
    <n v="95.960929250264002"/>
    <x v="2"/>
    <s v="Good"/>
    <s v="Very High"/>
  </r>
  <r>
    <n v="187"/>
    <x v="3"/>
    <n v="2017"/>
    <n v="159363"/>
    <x v="0"/>
    <x v="0"/>
    <x v="2"/>
    <n v="994"/>
    <n v="359.7"/>
    <n v="12.98"/>
    <n v="5"/>
    <n v="27575.54"/>
    <n v="7"/>
    <n v="3939.3628571428571"/>
    <n v="22766.142857142859"/>
    <n v="361.87122736418507"/>
    <x v="1"/>
    <s v="Low"/>
    <s v="Very High"/>
  </r>
  <r>
    <n v="188"/>
    <x v="4"/>
    <n v="2011"/>
    <n v="46568"/>
    <x v="0"/>
    <x v="1"/>
    <x v="2"/>
    <n v="1462"/>
    <n v="226.2"/>
    <n v="27.65"/>
    <n v="4"/>
    <n v="49107.79"/>
    <n v="13"/>
    <n v="3777.5223076923075"/>
    <n v="3582.1538461538462"/>
    <n v="154.71956224350205"/>
    <x v="0"/>
    <s v="Excellent"/>
    <s v="Very High"/>
  </r>
  <r>
    <n v="189"/>
    <x v="6"/>
    <n v="2014"/>
    <n v="102539"/>
    <x v="3"/>
    <x v="0"/>
    <x v="0"/>
    <n v="1279"/>
    <n v="216.7"/>
    <n v="8.17"/>
    <n v="5"/>
    <n v="40042.480000000003"/>
    <n v="10"/>
    <n v="4004.2480000000005"/>
    <n v="10253.9"/>
    <n v="169.42924159499609"/>
    <x v="2"/>
    <s v="Low"/>
    <s v="Very High"/>
  </r>
  <r>
    <n v="190"/>
    <x v="0"/>
    <n v="2017"/>
    <n v="51851"/>
    <x v="3"/>
    <x v="1"/>
    <x v="0"/>
    <n v="2223"/>
    <n v="99.7"/>
    <n v="9.4600000000000009"/>
    <n v="2"/>
    <n v="49818.17"/>
    <n v="7"/>
    <n v="7116.8814285714279"/>
    <n v="7407.2857142857147"/>
    <n v="44.849302744039591"/>
    <x v="1"/>
    <s v="Low"/>
    <s v="Low"/>
  </r>
  <r>
    <n v="191"/>
    <x v="1"/>
    <n v="2021"/>
    <n v="59823"/>
    <x v="2"/>
    <x v="0"/>
    <x v="0"/>
    <n v="3508"/>
    <n v="245.4"/>
    <n v="17.329999999999998"/>
    <n v="6"/>
    <n v="20607.97"/>
    <n v="3"/>
    <n v="6869.3233333333337"/>
    <n v="19941"/>
    <n v="69.954389965792473"/>
    <x v="3"/>
    <s v="Average"/>
    <s v="Very High"/>
  </r>
  <r>
    <n v="192"/>
    <x v="0"/>
    <n v="2018"/>
    <n v="28312"/>
    <x v="0"/>
    <x v="0"/>
    <x v="0"/>
    <n v="3975"/>
    <n v="95.7"/>
    <n v="7.05"/>
    <n v="6"/>
    <n v="61917.7"/>
    <n v="6"/>
    <n v="10319.616666666667"/>
    <n v="4718.666666666667"/>
    <n v="24.075471698113208"/>
    <x v="1"/>
    <s v="Low"/>
    <s v="Low"/>
  </r>
  <r>
    <n v="193"/>
    <x v="2"/>
    <n v="2006"/>
    <n v="179180"/>
    <x v="0"/>
    <x v="1"/>
    <x v="1"/>
    <n v="4614"/>
    <n v="469.3"/>
    <n v="9.9"/>
    <n v="7"/>
    <n v="96792.18"/>
    <n v="18"/>
    <n v="5377.3433333333332"/>
    <n v="9954.4444444444453"/>
    <n v="101.7121803207629"/>
    <x v="0"/>
    <s v="Low"/>
    <s v="Very High"/>
  </r>
  <r>
    <n v="194"/>
    <x v="8"/>
    <n v="2015"/>
    <n v="170243"/>
    <x v="0"/>
    <x v="1"/>
    <x v="2"/>
    <n v="2814"/>
    <n v="581.1"/>
    <n v="28.59"/>
    <n v="4"/>
    <n v="54659.48"/>
    <n v="9"/>
    <n v="6073.2755555555559"/>
    <n v="18915.888888888891"/>
    <n v="206.50319829424308"/>
    <x v="2"/>
    <s v="Excellent"/>
    <s v="Very High"/>
  </r>
  <r>
    <n v="195"/>
    <x v="6"/>
    <n v="2005"/>
    <n v="177851"/>
    <x v="3"/>
    <x v="0"/>
    <x v="2"/>
    <n v="4589"/>
    <n v="583.20000000000005"/>
    <n v="29.41"/>
    <n v="7"/>
    <n v="60401.79"/>
    <n v="19"/>
    <n v="3179.0415789473686"/>
    <n v="9360.5789473684217"/>
    <n v="127.08651122248855"/>
    <x v="0"/>
    <s v="Excellent"/>
    <s v="Very High"/>
  </r>
  <r>
    <n v="196"/>
    <x v="2"/>
    <n v="2023"/>
    <n v="103723"/>
    <x v="0"/>
    <x v="1"/>
    <x v="0"/>
    <n v="3243"/>
    <n v="524.4"/>
    <n v="14.41"/>
    <n v="2"/>
    <n v="102305.81"/>
    <n v="1"/>
    <n v="102305.81"/>
    <n v="103723"/>
    <n v="161.70212765957447"/>
    <x v="3"/>
    <s v="Low"/>
    <s v="Very High"/>
  </r>
  <r>
    <n v="197"/>
    <x v="3"/>
    <n v="2008"/>
    <n v="17411"/>
    <x v="2"/>
    <x v="0"/>
    <x v="0"/>
    <n v="1711"/>
    <n v="376.4"/>
    <n v="28.08"/>
    <n v="6"/>
    <n v="85608.8"/>
    <n v="16"/>
    <n v="5350.55"/>
    <n v="1088.1875"/>
    <n v="219.98831092928111"/>
    <x v="0"/>
    <s v="Excellent"/>
    <s v="Very High"/>
  </r>
  <r>
    <n v="198"/>
    <x v="1"/>
    <n v="2023"/>
    <n v="62009"/>
    <x v="2"/>
    <x v="1"/>
    <x v="1"/>
    <n v="4013"/>
    <n v="432.5"/>
    <n v="18.62"/>
    <n v="2"/>
    <n v="60383.17"/>
    <n v="1"/>
    <n v="60383.17"/>
    <n v="62009"/>
    <n v="107.77473212060802"/>
    <x v="3"/>
    <s v="Average"/>
    <s v="Very High"/>
  </r>
  <r>
    <n v="199"/>
    <x v="7"/>
    <n v="2015"/>
    <n v="151494"/>
    <x v="3"/>
    <x v="1"/>
    <x v="1"/>
    <n v="3164"/>
    <n v="199.7"/>
    <n v="11.74"/>
    <n v="2"/>
    <n v="33150.39"/>
    <n v="9"/>
    <n v="3683.3766666666666"/>
    <n v="16832.666666666668"/>
    <n v="63.116308470290768"/>
    <x v="2"/>
    <s v="Low"/>
    <s v="High"/>
  </r>
  <r>
    <n v="200"/>
    <x v="6"/>
    <n v="2012"/>
    <n v="178540"/>
    <x v="1"/>
    <x v="0"/>
    <x v="0"/>
    <n v="4429"/>
    <n v="393.2"/>
    <n v="22.56"/>
    <n v="4"/>
    <n v="106536.43"/>
    <n v="12"/>
    <n v="8878.0358333333334"/>
    <n v="14878.333333333334"/>
    <n v="88.778505305938126"/>
    <x v="2"/>
    <s v="Good"/>
    <s v="Very High"/>
  </r>
  <r>
    <n v="201"/>
    <x v="6"/>
    <n v="2015"/>
    <n v="37371"/>
    <x v="3"/>
    <x v="1"/>
    <x v="2"/>
    <n v="4272"/>
    <n v="295.2"/>
    <n v="21.47"/>
    <n v="2"/>
    <n v="70511.39"/>
    <n v="9"/>
    <n v="7834.5988888888887"/>
    <n v="4152.333333333333"/>
    <n v="69.101123595505612"/>
    <x v="2"/>
    <s v="Good"/>
    <s v="Very High"/>
  </r>
  <r>
    <n v="202"/>
    <x v="8"/>
    <n v="2008"/>
    <n v="62022"/>
    <x v="1"/>
    <x v="1"/>
    <x v="2"/>
    <n v="1480"/>
    <n v="309.89999999999998"/>
    <n v="29.73"/>
    <n v="6"/>
    <n v="28874.27"/>
    <n v="16"/>
    <n v="1804.641875"/>
    <n v="3876.375"/>
    <n v="209.39189189189187"/>
    <x v="0"/>
    <s v="Excellent"/>
    <s v="Very High"/>
  </r>
  <r>
    <n v="203"/>
    <x v="9"/>
    <n v="2021"/>
    <n v="76229"/>
    <x v="0"/>
    <x v="0"/>
    <x v="2"/>
    <n v="1409"/>
    <n v="464.4"/>
    <n v="11.63"/>
    <n v="7"/>
    <n v="34487.01"/>
    <n v="3"/>
    <n v="11495.67"/>
    <n v="25409.666666666668"/>
    <n v="329.59545777146911"/>
    <x v="3"/>
    <s v="Low"/>
    <s v="Very High"/>
  </r>
  <r>
    <n v="204"/>
    <x v="6"/>
    <n v="2011"/>
    <n v="104071"/>
    <x v="3"/>
    <x v="1"/>
    <x v="0"/>
    <n v="2956"/>
    <n v="197.9"/>
    <n v="21.8"/>
    <n v="6"/>
    <n v="96966.57"/>
    <n v="13"/>
    <n v="7458.9669230769232"/>
    <n v="8005.4615384615381"/>
    <n v="66.94857916102842"/>
    <x v="0"/>
    <s v="Good"/>
    <s v="High"/>
  </r>
  <r>
    <n v="205"/>
    <x v="5"/>
    <n v="2012"/>
    <n v="187268"/>
    <x v="2"/>
    <x v="0"/>
    <x v="2"/>
    <n v="4666"/>
    <n v="218.1"/>
    <n v="6.3"/>
    <n v="4"/>
    <n v="8165.03"/>
    <n v="12"/>
    <n v="680.41916666666668"/>
    <n v="15605.666666666666"/>
    <n v="46.742391770252887"/>
    <x v="2"/>
    <s v="Low"/>
    <s v="Very High"/>
  </r>
  <r>
    <n v="206"/>
    <x v="1"/>
    <n v="2007"/>
    <n v="101774"/>
    <x v="0"/>
    <x v="0"/>
    <x v="1"/>
    <n v="1171"/>
    <n v="557.79999999999995"/>
    <n v="7.84"/>
    <n v="6"/>
    <n v="119074.79"/>
    <n v="17"/>
    <n v="7004.3994117647053"/>
    <n v="5986.7058823529414"/>
    <n v="476.34500426985477"/>
    <x v="0"/>
    <s v="Low"/>
    <s v="Very High"/>
  </r>
  <r>
    <n v="207"/>
    <x v="1"/>
    <n v="2006"/>
    <n v="31715"/>
    <x v="2"/>
    <x v="0"/>
    <x v="1"/>
    <n v="1415"/>
    <n v="71.5"/>
    <n v="5.0999999999999996"/>
    <n v="5"/>
    <n v="18251.150000000001"/>
    <n v="18"/>
    <n v="1013.9527777777779"/>
    <n v="1761.9444444444443"/>
    <n v="50.530035335689043"/>
    <x v="0"/>
    <s v="Low"/>
    <s v="Low"/>
  </r>
  <r>
    <n v="208"/>
    <x v="5"/>
    <n v="2019"/>
    <n v="32605"/>
    <x v="0"/>
    <x v="0"/>
    <x v="0"/>
    <n v="3053"/>
    <n v="312"/>
    <n v="29.99"/>
    <n v="7"/>
    <n v="96140.02"/>
    <n v="5"/>
    <n v="19228.004000000001"/>
    <n v="6521"/>
    <n v="102.19456272518835"/>
    <x v="1"/>
    <s v="Excellent"/>
    <s v="Very High"/>
  </r>
  <r>
    <n v="209"/>
    <x v="4"/>
    <n v="2009"/>
    <n v="104853"/>
    <x v="3"/>
    <x v="0"/>
    <x v="1"/>
    <n v="4938"/>
    <n v="551.20000000000005"/>
    <n v="25.06"/>
    <n v="5"/>
    <n v="49188.71"/>
    <n v="15"/>
    <n v="3279.2473333333332"/>
    <n v="6990.2"/>
    <n v="111.62413932766303"/>
    <x v="0"/>
    <s v="Excellent"/>
    <s v="Very High"/>
  </r>
  <r>
    <n v="210"/>
    <x v="5"/>
    <n v="2005"/>
    <n v="36174"/>
    <x v="1"/>
    <x v="1"/>
    <x v="0"/>
    <n v="1664"/>
    <n v="381.8"/>
    <n v="24.67"/>
    <n v="5"/>
    <n v="60589.29"/>
    <n v="19"/>
    <n v="3188.91"/>
    <n v="1903.8947368421052"/>
    <n v="229.44711538461542"/>
    <x v="0"/>
    <s v="Good"/>
    <s v="Very High"/>
  </r>
  <r>
    <n v="211"/>
    <x v="5"/>
    <n v="2008"/>
    <n v="146028"/>
    <x v="0"/>
    <x v="0"/>
    <x v="2"/>
    <n v="2068"/>
    <n v="346"/>
    <n v="17.739999999999998"/>
    <n v="4"/>
    <n v="106036.12"/>
    <n v="16"/>
    <n v="6627.2574999999997"/>
    <n v="9126.75"/>
    <n v="167.31141199226306"/>
    <x v="0"/>
    <s v="Average"/>
    <s v="Very High"/>
  </r>
  <r>
    <n v="212"/>
    <x v="1"/>
    <n v="2019"/>
    <n v="81373"/>
    <x v="1"/>
    <x v="0"/>
    <x v="2"/>
    <n v="1584"/>
    <n v="179.9"/>
    <n v="12.5"/>
    <n v="2"/>
    <n v="51310.61"/>
    <n v="5"/>
    <n v="10262.121999999999"/>
    <n v="16274.6"/>
    <n v="113.57323232323232"/>
    <x v="1"/>
    <s v="Low"/>
    <s v="High"/>
  </r>
  <r>
    <n v="213"/>
    <x v="0"/>
    <n v="2024"/>
    <n v="74252"/>
    <x v="0"/>
    <x v="1"/>
    <x v="2"/>
    <n v="4978"/>
    <n v="232.2"/>
    <n v="8.7799999999999994"/>
    <n v="5"/>
    <n v="65886.77"/>
    <n v="0"/>
    <n v="65886.77"/>
    <n v="74252"/>
    <n v="46.645239051828042"/>
    <x v="3"/>
    <s v="Low"/>
    <s v="Very High"/>
  </r>
  <r>
    <n v="214"/>
    <x v="1"/>
    <n v="2023"/>
    <n v="198021"/>
    <x v="2"/>
    <x v="1"/>
    <x v="1"/>
    <n v="3037"/>
    <n v="517.1"/>
    <n v="12.12"/>
    <n v="6"/>
    <n v="8768.06"/>
    <n v="1"/>
    <n v="8768.06"/>
    <n v="198021"/>
    <n v="170.26671056964111"/>
    <x v="3"/>
    <s v="Low"/>
    <s v="Very High"/>
  </r>
  <r>
    <n v="215"/>
    <x v="9"/>
    <n v="2007"/>
    <n v="198718"/>
    <x v="2"/>
    <x v="1"/>
    <x v="0"/>
    <n v="4854"/>
    <n v="353.2"/>
    <n v="14.4"/>
    <n v="2"/>
    <n v="3274.65"/>
    <n v="17"/>
    <n v="192.62647058823529"/>
    <n v="11689.294117647059"/>
    <n v="72.764730119489073"/>
    <x v="0"/>
    <s v="Low"/>
    <s v="Very High"/>
  </r>
  <r>
    <n v="216"/>
    <x v="8"/>
    <n v="2024"/>
    <n v="75017"/>
    <x v="0"/>
    <x v="0"/>
    <x v="2"/>
    <n v="1735"/>
    <n v="328.3"/>
    <n v="23.91"/>
    <n v="6"/>
    <n v="31641.59"/>
    <n v="0"/>
    <n v="31641.59"/>
    <n v="75017"/>
    <n v="189.22190201729106"/>
    <x v="3"/>
    <s v="Good"/>
    <s v="Very High"/>
  </r>
  <r>
    <n v="217"/>
    <x v="2"/>
    <n v="2015"/>
    <n v="68037"/>
    <x v="1"/>
    <x v="0"/>
    <x v="0"/>
    <n v="4780"/>
    <n v="95.8"/>
    <n v="18.489999999999998"/>
    <n v="6"/>
    <n v="82628.22"/>
    <n v="9"/>
    <n v="9180.9133333333339"/>
    <n v="7559.666666666667"/>
    <n v="20.0418410041841"/>
    <x v="2"/>
    <s v="Average"/>
    <s v="Low"/>
  </r>
  <r>
    <n v="218"/>
    <x v="0"/>
    <n v="2021"/>
    <n v="94818"/>
    <x v="3"/>
    <x v="0"/>
    <x v="2"/>
    <n v="3138"/>
    <n v="49"/>
    <n v="6.94"/>
    <n v="2"/>
    <n v="17187.990000000002"/>
    <n v="3"/>
    <n v="5729.3300000000008"/>
    <n v="31606"/>
    <n v="15.61504142766093"/>
    <x v="3"/>
    <s v="Low"/>
    <s v="Low"/>
  </r>
  <r>
    <n v="219"/>
    <x v="7"/>
    <n v="2017"/>
    <n v="11548"/>
    <x v="3"/>
    <x v="1"/>
    <x v="1"/>
    <n v="1125"/>
    <n v="579.70000000000005"/>
    <n v="5.45"/>
    <n v="2"/>
    <n v="16310.15"/>
    <n v="7"/>
    <n v="2330.0214285714287"/>
    <n v="1649.7142857142858"/>
    <n v="515.28888888888889"/>
    <x v="1"/>
    <s v="Low"/>
    <s v="Very High"/>
  </r>
  <r>
    <n v="220"/>
    <x v="2"/>
    <n v="2015"/>
    <n v="121981"/>
    <x v="2"/>
    <x v="0"/>
    <x v="1"/>
    <n v="2334"/>
    <n v="251.1"/>
    <n v="7.56"/>
    <n v="6"/>
    <n v="51082.39"/>
    <n v="9"/>
    <n v="5675.8211111111113"/>
    <n v="13553.444444444445"/>
    <n v="107.58354755784062"/>
    <x v="2"/>
    <s v="Low"/>
    <s v="Very High"/>
  </r>
  <r>
    <n v="221"/>
    <x v="8"/>
    <n v="2006"/>
    <n v="159249"/>
    <x v="3"/>
    <x v="1"/>
    <x v="0"/>
    <n v="4280"/>
    <n v="377.8"/>
    <n v="15.26"/>
    <n v="4"/>
    <n v="78796.929999999993"/>
    <n v="18"/>
    <n v="4377.6072222222219"/>
    <n v="8847.1666666666661"/>
    <n v="88.271028037383175"/>
    <x v="0"/>
    <s v="Average"/>
    <s v="Very High"/>
  </r>
  <r>
    <n v="222"/>
    <x v="9"/>
    <n v="2013"/>
    <n v="29022"/>
    <x v="2"/>
    <x v="0"/>
    <x v="1"/>
    <n v="4661"/>
    <n v="84.6"/>
    <n v="28.33"/>
    <n v="7"/>
    <n v="86312.42"/>
    <n v="11"/>
    <n v="7846.5836363636363"/>
    <n v="2638.3636363636365"/>
    <n v="18.150611456768935"/>
    <x v="2"/>
    <s v="Excellent"/>
    <s v="Low"/>
  </r>
  <r>
    <n v="223"/>
    <x v="9"/>
    <n v="2006"/>
    <n v="111297"/>
    <x v="3"/>
    <x v="1"/>
    <x v="1"/>
    <n v="2785"/>
    <n v="422.5"/>
    <n v="20.94"/>
    <n v="7"/>
    <n v="23878.73"/>
    <n v="18"/>
    <n v="1326.596111111111"/>
    <n v="6183.166666666667"/>
    <n v="151.70556552962296"/>
    <x v="0"/>
    <s v="Good"/>
    <s v="Very High"/>
  </r>
  <r>
    <n v="224"/>
    <x v="7"/>
    <n v="2013"/>
    <n v="141614"/>
    <x v="0"/>
    <x v="0"/>
    <x v="0"/>
    <n v="3578"/>
    <n v="562.20000000000005"/>
    <n v="25.05"/>
    <n v="4"/>
    <n v="12311.81"/>
    <n v="11"/>
    <n v="1119.2554545454545"/>
    <n v="12874"/>
    <n v="157.12688652878705"/>
    <x v="2"/>
    <s v="Excellent"/>
    <s v="Very High"/>
  </r>
  <r>
    <n v="225"/>
    <x v="0"/>
    <n v="2013"/>
    <n v="65428"/>
    <x v="2"/>
    <x v="0"/>
    <x v="2"/>
    <n v="2070"/>
    <n v="362.4"/>
    <n v="16.66"/>
    <n v="2"/>
    <n v="113026.45"/>
    <n v="11"/>
    <n v="10275.131818181819"/>
    <n v="5948"/>
    <n v="175.07246376811594"/>
    <x v="2"/>
    <s v="Average"/>
    <s v="Very High"/>
  </r>
  <r>
    <n v="226"/>
    <x v="4"/>
    <n v="2012"/>
    <n v="158812"/>
    <x v="2"/>
    <x v="0"/>
    <x v="1"/>
    <n v="1440"/>
    <n v="110.6"/>
    <n v="14.04"/>
    <n v="6"/>
    <n v="33497.97"/>
    <n v="12"/>
    <n v="2791.4974999999999"/>
    <n v="13234.333333333334"/>
    <n v="76.805555555555557"/>
    <x v="2"/>
    <s v="Low"/>
    <s v="Medium"/>
  </r>
  <r>
    <n v="227"/>
    <x v="5"/>
    <n v="2021"/>
    <n v="64353"/>
    <x v="0"/>
    <x v="1"/>
    <x v="0"/>
    <n v="4878"/>
    <n v="365.8"/>
    <n v="7.71"/>
    <n v="7"/>
    <n v="102841.54"/>
    <n v="3"/>
    <n v="34280.513333333329"/>
    <n v="21451"/>
    <n v="74.989749897498982"/>
    <x v="3"/>
    <s v="Low"/>
    <s v="Very High"/>
  </r>
  <r>
    <n v="228"/>
    <x v="0"/>
    <n v="2005"/>
    <n v="118132"/>
    <x v="2"/>
    <x v="1"/>
    <x v="1"/>
    <n v="2167"/>
    <n v="469.2"/>
    <n v="26.9"/>
    <n v="6"/>
    <n v="104028.5"/>
    <n v="19"/>
    <n v="5475.1842105263158"/>
    <n v="6217.4736842105267"/>
    <n v="216.52053530226121"/>
    <x v="0"/>
    <s v="Excellent"/>
    <s v="Very High"/>
  </r>
  <r>
    <n v="229"/>
    <x v="4"/>
    <n v="2015"/>
    <n v="192604"/>
    <x v="3"/>
    <x v="0"/>
    <x v="1"/>
    <n v="4842"/>
    <n v="267.60000000000002"/>
    <n v="24.58"/>
    <n v="4"/>
    <n v="93385.14"/>
    <n v="9"/>
    <n v="10376.126666666667"/>
    <n v="21400.444444444445"/>
    <n v="55.266418835192077"/>
    <x v="2"/>
    <s v="Good"/>
    <s v="Very High"/>
  </r>
  <r>
    <n v="230"/>
    <x v="9"/>
    <n v="2012"/>
    <n v="21052"/>
    <x v="3"/>
    <x v="0"/>
    <x v="1"/>
    <n v="3375"/>
    <n v="532.70000000000005"/>
    <n v="9.1999999999999993"/>
    <n v="6"/>
    <n v="22753.53"/>
    <n v="12"/>
    <n v="1896.1274999999998"/>
    <n v="1754.3333333333333"/>
    <n v="157.83703703703705"/>
    <x v="2"/>
    <s v="Low"/>
    <s v="Very High"/>
  </r>
  <r>
    <n v="231"/>
    <x v="1"/>
    <n v="2014"/>
    <n v="105689"/>
    <x v="2"/>
    <x v="0"/>
    <x v="1"/>
    <n v="4403"/>
    <n v="403.3"/>
    <n v="17.809999999999999"/>
    <n v="4"/>
    <n v="99150.77"/>
    <n v="10"/>
    <n v="9915.0770000000011"/>
    <n v="10568.9"/>
    <n v="91.596638655462201"/>
    <x v="2"/>
    <s v="Average"/>
    <s v="Very High"/>
  </r>
  <r>
    <n v="232"/>
    <x v="8"/>
    <n v="2011"/>
    <n v="183148"/>
    <x v="3"/>
    <x v="1"/>
    <x v="0"/>
    <n v="2381"/>
    <n v="543.6"/>
    <n v="17.18"/>
    <n v="2"/>
    <n v="93002.32"/>
    <n v="13"/>
    <n v="7154.0246153846156"/>
    <n v="14088.307692307691"/>
    <n v="228.307433851323"/>
    <x v="0"/>
    <s v="Average"/>
    <s v="Very High"/>
  </r>
  <r>
    <n v="233"/>
    <x v="7"/>
    <n v="2007"/>
    <n v="189492"/>
    <x v="1"/>
    <x v="0"/>
    <x v="0"/>
    <n v="2786"/>
    <n v="389.2"/>
    <n v="20.63"/>
    <n v="4"/>
    <n v="72816.59"/>
    <n v="17"/>
    <n v="4283.3288235294112"/>
    <n v="11146.588235294117"/>
    <n v="139.69849246231155"/>
    <x v="0"/>
    <s v="Good"/>
    <s v="Very High"/>
  </r>
  <r>
    <n v="234"/>
    <x v="8"/>
    <n v="2007"/>
    <n v="136743"/>
    <x v="2"/>
    <x v="0"/>
    <x v="0"/>
    <n v="3040"/>
    <n v="113.5"/>
    <n v="28.65"/>
    <n v="4"/>
    <n v="42452.639999999999"/>
    <n v="17"/>
    <n v="2497.2141176470586"/>
    <n v="8043.7058823529414"/>
    <n v="37.335526315789473"/>
    <x v="0"/>
    <s v="Excellent"/>
    <s v="Medium"/>
  </r>
  <r>
    <n v="235"/>
    <x v="3"/>
    <n v="2022"/>
    <n v="5163"/>
    <x v="0"/>
    <x v="0"/>
    <x v="1"/>
    <n v="4766"/>
    <n v="213.4"/>
    <n v="19.489999999999998"/>
    <n v="7"/>
    <n v="33713.51"/>
    <n v="2"/>
    <n v="16856.755000000001"/>
    <n v="2581.5"/>
    <n v="44.775493075954678"/>
    <x v="3"/>
    <s v="Average"/>
    <s v="Very High"/>
  </r>
  <r>
    <n v="236"/>
    <x v="3"/>
    <n v="2009"/>
    <n v="46424"/>
    <x v="1"/>
    <x v="0"/>
    <x v="1"/>
    <n v="2905"/>
    <n v="153"/>
    <n v="18.510000000000002"/>
    <n v="6"/>
    <n v="17261.04"/>
    <n v="15"/>
    <n v="1150.7360000000001"/>
    <n v="3094.9333333333334"/>
    <n v="52.667814113597252"/>
    <x v="0"/>
    <s v="Average"/>
    <s v="High"/>
  </r>
  <r>
    <n v="237"/>
    <x v="0"/>
    <n v="2016"/>
    <n v="189816"/>
    <x v="2"/>
    <x v="1"/>
    <x v="1"/>
    <n v="928"/>
    <n v="548.9"/>
    <n v="6.26"/>
    <n v="7"/>
    <n v="62641.58"/>
    <n v="8"/>
    <n v="7830.1975000000002"/>
    <n v="23727"/>
    <n v="591.48706896551721"/>
    <x v="2"/>
    <s v="Low"/>
    <s v="Very High"/>
  </r>
  <r>
    <n v="238"/>
    <x v="9"/>
    <n v="2016"/>
    <n v="146706"/>
    <x v="0"/>
    <x v="1"/>
    <x v="0"/>
    <n v="4796"/>
    <n v="465.8"/>
    <n v="6.57"/>
    <n v="5"/>
    <n v="71475.520000000004"/>
    <n v="8"/>
    <n v="8934.44"/>
    <n v="18338.25"/>
    <n v="97.122602168473719"/>
    <x v="2"/>
    <s v="Low"/>
    <s v="Very High"/>
  </r>
  <r>
    <n v="239"/>
    <x v="9"/>
    <n v="2023"/>
    <n v="140870"/>
    <x v="3"/>
    <x v="0"/>
    <x v="1"/>
    <n v="1651"/>
    <n v="418.8"/>
    <n v="9.68"/>
    <n v="4"/>
    <n v="45042.66"/>
    <n v="1"/>
    <n v="45042.66"/>
    <n v="140870"/>
    <n v="253.66444579043005"/>
    <x v="3"/>
    <s v="Low"/>
    <s v="Very High"/>
  </r>
  <r>
    <n v="240"/>
    <x v="5"/>
    <n v="2010"/>
    <n v="27420"/>
    <x v="0"/>
    <x v="0"/>
    <x v="2"/>
    <n v="4903"/>
    <n v="208.5"/>
    <n v="5.81"/>
    <n v="5"/>
    <n v="58617.01"/>
    <n v="14"/>
    <n v="4186.9292857142855"/>
    <n v="1958.5714285714287"/>
    <n v="42.524984703242914"/>
    <x v="0"/>
    <s v="Low"/>
    <s v="Very High"/>
  </r>
  <r>
    <n v="241"/>
    <x v="5"/>
    <n v="2006"/>
    <n v="125575"/>
    <x v="1"/>
    <x v="1"/>
    <x v="1"/>
    <n v="2876"/>
    <n v="143.1"/>
    <n v="23.58"/>
    <n v="7"/>
    <n v="45531.19"/>
    <n v="18"/>
    <n v="2529.5105555555556"/>
    <n v="6976.3888888888887"/>
    <n v="49.756606397774689"/>
    <x v="0"/>
    <s v="Good"/>
    <s v="Medium"/>
  </r>
  <r>
    <n v="242"/>
    <x v="5"/>
    <n v="2016"/>
    <n v="34300"/>
    <x v="3"/>
    <x v="1"/>
    <x v="2"/>
    <n v="3794"/>
    <n v="463.6"/>
    <n v="23.08"/>
    <n v="6"/>
    <n v="77997.710000000006"/>
    <n v="8"/>
    <n v="9749.7137500000008"/>
    <n v="4287.5"/>
    <n v="122.19293621507644"/>
    <x v="2"/>
    <s v="Good"/>
    <s v="Very High"/>
  </r>
  <r>
    <n v="243"/>
    <x v="1"/>
    <n v="2023"/>
    <n v="94881"/>
    <x v="2"/>
    <x v="0"/>
    <x v="1"/>
    <n v="4544"/>
    <n v="305.5"/>
    <n v="8.4"/>
    <n v="7"/>
    <n v="108447.33"/>
    <n v="1"/>
    <n v="108447.33"/>
    <n v="94881"/>
    <n v="67.231514084507054"/>
    <x v="3"/>
    <s v="Low"/>
    <s v="Very High"/>
  </r>
  <r>
    <n v="244"/>
    <x v="2"/>
    <n v="2009"/>
    <n v="15749"/>
    <x v="3"/>
    <x v="1"/>
    <x v="0"/>
    <n v="3556"/>
    <n v="166.4"/>
    <n v="25.9"/>
    <n v="6"/>
    <n v="22178.67"/>
    <n v="15"/>
    <n v="1478.578"/>
    <n v="1049.9333333333334"/>
    <n v="46.794150731158609"/>
    <x v="0"/>
    <s v="Excellent"/>
    <s v="High"/>
  </r>
  <r>
    <n v="245"/>
    <x v="6"/>
    <n v="2016"/>
    <n v="109131"/>
    <x v="2"/>
    <x v="1"/>
    <x v="1"/>
    <n v="2444"/>
    <n v="385.3"/>
    <n v="8.8699999999999992"/>
    <n v="6"/>
    <n v="47624.83"/>
    <n v="8"/>
    <n v="5953.1037500000002"/>
    <n v="13641.375"/>
    <n v="157.65139116202946"/>
    <x v="2"/>
    <s v="Low"/>
    <s v="Very High"/>
  </r>
  <r>
    <n v="246"/>
    <x v="2"/>
    <n v="2021"/>
    <n v="161193"/>
    <x v="2"/>
    <x v="0"/>
    <x v="2"/>
    <n v="3944"/>
    <n v="62.6"/>
    <n v="12.53"/>
    <n v="2"/>
    <n v="19481.63"/>
    <n v="3"/>
    <n v="6493.876666666667"/>
    <n v="53731"/>
    <n v="15.872210953346856"/>
    <x v="3"/>
    <s v="Low"/>
    <s v="Low"/>
  </r>
  <r>
    <n v="247"/>
    <x v="8"/>
    <n v="2021"/>
    <n v="133563"/>
    <x v="0"/>
    <x v="1"/>
    <x v="2"/>
    <n v="1042"/>
    <n v="222.7"/>
    <n v="11.22"/>
    <n v="4"/>
    <n v="76118.42"/>
    <n v="3"/>
    <n v="25372.806666666667"/>
    <n v="44521"/>
    <n v="213.72360844529749"/>
    <x v="3"/>
    <s v="Low"/>
    <s v="Very High"/>
  </r>
  <r>
    <n v="248"/>
    <x v="2"/>
    <n v="2014"/>
    <n v="42487"/>
    <x v="0"/>
    <x v="1"/>
    <x v="1"/>
    <n v="4885"/>
    <n v="302.39999999999998"/>
    <n v="14.31"/>
    <n v="7"/>
    <n v="88277.85"/>
    <n v="10"/>
    <n v="8827.7849999999999"/>
    <n v="4248.7"/>
    <n v="61.903787103377688"/>
    <x v="2"/>
    <s v="Low"/>
    <s v="Very High"/>
  </r>
  <r>
    <n v="249"/>
    <x v="1"/>
    <n v="2021"/>
    <n v="169433"/>
    <x v="0"/>
    <x v="0"/>
    <x v="2"/>
    <n v="970"/>
    <n v="122.9"/>
    <n v="11.37"/>
    <n v="6"/>
    <n v="112033.79"/>
    <n v="3"/>
    <n v="37344.596666666665"/>
    <n v="56477.666666666664"/>
    <n v="126.70103092783506"/>
    <x v="3"/>
    <s v="Low"/>
    <s v="Medium"/>
  </r>
  <r>
    <n v="250"/>
    <x v="8"/>
    <n v="2019"/>
    <n v="26223"/>
    <x v="1"/>
    <x v="0"/>
    <x v="2"/>
    <n v="1452"/>
    <n v="591.4"/>
    <n v="17.22"/>
    <n v="7"/>
    <n v="35628.019999999997"/>
    <n v="5"/>
    <n v="7125.6039999999994"/>
    <n v="5244.6"/>
    <n v="407.30027548209364"/>
    <x v="1"/>
    <s v="Average"/>
    <s v="Very High"/>
  </r>
  <r>
    <n v="251"/>
    <x v="2"/>
    <n v="2016"/>
    <n v="77930"/>
    <x v="1"/>
    <x v="1"/>
    <x v="0"/>
    <n v="4312"/>
    <n v="157.1"/>
    <n v="15.19"/>
    <n v="7"/>
    <n v="114174.71"/>
    <n v="8"/>
    <n v="14271.838750000001"/>
    <n v="9741.25"/>
    <n v="36.43320964749536"/>
    <x v="2"/>
    <s v="Average"/>
    <s v="High"/>
  </r>
  <r>
    <n v="252"/>
    <x v="1"/>
    <n v="2020"/>
    <n v="150128"/>
    <x v="0"/>
    <x v="0"/>
    <x v="1"/>
    <n v="2299"/>
    <n v="113"/>
    <n v="29.66"/>
    <n v="6"/>
    <n v="10401.73"/>
    <n v="4"/>
    <n v="2600.4324999999999"/>
    <n v="37532"/>
    <n v="49.151805132666375"/>
    <x v="1"/>
    <s v="Excellent"/>
    <s v="Medium"/>
  </r>
  <r>
    <n v="253"/>
    <x v="6"/>
    <n v="2023"/>
    <n v="33380"/>
    <x v="1"/>
    <x v="1"/>
    <x v="1"/>
    <n v="2899"/>
    <n v="154"/>
    <n v="6.4"/>
    <n v="5"/>
    <n v="73552.62"/>
    <n v="1"/>
    <n v="73552.62"/>
    <n v="33380"/>
    <n v="53.121766126250428"/>
    <x v="3"/>
    <s v="Low"/>
    <s v="High"/>
  </r>
  <r>
    <n v="254"/>
    <x v="2"/>
    <n v="2012"/>
    <n v="31035"/>
    <x v="3"/>
    <x v="0"/>
    <x v="1"/>
    <n v="2958"/>
    <n v="470.7"/>
    <n v="8.5500000000000007"/>
    <n v="4"/>
    <n v="9684.5300000000007"/>
    <n v="12"/>
    <n v="807.04416666666668"/>
    <n v="2586.25"/>
    <n v="159.12778904665313"/>
    <x v="2"/>
    <s v="Low"/>
    <s v="Very High"/>
  </r>
  <r>
    <n v="255"/>
    <x v="1"/>
    <n v="2021"/>
    <n v="35620"/>
    <x v="3"/>
    <x v="1"/>
    <x v="2"/>
    <n v="2772"/>
    <n v="278.3"/>
    <n v="6.32"/>
    <n v="4"/>
    <n v="107571.58"/>
    <n v="3"/>
    <n v="35857.193333333336"/>
    <n v="11873.333333333334"/>
    <n v="100.39682539682541"/>
    <x v="3"/>
    <s v="Low"/>
    <s v="Very High"/>
  </r>
  <r>
    <n v="256"/>
    <x v="5"/>
    <n v="2009"/>
    <n v="155949"/>
    <x v="1"/>
    <x v="0"/>
    <x v="1"/>
    <n v="4725"/>
    <n v="356.6"/>
    <n v="20.65"/>
    <n v="2"/>
    <n v="64987.66"/>
    <n v="15"/>
    <n v="4332.510666666667"/>
    <n v="10396.6"/>
    <n v="75.470899470899482"/>
    <x v="0"/>
    <s v="Good"/>
    <s v="Very High"/>
  </r>
  <r>
    <n v="257"/>
    <x v="9"/>
    <n v="2020"/>
    <n v="191388"/>
    <x v="1"/>
    <x v="1"/>
    <x v="1"/>
    <n v="3058"/>
    <n v="51.8"/>
    <n v="6.36"/>
    <n v="2"/>
    <n v="81313.759999999995"/>
    <n v="4"/>
    <n v="20328.439999999999"/>
    <n v="47847"/>
    <n v="16.939175931981687"/>
    <x v="1"/>
    <s v="Low"/>
    <s v="Low"/>
  </r>
  <r>
    <n v="258"/>
    <x v="5"/>
    <n v="2010"/>
    <n v="122360"/>
    <x v="3"/>
    <x v="1"/>
    <x v="0"/>
    <n v="4839"/>
    <n v="59.3"/>
    <n v="25.91"/>
    <n v="2"/>
    <n v="100294.15"/>
    <n v="14"/>
    <n v="7163.8678571428563"/>
    <n v="8740"/>
    <n v="12.254598057449885"/>
    <x v="0"/>
    <s v="Excellent"/>
    <s v="Low"/>
  </r>
  <r>
    <n v="259"/>
    <x v="9"/>
    <n v="2012"/>
    <n v="58352"/>
    <x v="2"/>
    <x v="1"/>
    <x v="0"/>
    <n v="2835"/>
    <n v="289.7"/>
    <n v="17.8"/>
    <n v="4"/>
    <n v="20586.34"/>
    <n v="12"/>
    <n v="1715.5283333333334"/>
    <n v="4862.666666666667"/>
    <n v="102.18694885361552"/>
    <x v="2"/>
    <s v="Average"/>
    <s v="Very High"/>
  </r>
  <r>
    <n v="260"/>
    <x v="7"/>
    <n v="2022"/>
    <n v="166983"/>
    <x v="3"/>
    <x v="0"/>
    <x v="0"/>
    <n v="4071"/>
    <n v="497.3"/>
    <n v="18.18"/>
    <n v="5"/>
    <n v="7515.21"/>
    <n v="2"/>
    <n v="3757.605"/>
    <n v="83491.5"/>
    <n v="122.15671825104398"/>
    <x v="3"/>
    <s v="Average"/>
    <s v="Very High"/>
  </r>
  <r>
    <n v="261"/>
    <x v="7"/>
    <n v="2016"/>
    <n v="168856"/>
    <x v="3"/>
    <x v="0"/>
    <x v="2"/>
    <n v="1657"/>
    <n v="535.70000000000005"/>
    <n v="19.04"/>
    <n v="4"/>
    <n v="105829.09"/>
    <n v="8"/>
    <n v="13228.63625"/>
    <n v="21107"/>
    <n v="323.29511164755587"/>
    <x v="2"/>
    <s v="Average"/>
    <s v="Very High"/>
  </r>
  <r>
    <n v="262"/>
    <x v="7"/>
    <n v="2019"/>
    <n v="8191"/>
    <x v="1"/>
    <x v="1"/>
    <x v="1"/>
    <n v="4623"/>
    <n v="88.6"/>
    <n v="9.27"/>
    <n v="4"/>
    <n v="39847.19"/>
    <n v="5"/>
    <n v="7969.4380000000001"/>
    <n v="1638.2"/>
    <n v="19.16504434349989"/>
    <x v="1"/>
    <s v="Low"/>
    <s v="Low"/>
  </r>
  <r>
    <n v="263"/>
    <x v="6"/>
    <n v="2013"/>
    <n v="169232"/>
    <x v="3"/>
    <x v="1"/>
    <x v="0"/>
    <n v="1849"/>
    <n v="341.5"/>
    <n v="9.94"/>
    <n v="4"/>
    <n v="18090.53"/>
    <n v="11"/>
    <n v="1644.5936363636363"/>
    <n v="15384.727272727272"/>
    <n v="184.69442942130883"/>
    <x v="2"/>
    <s v="Low"/>
    <s v="Very High"/>
  </r>
  <r>
    <n v="264"/>
    <x v="5"/>
    <n v="2017"/>
    <n v="95536"/>
    <x v="1"/>
    <x v="0"/>
    <x v="0"/>
    <n v="4790"/>
    <n v="551.4"/>
    <n v="12.97"/>
    <n v="4"/>
    <n v="57809.96"/>
    <n v="7"/>
    <n v="8258.5657142857144"/>
    <n v="13648"/>
    <n v="115.11482254697286"/>
    <x v="1"/>
    <s v="Low"/>
    <s v="Very High"/>
  </r>
  <r>
    <n v="265"/>
    <x v="9"/>
    <n v="2019"/>
    <n v="109576"/>
    <x v="1"/>
    <x v="0"/>
    <x v="0"/>
    <n v="1098"/>
    <n v="257.3"/>
    <n v="19.84"/>
    <n v="5"/>
    <n v="73001.81"/>
    <n v="5"/>
    <n v="14600.361999999999"/>
    <n v="21915.200000000001"/>
    <n v="234.3351548269581"/>
    <x v="1"/>
    <s v="Average"/>
    <s v="Very High"/>
  </r>
  <r>
    <n v="266"/>
    <x v="1"/>
    <n v="2014"/>
    <n v="185795"/>
    <x v="0"/>
    <x v="0"/>
    <x v="1"/>
    <n v="1723"/>
    <n v="504.6"/>
    <n v="10.25"/>
    <n v="2"/>
    <n v="6623.56"/>
    <n v="10"/>
    <n v="662.35599999999999"/>
    <n v="18579.5"/>
    <n v="292.86128845037723"/>
    <x v="2"/>
    <s v="Low"/>
    <s v="Very High"/>
  </r>
  <r>
    <n v="267"/>
    <x v="8"/>
    <n v="2020"/>
    <n v="8631"/>
    <x v="3"/>
    <x v="0"/>
    <x v="1"/>
    <n v="3599"/>
    <n v="114.9"/>
    <n v="7.91"/>
    <n v="7"/>
    <n v="35162.79"/>
    <n v="4"/>
    <n v="8790.6975000000002"/>
    <n v="2157.75"/>
    <n v="31.925534870797442"/>
    <x v="1"/>
    <s v="Low"/>
    <s v="Medium"/>
  </r>
  <r>
    <n v="268"/>
    <x v="1"/>
    <n v="2011"/>
    <n v="142244"/>
    <x v="2"/>
    <x v="0"/>
    <x v="1"/>
    <n v="4862"/>
    <n v="563.79999999999995"/>
    <n v="29.25"/>
    <n v="2"/>
    <n v="6837.59"/>
    <n v="13"/>
    <n v="525.9684615384615"/>
    <n v="10941.846153846154"/>
    <n v="115.96051007815713"/>
    <x v="0"/>
    <s v="Excellent"/>
    <s v="Very High"/>
  </r>
  <r>
    <n v="269"/>
    <x v="8"/>
    <n v="2021"/>
    <n v="47080"/>
    <x v="0"/>
    <x v="0"/>
    <x v="2"/>
    <n v="4845"/>
    <n v="460.8"/>
    <n v="5.55"/>
    <n v="2"/>
    <n v="52179.24"/>
    <n v="3"/>
    <n v="17393.079999999998"/>
    <n v="15693.333333333334"/>
    <n v="95.108359133126939"/>
    <x v="3"/>
    <s v="Low"/>
    <s v="Very High"/>
  </r>
  <r>
    <n v="270"/>
    <x v="3"/>
    <n v="2011"/>
    <n v="95353"/>
    <x v="1"/>
    <x v="1"/>
    <x v="2"/>
    <n v="2602"/>
    <n v="567.1"/>
    <n v="25.07"/>
    <n v="7"/>
    <n v="107726.7"/>
    <n v="13"/>
    <n v="8286.6692307692301"/>
    <n v="7334.8461538461543"/>
    <n v="217.9477325134512"/>
    <x v="0"/>
    <s v="Excellent"/>
    <s v="Very High"/>
  </r>
  <r>
    <n v="271"/>
    <x v="1"/>
    <n v="2018"/>
    <n v="156353"/>
    <x v="1"/>
    <x v="0"/>
    <x v="0"/>
    <n v="3513"/>
    <n v="418.9"/>
    <n v="24.7"/>
    <n v="4"/>
    <n v="117970.33"/>
    <n v="6"/>
    <n v="19661.721666666668"/>
    <n v="26058.833333333332"/>
    <n v="119.24281241104468"/>
    <x v="1"/>
    <s v="Good"/>
    <s v="Very High"/>
  </r>
  <r>
    <n v="272"/>
    <x v="2"/>
    <n v="2019"/>
    <n v="33671"/>
    <x v="2"/>
    <x v="1"/>
    <x v="1"/>
    <n v="3653"/>
    <n v="243.5"/>
    <n v="12.43"/>
    <n v="5"/>
    <n v="77534.559999999998"/>
    <n v="5"/>
    <n v="15506.912"/>
    <n v="6734.2"/>
    <n v="66.657541746509722"/>
    <x v="1"/>
    <s v="Low"/>
    <s v="Very High"/>
  </r>
  <r>
    <n v="273"/>
    <x v="2"/>
    <n v="2011"/>
    <n v="127811"/>
    <x v="1"/>
    <x v="0"/>
    <x v="0"/>
    <n v="3457"/>
    <n v="565.4"/>
    <n v="8.39"/>
    <n v="5"/>
    <n v="21911.61"/>
    <n v="13"/>
    <n v="1685.5084615384617"/>
    <n v="9831.6153846153848"/>
    <n v="163.55221290135955"/>
    <x v="0"/>
    <s v="Low"/>
    <s v="Very High"/>
  </r>
  <r>
    <n v="274"/>
    <x v="0"/>
    <n v="2013"/>
    <n v="187503"/>
    <x v="3"/>
    <x v="0"/>
    <x v="1"/>
    <n v="4146"/>
    <n v="194.3"/>
    <n v="8.64"/>
    <n v="2"/>
    <n v="108984.38"/>
    <n v="11"/>
    <n v="9907.6709090909098"/>
    <n v="17045.727272727272"/>
    <n v="46.864447660395562"/>
    <x v="2"/>
    <s v="Low"/>
    <s v="High"/>
  </r>
  <r>
    <n v="275"/>
    <x v="5"/>
    <n v="2023"/>
    <n v="132734"/>
    <x v="0"/>
    <x v="1"/>
    <x v="1"/>
    <n v="2271"/>
    <n v="226"/>
    <n v="22.44"/>
    <n v="7"/>
    <n v="63401"/>
    <n v="1"/>
    <n v="63401"/>
    <n v="132734"/>
    <n v="99.51563188022898"/>
    <x v="3"/>
    <s v="Good"/>
    <s v="Very High"/>
  </r>
  <r>
    <n v="276"/>
    <x v="8"/>
    <n v="2020"/>
    <n v="164674"/>
    <x v="1"/>
    <x v="1"/>
    <x v="1"/>
    <n v="3749"/>
    <n v="432.5"/>
    <n v="21.07"/>
    <n v="6"/>
    <n v="20988.67"/>
    <n v="4"/>
    <n v="5247.1674999999996"/>
    <n v="41168.5"/>
    <n v="115.36409709255801"/>
    <x v="1"/>
    <s v="Good"/>
    <s v="Very High"/>
  </r>
  <r>
    <n v="277"/>
    <x v="8"/>
    <n v="2012"/>
    <n v="56399"/>
    <x v="1"/>
    <x v="0"/>
    <x v="2"/>
    <n v="1741"/>
    <n v="468.6"/>
    <n v="24.57"/>
    <n v="4"/>
    <n v="110842.02"/>
    <n v="12"/>
    <n v="9236.8350000000009"/>
    <n v="4699.916666666667"/>
    <n v="269.15565766800688"/>
    <x v="2"/>
    <s v="Good"/>
    <s v="Very High"/>
  </r>
  <r>
    <n v="278"/>
    <x v="5"/>
    <n v="2022"/>
    <n v="159544"/>
    <x v="2"/>
    <x v="1"/>
    <x v="2"/>
    <n v="2707"/>
    <n v="560.5"/>
    <n v="28.44"/>
    <n v="2"/>
    <n v="91623.88"/>
    <n v="2"/>
    <n v="45811.94"/>
    <n v="79772"/>
    <n v="207.05578130772074"/>
    <x v="3"/>
    <s v="Excellent"/>
    <s v="Very High"/>
  </r>
  <r>
    <n v="279"/>
    <x v="6"/>
    <n v="2022"/>
    <n v="185302"/>
    <x v="3"/>
    <x v="1"/>
    <x v="1"/>
    <n v="2043"/>
    <n v="154.69999999999999"/>
    <n v="22.3"/>
    <n v="5"/>
    <n v="88609.52"/>
    <n v="2"/>
    <n v="44304.76"/>
    <n v="92651"/>
    <n v="75.721977484092008"/>
    <x v="3"/>
    <s v="Good"/>
    <s v="High"/>
  </r>
  <r>
    <n v="280"/>
    <x v="0"/>
    <n v="2024"/>
    <n v="12099"/>
    <x v="1"/>
    <x v="1"/>
    <x v="0"/>
    <n v="2266"/>
    <n v="486.9"/>
    <n v="8.9"/>
    <n v="7"/>
    <n v="85974.14"/>
    <n v="0"/>
    <n v="85974.14"/>
    <n v="12099"/>
    <n v="214.87202118270079"/>
    <x v="3"/>
    <s v="Low"/>
    <s v="Very High"/>
  </r>
  <r>
    <n v="281"/>
    <x v="6"/>
    <n v="2011"/>
    <n v="161503"/>
    <x v="2"/>
    <x v="1"/>
    <x v="1"/>
    <n v="4757"/>
    <n v="453.6"/>
    <n v="11.09"/>
    <n v="7"/>
    <n v="26439.759999999998"/>
    <n v="13"/>
    <n v="2033.8276923076921"/>
    <n v="12423.307692307691"/>
    <n v="95.354214841286534"/>
    <x v="0"/>
    <s v="Low"/>
    <s v="Very High"/>
  </r>
  <r>
    <n v="282"/>
    <x v="6"/>
    <n v="2007"/>
    <n v="61492"/>
    <x v="1"/>
    <x v="0"/>
    <x v="1"/>
    <n v="2766"/>
    <n v="75.7"/>
    <n v="26.05"/>
    <n v="2"/>
    <n v="27687.78"/>
    <n v="17"/>
    <n v="1628.6929411764704"/>
    <n v="3617.1764705882351"/>
    <n v="27.368040491684745"/>
    <x v="0"/>
    <s v="Excellent"/>
    <s v="Low"/>
  </r>
  <r>
    <n v="283"/>
    <x v="6"/>
    <n v="2022"/>
    <n v="101722"/>
    <x v="2"/>
    <x v="1"/>
    <x v="0"/>
    <n v="1175"/>
    <n v="256.8"/>
    <n v="10.23"/>
    <n v="6"/>
    <n v="83530.28"/>
    <n v="2"/>
    <n v="41765.14"/>
    <n v="50861"/>
    <n v="218.55319148936169"/>
    <x v="3"/>
    <s v="Low"/>
    <s v="Very High"/>
  </r>
  <r>
    <n v="284"/>
    <x v="5"/>
    <n v="2014"/>
    <n v="183756"/>
    <x v="2"/>
    <x v="0"/>
    <x v="1"/>
    <n v="1062"/>
    <n v="198.3"/>
    <n v="6.81"/>
    <n v="5"/>
    <n v="28707.56"/>
    <n v="10"/>
    <n v="2870.7560000000003"/>
    <n v="18375.599999999999"/>
    <n v="186.72316384180792"/>
    <x v="2"/>
    <s v="Low"/>
    <s v="High"/>
  </r>
  <r>
    <n v="285"/>
    <x v="6"/>
    <n v="2011"/>
    <n v="35111"/>
    <x v="3"/>
    <x v="0"/>
    <x v="0"/>
    <n v="4188"/>
    <n v="210.5"/>
    <n v="22.58"/>
    <n v="2"/>
    <n v="54324.59"/>
    <n v="13"/>
    <n v="4178.8146153846155"/>
    <n v="2700.8461538461538"/>
    <n v="50.262655205348615"/>
    <x v="0"/>
    <s v="Good"/>
    <s v="Very High"/>
  </r>
  <r>
    <n v="286"/>
    <x v="2"/>
    <n v="2021"/>
    <n v="68936"/>
    <x v="1"/>
    <x v="0"/>
    <x v="2"/>
    <n v="4195"/>
    <n v="590.5"/>
    <n v="15.06"/>
    <n v="6"/>
    <n v="94494.21"/>
    <n v="3"/>
    <n v="31498.070000000003"/>
    <n v="22978.666666666668"/>
    <n v="140.76281287246721"/>
    <x v="3"/>
    <s v="Average"/>
    <s v="Very High"/>
  </r>
  <r>
    <n v="287"/>
    <x v="7"/>
    <n v="2018"/>
    <n v="158686"/>
    <x v="3"/>
    <x v="0"/>
    <x v="2"/>
    <n v="2744"/>
    <n v="400"/>
    <n v="28"/>
    <n v="7"/>
    <n v="94722.44"/>
    <n v="6"/>
    <n v="15787.073333333334"/>
    <n v="26447.666666666668"/>
    <n v="145.77259475218656"/>
    <x v="1"/>
    <s v="Excellent"/>
    <s v="Very High"/>
  </r>
  <r>
    <n v="288"/>
    <x v="3"/>
    <n v="2007"/>
    <n v="178063"/>
    <x v="2"/>
    <x v="1"/>
    <x v="0"/>
    <n v="2693"/>
    <n v="441.9"/>
    <n v="21.26"/>
    <n v="4"/>
    <n v="56031.63"/>
    <n v="17"/>
    <n v="3295.9782352941174"/>
    <n v="10474.294117647059"/>
    <n v="164.09209060527292"/>
    <x v="0"/>
    <s v="Good"/>
    <s v="Very High"/>
  </r>
  <r>
    <n v="289"/>
    <x v="8"/>
    <n v="2016"/>
    <n v="65920"/>
    <x v="0"/>
    <x v="1"/>
    <x v="2"/>
    <n v="4434"/>
    <n v="586.9"/>
    <n v="7.26"/>
    <n v="5"/>
    <n v="95686.22"/>
    <n v="8"/>
    <n v="11960.7775"/>
    <n v="8240"/>
    <n v="132.3635543527289"/>
    <x v="2"/>
    <s v="Low"/>
    <s v="Very High"/>
  </r>
  <r>
    <n v="290"/>
    <x v="8"/>
    <n v="2017"/>
    <n v="68530"/>
    <x v="1"/>
    <x v="0"/>
    <x v="2"/>
    <n v="2452"/>
    <n v="251.2"/>
    <n v="28.7"/>
    <n v="5"/>
    <n v="101118.75"/>
    <n v="7"/>
    <n v="14445.535714285714"/>
    <n v="9790"/>
    <n v="102.44698205546493"/>
    <x v="1"/>
    <s v="Excellent"/>
    <s v="Very High"/>
  </r>
  <r>
    <n v="291"/>
    <x v="3"/>
    <n v="2006"/>
    <n v="172296"/>
    <x v="0"/>
    <x v="0"/>
    <x v="0"/>
    <n v="4941"/>
    <n v="489"/>
    <n v="11.46"/>
    <n v="6"/>
    <n v="79608.759999999995"/>
    <n v="18"/>
    <n v="4422.7088888888884"/>
    <n v="9572"/>
    <n v="98.967820279295694"/>
    <x v="0"/>
    <s v="Low"/>
    <s v="Very High"/>
  </r>
  <r>
    <n v="292"/>
    <x v="5"/>
    <n v="2007"/>
    <n v="12788"/>
    <x v="1"/>
    <x v="0"/>
    <x v="2"/>
    <n v="4692"/>
    <n v="283.3"/>
    <n v="13.43"/>
    <n v="2"/>
    <n v="29725.82"/>
    <n v="17"/>
    <n v="1748.5776470588235"/>
    <n v="752.23529411764707"/>
    <n v="60.37936913895993"/>
    <x v="0"/>
    <s v="Low"/>
    <s v="Very High"/>
  </r>
  <r>
    <n v="293"/>
    <x v="1"/>
    <n v="2009"/>
    <n v="33082"/>
    <x v="3"/>
    <x v="0"/>
    <x v="1"/>
    <n v="1399"/>
    <n v="526.9"/>
    <n v="15.06"/>
    <n v="7"/>
    <n v="35059.379999999997"/>
    <n v="15"/>
    <n v="2337.2919999999999"/>
    <n v="2205.4666666666667"/>
    <n v="376.62616154395994"/>
    <x v="0"/>
    <s v="Average"/>
    <s v="Very High"/>
  </r>
  <r>
    <n v="294"/>
    <x v="5"/>
    <n v="2015"/>
    <n v="128287"/>
    <x v="3"/>
    <x v="1"/>
    <x v="1"/>
    <n v="2712"/>
    <n v="141.19999999999999"/>
    <n v="6.28"/>
    <n v="6"/>
    <n v="39836.42"/>
    <n v="9"/>
    <n v="4426.2688888888888"/>
    <n v="14254.111111111111"/>
    <n v="52.064896755162231"/>
    <x v="2"/>
    <s v="Low"/>
    <s v="Medium"/>
  </r>
  <r>
    <n v="295"/>
    <x v="8"/>
    <n v="2012"/>
    <n v="94570"/>
    <x v="3"/>
    <x v="0"/>
    <x v="0"/>
    <n v="2092"/>
    <n v="570.70000000000005"/>
    <n v="17.41"/>
    <n v="4"/>
    <n v="16666.080000000002"/>
    <n v="12"/>
    <n v="1388.8400000000001"/>
    <n v="7880.833333333333"/>
    <n v="272.80114722753348"/>
    <x v="2"/>
    <s v="Average"/>
    <s v="Very High"/>
  </r>
  <r>
    <n v="296"/>
    <x v="8"/>
    <n v="2016"/>
    <n v="106015"/>
    <x v="3"/>
    <x v="1"/>
    <x v="2"/>
    <n v="1400"/>
    <n v="162.5"/>
    <n v="8.08"/>
    <n v="4"/>
    <n v="34959.68"/>
    <n v="8"/>
    <n v="4369.96"/>
    <n v="13251.875"/>
    <n v="116.07142857142858"/>
    <x v="2"/>
    <s v="Low"/>
    <s v="High"/>
  </r>
  <r>
    <n v="297"/>
    <x v="3"/>
    <n v="2011"/>
    <n v="88588"/>
    <x v="3"/>
    <x v="0"/>
    <x v="1"/>
    <n v="1180"/>
    <n v="222.7"/>
    <n v="15.02"/>
    <n v="4"/>
    <n v="27513.75"/>
    <n v="13"/>
    <n v="2116.4423076923076"/>
    <n v="6814.4615384615381"/>
    <n v="188.72881355932202"/>
    <x v="0"/>
    <s v="Average"/>
    <s v="Very High"/>
  </r>
  <r>
    <n v="298"/>
    <x v="6"/>
    <n v="2019"/>
    <n v="152603"/>
    <x v="0"/>
    <x v="0"/>
    <x v="1"/>
    <n v="4437"/>
    <n v="463.5"/>
    <n v="13.77"/>
    <n v="6"/>
    <n v="56273.46"/>
    <n v="5"/>
    <n v="11254.691999999999"/>
    <n v="30520.6"/>
    <n v="104.46247464503043"/>
    <x v="1"/>
    <s v="Low"/>
    <s v="Very High"/>
  </r>
  <r>
    <n v="299"/>
    <x v="5"/>
    <n v="2021"/>
    <n v="93340"/>
    <x v="3"/>
    <x v="0"/>
    <x v="2"/>
    <n v="2963"/>
    <n v="260.5"/>
    <n v="24.32"/>
    <n v="7"/>
    <n v="109287.19"/>
    <n v="3"/>
    <n v="36429.063333333332"/>
    <n v="31113.333333333332"/>
    <n v="87.917651029362133"/>
    <x v="3"/>
    <s v="Good"/>
    <s v="Very High"/>
  </r>
  <r>
    <n v="300"/>
    <x v="9"/>
    <n v="2008"/>
    <n v="99439"/>
    <x v="2"/>
    <x v="0"/>
    <x v="2"/>
    <n v="1898"/>
    <n v="380.6"/>
    <n v="25.08"/>
    <n v="5"/>
    <n v="15224.2"/>
    <n v="16"/>
    <n v="951.51250000000005"/>
    <n v="6214.9375"/>
    <n v="200.52687038988412"/>
    <x v="0"/>
    <s v="Excellent"/>
    <s v="Very High"/>
  </r>
  <r>
    <n v="301"/>
    <x v="3"/>
    <n v="2017"/>
    <n v="180929"/>
    <x v="2"/>
    <x v="1"/>
    <x v="1"/>
    <n v="1165"/>
    <n v="289"/>
    <n v="8.84"/>
    <n v="2"/>
    <n v="87271.35"/>
    <n v="7"/>
    <n v="12467.335714285715"/>
    <n v="25847"/>
    <n v="248.06866952789699"/>
    <x v="1"/>
    <s v="Low"/>
    <s v="Very High"/>
  </r>
  <r>
    <n v="302"/>
    <x v="2"/>
    <n v="2022"/>
    <n v="146214"/>
    <x v="0"/>
    <x v="1"/>
    <x v="1"/>
    <n v="3370"/>
    <n v="455.7"/>
    <n v="14.16"/>
    <n v="5"/>
    <n v="83412.11"/>
    <n v="2"/>
    <n v="41706.055"/>
    <n v="73107"/>
    <n v="135.22255192878339"/>
    <x v="3"/>
    <s v="Low"/>
    <s v="Very High"/>
  </r>
  <r>
    <n v="303"/>
    <x v="8"/>
    <n v="2005"/>
    <n v="120053"/>
    <x v="1"/>
    <x v="1"/>
    <x v="0"/>
    <n v="4219"/>
    <n v="167.9"/>
    <n v="14.33"/>
    <n v="7"/>
    <n v="14203.24"/>
    <n v="19"/>
    <n v="747.53894736842108"/>
    <n v="6318.5789473684208"/>
    <n v="39.796160227542067"/>
    <x v="0"/>
    <s v="Low"/>
    <s v="High"/>
  </r>
  <r>
    <n v="304"/>
    <x v="3"/>
    <n v="2020"/>
    <n v="53355"/>
    <x v="2"/>
    <x v="0"/>
    <x v="0"/>
    <n v="3276"/>
    <n v="72.7"/>
    <n v="8.7899999999999991"/>
    <n v="5"/>
    <n v="110940.97"/>
    <n v="4"/>
    <n v="27735.2425"/>
    <n v="13338.75"/>
    <n v="22.191697191697195"/>
    <x v="1"/>
    <s v="Low"/>
    <s v="Low"/>
  </r>
  <r>
    <n v="305"/>
    <x v="5"/>
    <n v="2017"/>
    <n v="145938"/>
    <x v="1"/>
    <x v="0"/>
    <x v="1"/>
    <n v="1590"/>
    <n v="208"/>
    <n v="24.96"/>
    <n v="6"/>
    <n v="69511.25"/>
    <n v="7"/>
    <n v="9930.1785714285706"/>
    <n v="20848.285714285714"/>
    <n v="130.81761006289307"/>
    <x v="1"/>
    <s v="Good"/>
    <s v="Very High"/>
  </r>
  <r>
    <n v="306"/>
    <x v="8"/>
    <n v="2014"/>
    <n v="130426"/>
    <x v="0"/>
    <x v="1"/>
    <x v="0"/>
    <n v="4369"/>
    <n v="305.60000000000002"/>
    <n v="22.68"/>
    <n v="4"/>
    <n v="45555.89"/>
    <n v="10"/>
    <n v="4555.5889999999999"/>
    <n v="13042.6"/>
    <n v="69.947356374456405"/>
    <x v="2"/>
    <s v="Good"/>
    <s v="Very High"/>
  </r>
  <r>
    <n v="307"/>
    <x v="1"/>
    <n v="2016"/>
    <n v="69027"/>
    <x v="1"/>
    <x v="1"/>
    <x v="1"/>
    <n v="1546"/>
    <n v="134.1"/>
    <n v="9.76"/>
    <n v="7"/>
    <n v="91515.01"/>
    <n v="8"/>
    <n v="11439.376249999999"/>
    <n v="8628.375"/>
    <n v="86.739974126778776"/>
    <x v="2"/>
    <s v="Low"/>
    <s v="Medium"/>
  </r>
  <r>
    <n v="308"/>
    <x v="3"/>
    <n v="2006"/>
    <n v="193978"/>
    <x v="1"/>
    <x v="0"/>
    <x v="1"/>
    <n v="1112"/>
    <n v="238.7"/>
    <n v="14.17"/>
    <n v="7"/>
    <n v="33111.760000000002"/>
    <n v="18"/>
    <n v="1839.5422222222223"/>
    <n v="10776.555555555555"/>
    <n v="214.65827338129495"/>
    <x v="0"/>
    <s v="Low"/>
    <s v="Very High"/>
  </r>
  <r>
    <n v="309"/>
    <x v="0"/>
    <n v="2007"/>
    <n v="164210"/>
    <x v="1"/>
    <x v="0"/>
    <x v="0"/>
    <n v="1720"/>
    <n v="264"/>
    <n v="7.65"/>
    <n v="5"/>
    <n v="84140.65"/>
    <n v="17"/>
    <n v="4949.45"/>
    <n v="9659.4117647058829"/>
    <n v="153.48837209302326"/>
    <x v="0"/>
    <s v="Low"/>
    <s v="Very High"/>
  </r>
  <r>
    <n v="310"/>
    <x v="8"/>
    <n v="2014"/>
    <n v="97601"/>
    <x v="1"/>
    <x v="1"/>
    <x v="0"/>
    <n v="1877"/>
    <n v="72.099999999999994"/>
    <n v="20.71"/>
    <n v="6"/>
    <n v="7646.21"/>
    <n v="10"/>
    <n v="764.62099999999998"/>
    <n v="9760.1"/>
    <n v="38.412360149174212"/>
    <x v="2"/>
    <s v="Good"/>
    <s v="Low"/>
  </r>
  <r>
    <n v="311"/>
    <x v="5"/>
    <n v="2006"/>
    <n v="34956"/>
    <x v="0"/>
    <x v="0"/>
    <x v="2"/>
    <n v="3629"/>
    <n v="366.7"/>
    <n v="8.0299999999999994"/>
    <n v="5"/>
    <n v="101210.74"/>
    <n v="18"/>
    <n v="5622.818888888889"/>
    <n v="1942"/>
    <n v="101.04712041884817"/>
    <x v="0"/>
    <s v="Low"/>
    <s v="Very High"/>
  </r>
  <r>
    <n v="312"/>
    <x v="7"/>
    <n v="2017"/>
    <n v="109797"/>
    <x v="2"/>
    <x v="0"/>
    <x v="2"/>
    <n v="3181"/>
    <n v="535.20000000000005"/>
    <n v="29.65"/>
    <n v="5"/>
    <n v="55435.99"/>
    <n v="7"/>
    <n v="7919.4271428571428"/>
    <n v="15685.285714285714"/>
    <n v="168.24897830870796"/>
    <x v="1"/>
    <s v="Excellent"/>
    <s v="Very High"/>
  </r>
  <r>
    <n v="313"/>
    <x v="9"/>
    <n v="2017"/>
    <n v="129917"/>
    <x v="3"/>
    <x v="1"/>
    <x v="2"/>
    <n v="4418"/>
    <n v="125"/>
    <n v="24.52"/>
    <n v="7"/>
    <n v="77493.070000000007"/>
    <n v="7"/>
    <n v="11070.438571428573"/>
    <n v="18559.571428571428"/>
    <n v="28.293345405160704"/>
    <x v="1"/>
    <s v="Good"/>
    <s v="Medium"/>
  </r>
  <r>
    <n v="314"/>
    <x v="4"/>
    <n v="2022"/>
    <n v="131303"/>
    <x v="1"/>
    <x v="0"/>
    <x v="1"/>
    <n v="1597"/>
    <n v="374.8"/>
    <n v="14.76"/>
    <n v="5"/>
    <n v="28884.82"/>
    <n v="2"/>
    <n v="14442.41"/>
    <n v="65651.5"/>
    <n v="234.69004383218535"/>
    <x v="3"/>
    <s v="Low"/>
    <s v="Very High"/>
  </r>
  <r>
    <n v="315"/>
    <x v="6"/>
    <n v="2007"/>
    <n v="141511"/>
    <x v="2"/>
    <x v="1"/>
    <x v="0"/>
    <n v="1072"/>
    <n v="412.3"/>
    <n v="19.46"/>
    <n v="4"/>
    <n v="82217.62"/>
    <n v="17"/>
    <n v="4836.3305882352943"/>
    <n v="8324.176470588236"/>
    <n v="384.60820895522386"/>
    <x v="0"/>
    <s v="Average"/>
    <s v="Very High"/>
  </r>
  <r>
    <n v="316"/>
    <x v="4"/>
    <n v="2011"/>
    <n v="183313"/>
    <x v="2"/>
    <x v="0"/>
    <x v="1"/>
    <n v="3810"/>
    <n v="274.8"/>
    <n v="27.78"/>
    <n v="5"/>
    <n v="93352.11"/>
    <n v="13"/>
    <n v="7180.9315384615384"/>
    <n v="14101"/>
    <n v="72.125984251968504"/>
    <x v="0"/>
    <s v="Excellent"/>
    <s v="Very High"/>
  </r>
  <r>
    <n v="317"/>
    <x v="5"/>
    <n v="2018"/>
    <n v="47533"/>
    <x v="0"/>
    <x v="1"/>
    <x v="0"/>
    <n v="2573"/>
    <n v="432.6"/>
    <n v="18.850000000000001"/>
    <n v="4"/>
    <n v="58365.94"/>
    <n v="6"/>
    <n v="9727.6566666666677"/>
    <n v="7922.166666666667"/>
    <n v="168.13058686358337"/>
    <x v="1"/>
    <s v="Average"/>
    <s v="Very High"/>
  </r>
  <r>
    <n v="318"/>
    <x v="2"/>
    <n v="2024"/>
    <n v="164342"/>
    <x v="2"/>
    <x v="0"/>
    <x v="1"/>
    <n v="3347"/>
    <n v="270"/>
    <n v="9.36"/>
    <n v="7"/>
    <n v="75274.05"/>
    <n v="0"/>
    <n v="75274.05"/>
    <n v="164342"/>
    <n v="80.669256050194207"/>
    <x v="3"/>
    <s v="Low"/>
    <s v="Very High"/>
  </r>
  <r>
    <n v="319"/>
    <x v="2"/>
    <n v="2021"/>
    <n v="83815"/>
    <x v="0"/>
    <x v="1"/>
    <x v="2"/>
    <n v="3964"/>
    <n v="322.60000000000002"/>
    <n v="14.47"/>
    <n v="6"/>
    <n v="56390.13"/>
    <n v="3"/>
    <n v="18796.71"/>
    <n v="27938.333333333332"/>
    <n v="81.382441977800212"/>
    <x v="3"/>
    <s v="Low"/>
    <s v="Very High"/>
  </r>
  <r>
    <n v="320"/>
    <x v="7"/>
    <n v="2016"/>
    <n v="44279"/>
    <x v="1"/>
    <x v="1"/>
    <x v="2"/>
    <n v="1746"/>
    <n v="44.1"/>
    <n v="26.08"/>
    <n v="4"/>
    <n v="107608.69"/>
    <n v="8"/>
    <n v="13451.08625"/>
    <n v="5534.875"/>
    <n v="25.257731958762889"/>
    <x v="2"/>
    <s v="Excellent"/>
    <s v="Low"/>
  </r>
  <r>
    <n v="321"/>
    <x v="6"/>
    <n v="2020"/>
    <n v="114787"/>
    <x v="1"/>
    <x v="1"/>
    <x v="2"/>
    <n v="3465"/>
    <n v="427.4"/>
    <n v="21.11"/>
    <n v="6"/>
    <n v="61250.69"/>
    <n v="4"/>
    <n v="15312.672500000001"/>
    <n v="28696.75"/>
    <n v="123.34776334776335"/>
    <x v="1"/>
    <s v="Good"/>
    <s v="Very High"/>
  </r>
  <r>
    <n v="322"/>
    <x v="0"/>
    <n v="2016"/>
    <n v="159960"/>
    <x v="3"/>
    <x v="1"/>
    <x v="1"/>
    <n v="1306"/>
    <n v="410.4"/>
    <n v="21.27"/>
    <n v="6"/>
    <n v="101491.62"/>
    <n v="8"/>
    <n v="12686.452499999999"/>
    <n v="19995"/>
    <n v="314.24196018376722"/>
    <x v="2"/>
    <s v="Good"/>
    <s v="Very High"/>
  </r>
  <r>
    <n v="323"/>
    <x v="7"/>
    <n v="2019"/>
    <n v="153702"/>
    <x v="3"/>
    <x v="0"/>
    <x v="0"/>
    <n v="1043"/>
    <n v="61.5"/>
    <n v="26.67"/>
    <n v="4"/>
    <n v="96758.19"/>
    <n v="5"/>
    <n v="19351.637999999999"/>
    <n v="30740.400000000001"/>
    <n v="58.964525407478433"/>
    <x v="1"/>
    <s v="Excellent"/>
    <s v="Low"/>
  </r>
  <r>
    <n v="324"/>
    <x v="4"/>
    <n v="2014"/>
    <n v="66063"/>
    <x v="3"/>
    <x v="0"/>
    <x v="0"/>
    <n v="1305"/>
    <n v="246.2"/>
    <n v="27.35"/>
    <n v="7"/>
    <n v="51029.06"/>
    <n v="10"/>
    <n v="5102.9059999999999"/>
    <n v="6606.3"/>
    <n v="188.65900383141764"/>
    <x v="2"/>
    <s v="Excellent"/>
    <s v="Very High"/>
  </r>
  <r>
    <n v="325"/>
    <x v="7"/>
    <n v="2011"/>
    <n v="132896"/>
    <x v="2"/>
    <x v="1"/>
    <x v="2"/>
    <n v="3958"/>
    <n v="588.29999999999995"/>
    <n v="27.99"/>
    <n v="2"/>
    <n v="29919.89"/>
    <n v="13"/>
    <n v="2301.5299999999997"/>
    <n v="10222.76923076923"/>
    <n v="148.63567458312278"/>
    <x v="0"/>
    <s v="Excellent"/>
    <s v="Very High"/>
  </r>
  <r>
    <n v="326"/>
    <x v="4"/>
    <n v="2024"/>
    <n v="171216"/>
    <x v="1"/>
    <x v="0"/>
    <x v="2"/>
    <n v="4390"/>
    <n v="275.60000000000002"/>
    <n v="7.37"/>
    <n v="6"/>
    <n v="50511.61"/>
    <n v="0"/>
    <n v="50511.61"/>
    <n v="171216"/>
    <n v="62.779043280182243"/>
    <x v="3"/>
    <s v="Low"/>
    <s v="Very High"/>
  </r>
  <r>
    <n v="327"/>
    <x v="8"/>
    <n v="2009"/>
    <n v="188233"/>
    <x v="0"/>
    <x v="0"/>
    <x v="2"/>
    <n v="2672"/>
    <n v="321.10000000000002"/>
    <n v="18.600000000000001"/>
    <n v="6"/>
    <n v="99667.43"/>
    <n v="15"/>
    <n v="6644.4953333333333"/>
    <n v="12548.866666666667"/>
    <n v="120.17215568862275"/>
    <x v="0"/>
    <s v="Average"/>
    <s v="Very High"/>
  </r>
  <r>
    <n v="328"/>
    <x v="2"/>
    <n v="2005"/>
    <n v="187051"/>
    <x v="3"/>
    <x v="0"/>
    <x v="2"/>
    <n v="4593"/>
    <n v="549.6"/>
    <n v="23.51"/>
    <n v="7"/>
    <n v="29633.01"/>
    <n v="19"/>
    <n v="1559.6321052631579"/>
    <n v="9844.78947368421"/>
    <n v="119.66035271064665"/>
    <x v="0"/>
    <s v="Good"/>
    <s v="Very High"/>
  </r>
  <r>
    <n v="329"/>
    <x v="8"/>
    <n v="2021"/>
    <n v="102661"/>
    <x v="0"/>
    <x v="0"/>
    <x v="0"/>
    <n v="1992"/>
    <n v="441.7"/>
    <n v="23.92"/>
    <n v="7"/>
    <n v="64359.05"/>
    <n v="3"/>
    <n v="21453.016666666666"/>
    <n v="34220.333333333336"/>
    <n v="221.73694779116465"/>
    <x v="3"/>
    <s v="Good"/>
    <s v="Very High"/>
  </r>
  <r>
    <n v="330"/>
    <x v="9"/>
    <n v="2007"/>
    <n v="143051"/>
    <x v="0"/>
    <x v="0"/>
    <x v="1"/>
    <n v="2264"/>
    <n v="366"/>
    <n v="20.170000000000002"/>
    <n v="5"/>
    <n v="97313.32"/>
    <n v="17"/>
    <n v="5724.3129411764712"/>
    <n v="8414.7647058823532"/>
    <n v="161.66077738515904"/>
    <x v="0"/>
    <s v="Good"/>
    <s v="Very High"/>
  </r>
  <r>
    <n v="331"/>
    <x v="6"/>
    <n v="2017"/>
    <n v="162261"/>
    <x v="3"/>
    <x v="1"/>
    <x v="1"/>
    <n v="1190"/>
    <n v="486.8"/>
    <n v="9.17"/>
    <n v="7"/>
    <n v="44356.86"/>
    <n v="7"/>
    <n v="6336.6942857142858"/>
    <n v="23180.142857142859"/>
    <n v="409.07563025210089"/>
    <x v="1"/>
    <s v="Low"/>
    <s v="Very High"/>
  </r>
  <r>
    <n v="332"/>
    <x v="0"/>
    <n v="2018"/>
    <n v="178672"/>
    <x v="1"/>
    <x v="1"/>
    <x v="1"/>
    <n v="4177"/>
    <n v="524"/>
    <n v="24.94"/>
    <n v="6"/>
    <n v="78138.53"/>
    <n v="6"/>
    <n v="13023.088333333333"/>
    <n v="29778.666666666668"/>
    <n v="125.44888676083315"/>
    <x v="1"/>
    <s v="Good"/>
    <s v="Very High"/>
  </r>
  <r>
    <n v="333"/>
    <x v="4"/>
    <n v="2022"/>
    <n v="195632"/>
    <x v="3"/>
    <x v="1"/>
    <x v="1"/>
    <n v="1472"/>
    <n v="295.89999999999998"/>
    <n v="23"/>
    <n v="4"/>
    <n v="31738.89"/>
    <n v="2"/>
    <n v="15869.445"/>
    <n v="97816"/>
    <n v="201.01902173913041"/>
    <x v="3"/>
    <s v="Good"/>
    <s v="Very High"/>
  </r>
  <r>
    <n v="334"/>
    <x v="0"/>
    <n v="2008"/>
    <n v="128257"/>
    <x v="0"/>
    <x v="1"/>
    <x v="2"/>
    <n v="3360"/>
    <n v="306.10000000000002"/>
    <n v="7.15"/>
    <n v="2"/>
    <n v="15785.7"/>
    <n v="16"/>
    <n v="986.60625000000005"/>
    <n v="8016.0625"/>
    <n v="91.101190476190482"/>
    <x v="0"/>
    <s v="Low"/>
    <s v="Very High"/>
  </r>
  <r>
    <n v="335"/>
    <x v="4"/>
    <n v="2022"/>
    <n v="197630"/>
    <x v="3"/>
    <x v="0"/>
    <x v="2"/>
    <n v="2011"/>
    <n v="256.2"/>
    <n v="16.600000000000001"/>
    <n v="5"/>
    <n v="95942.95"/>
    <n v="2"/>
    <n v="47971.474999999999"/>
    <n v="98815"/>
    <n v="127.39930382894082"/>
    <x v="3"/>
    <s v="Average"/>
    <s v="Very High"/>
  </r>
  <r>
    <n v="336"/>
    <x v="5"/>
    <n v="2009"/>
    <n v="91205"/>
    <x v="0"/>
    <x v="0"/>
    <x v="2"/>
    <n v="1729"/>
    <n v="581.4"/>
    <n v="9.35"/>
    <n v="4"/>
    <n v="14579.33"/>
    <n v="15"/>
    <n v="971.95533333333333"/>
    <n v="6080.333333333333"/>
    <n v="336.26373626373623"/>
    <x v="0"/>
    <s v="Low"/>
    <s v="Very High"/>
  </r>
  <r>
    <n v="337"/>
    <x v="7"/>
    <n v="2020"/>
    <n v="11910"/>
    <x v="0"/>
    <x v="1"/>
    <x v="1"/>
    <n v="2339"/>
    <n v="430.4"/>
    <n v="13.44"/>
    <n v="2"/>
    <n v="34751.620000000003"/>
    <n v="4"/>
    <n v="8687.9050000000007"/>
    <n v="2977.5"/>
    <n v="184.01026079521162"/>
    <x v="1"/>
    <s v="Low"/>
    <s v="Very High"/>
  </r>
  <r>
    <n v="338"/>
    <x v="9"/>
    <n v="2005"/>
    <n v="193785"/>
    <x v="3"/>
    <x v="0"/>
    <x v="2"/>
    <n v="1712"/>
    <n v="86.6"/>
    <n v="5.45"/>
    <n v="2"/>
    <n v="103047.8"/>
    <n v="19"/>
    <n v="5423.5684210526315"/>
    <n v="10199.21052631579"/>
    <n v="50.584112149532707"/>
    <x v="0"/>
    <s v="Low"/>
    <s v="Low"/>
  </r>
  <r>
    <n v="339"/>
    <x v="2"/>
    <n v="2018"/>
    <n v="51857"/>
    <x v="2"/>
    <x v="0"/>
    <x v="2"/>
    <n v="1443"/>
    <n v="523.29999999999995"/>
    <n v="15.01"/>
    <n v="2"/>
    <n v="43536.91"/>
    <n v="6"/>
    <n v="7256.1516666666676"/>
    <n v="8642.8333333333339"/>
    <n v="362.64726264726261"/>
    <x v="1"/>
    <s v="Average"/>
    <s v="Very High"/>
  </r>
  <r>
    <n v="340"/>
    <x v="4"/>
    <n v="2019"/>
    <n v="39964"/>
    <x v="3"/>
    <x v="1"/>
    <x v="0"/>
    <n v="1301"/>
    <n v="309.10000000000002"/>
    <n v="18.75"/>
    <n v="4"/>
    <n v="116846.31"/>
    <n v="5"/>
    <n v="23369.261999999999"/>
    <n v="7992.8"/>
    <n v="237.58647194465797"/>
    <x v="1"/>
    <s v="Average"/>
    <s v="Very High"/>
  </r>
  <r>
    <n v="341"/>
    <x v="0"/>
    <n v="2013"/>
    <n v="161299"/>
    <x v="2"/>
    <x v="0"/>
    <x v="0"/>
    <n v="1529"/>
    <n v="78.5"/>
    <n v="20.49"/>
    <n v="5"/>
    <n v="117628.92"/>
    <n v="11"/>
    <n v="10693.538181818181"/>
    <n v="14663.545454545454"/>
    <n v="51.340745585349907"/>
    <x v="2"/>
    <s v="Good"/>
    <s v="Low"/>
  </r>
  <r>
    <n v="342"/>
    <x v="9"/>
    <n v="2019"/>
    <n v="142050"/>
    <x v="0"/>
    <x v="1"/>
    <x v="2"/>
    <n v="2083"/>
    <n v="347.8"/>
    <n v="21.59"/>
    <n v="5"/>
    <n v="34388.29"/>
    <n v="5"/>
    <n v="6877.6580000000004"/>
    <n v="28410"/>
    <n v="166.9707153144503"/>
    <x v="1"/>
    <s v="Good"/>
    <s v="Very High"/>
  </r>
  <r>
    <n v="343"/>
    <x v="1"/>
    <n v="2021"/>
    <n v="22153"/>
    <x v="0"/>
    <x v="1"/>
    <x v="0"/>
    <n v="2918"/>
    <n v="273.60000000000002"/>
    <n v="25.91"/>
    <n v="2"/>
    <n v="7794.45"/>
    <n v="3"/>
    <n v="2598.15"/>
    <n v="7384.333333333333"/>
    <n v="93.762851267991778"/>
    <x v="3"/>
    <s v="Excellent"/>
    <s v="Very High"/>
  </r>
  <r>
    <n v="344"/>
    <x v="1"/>
    <n v="2008"/>
    <n v="64765"/>
    <x v="2"/>
    <x v="0"/>
    <x v="0"/>
    <n v="4636"/>
    <n v="531.5"/>
    <n v="10.39"/>
    <n v="4"/>
    <n v="85492.4"/>
    <n v="16"/>
    <n v="5343.2749999999996"/>
    <n v="4047.8125"/>
    <n v="114.64624676445212"/>
    <x v="0"/>
    <s v="Low"/>
    <s v="Very High"/>
  </r>
  <r>
    <n v="345"/>
    <x v="8"/>
    <n v="2016"/>
    <n v="113212"/>
    <x v="0"/>
    <x v="0"/>
    <x v="2"/>
    <n v="1719"/>
    <n v="154.19999999999999"/>
    <n v="8.01"/>
    <n v="2"/>
    <n v="55765.42"/>
    <n v="8"/>
    <n v="6970.6774999999998"/>
    <n v="14151.5"/>
    <n v="89.703315881326347"/>
    <x v="2"/>
    <s v="Low"/>
    <s v="High"/>
  </r>
  <r>
    <n v="346"/>
    <x v="2"/>
    <n v="2009"/>
    <n v="44071"/>
    <x v="2"/>
    <x v="1"/>
    <x v="2"/>
    <n v="4850"/>
    <n v="502.8"/>
    <n v="26.29"/>
    <n v="7"/>
    <n v="14788.08"/>
    <n v="15"/>
    <n v="985.87199999999996"/>
    <n v="2938.0666666666666"/>
    <n v="103.67010309278352"/>
    <x v="0"/>
    <s v="Excellent"/>
    <s v="Very High"/>
  </r>
  <r>
    <n v="347"/>
    <x v="5"/>
    <n v="2009"/>
    <n v="117990"/>
    <x v="2"/>
    <x v="1"/>
    <x v="2"/>
    <n v="3139"/>
    <n v="352.3"/>
    <n v="8.92"/>
    <n v="5"/>
    <n v="85780.17"/>
    <n v="15"/>
    <n v="5718.6779999999999"/>
    <n v="7866"/>
    <n v="112.23319528512266"/>
    <x v="0"/>
    <s v="Low"/>
    <s v="Very High"/>
  </r>
  <r>
    <n v="348"/>
    <x v="0"/>
    <n v="2015"/>
    <n v="74519"/>
    <x v="0"/>
    <x v="0"/>
    <x v="2"/>
    <n v="1555"/>
    <n v="70.599999999999994"/>
    <n v="29.37"/>
    <n v="6"/>
    <n v="6647.46"/>
    <n v="9"/>
    <n v="738.60666666666668"/>
    <n v="8279.8888888888887"/>
    <n v="45.40192926045016"/>
    <x v="2"/>
    <s v="Excellent"/>
    <s v="Low"/>
  </r>
  <r>
    <n v="349"/>
    <x v="7"/>
    <n v="2010"/>
    <n v="14503"/>
    <x v="1"/>
    <x v="1"/>
    <x v="1"/>
    <n v="2669"/>
    <n v="584.20000000000005"/>
    <n v="26.06"/>
    <n v="2"/>
    <n v="104813.01"/>
    <n v="14"/>
    <n v="7486.6435714285708"/>
    <n v="1035.9285714285713"/>
    <n v="218.88347695766205"/>
    <x v="0"/>
    <s v="Excellent"/>
    <s v="Very High"/>
  </r>
  <r>
    <n v="350"/>
    <x v="7"/>
    <n v="2011"/>
    <n v="196775"/>
    <x v="2"/>
    <x v="1"/>
    <x v="1"/>
    <n v="1307"/>
    <n v="327.10000000000002"/>
    <n v="17.52"/>
    <n v="7"/>
    <n v="19222.349999999999"/>
    <n v="13"/>
    <n v="1478.6423076923077"/>
    <n v="15136.538461538461"/>
    <n v="250.26778882938029"/>
    <x v="0"/>
    <s v="Average"/>
    <s v="Very High"/>
  </r>
  <r>
    <n v="351"/>
    <x v="0"/>
    <n v="2018"/>
    <n v="100457"/>
    <x v="3"/>
    <x v="1"/>
    <x v="2"/>
    <n v="2236"/>
    <n v="202.9"/>
    <n v="29.54"/>
    <n v="5"/>
    <n v="17895.490000000002"/>
    <n v="6"/>
    <n v="2982.5816666666669"/>
    <n v="16742.833333333332"/>
    <n v="90.742397137745968"/>
    <x v="1"/>
    <s v="Excellent"/>
    <s v="Very High"/>
  </r>
  <r>
    <n v="352"/>
    <x v="6"/>
    <n v="2015"/>
    <n v="193938"/>
    <x v="3"/>
    <x v="0"/>
    <x v="0"/>
    <n v="3375"/>
    <n v="302.89999999999998"/>
    <n v="7.43"/>
    <n v="4"/>
    <n v="23553.66"/>
    <n v="9"/>
    <n v="2617.0733333333333"/>
    <n v="21548.666666666668"/>
    <n v="89.748148148148147"/>
    <x v="2"/>
    <s v="Low"/>
    <s v="Very High"/>
  </r>
  <r>
    <n v="353"/>
    <x v="5"/>
    <n v="2017"/>
    <n v="152977"/>
    <x v="0"/>
    <x v="1"/>
    <x v="2"/>
    <n v="4226"/>
    <n v="520.4"/>
    <n v="12.58"/>
    <n v="5"/>
    <n v="115351.16"/>
    <n v="7"/>
    <n v="16478.737142857142"/>
    <n v="21853.857142857141"/>
    <n v="123.14245149077141"/>
    <x v="1"/>
    <s v="Low"/>
    <s v="Very High"/>
  </r>
  <r>
    <n v="354"/>
    <x v="9"/>
    <n v="2006"/>
    <n v="50838"/>
    <x v="1"/>
    <x v="0"/>
    <x v="2"/>
    <n v="1358"/>
    <n v="210.7"/>
    <n v="20.96"/>
    <n v="4"/>
    <n v="84100.82"/>
    <n v="18"/>
    <n v="4672.2677777777781"/>
    <n v="2824.3333333333335"/>
    <n v="155.1546391752577"/>
    <x v="0"/>
    <s v="Good"/>
    <s v="Very High"/>
  </r>
  <r>
    <n v="355"/>
    <x v="4"/>
    <n v="2011"/>
    <n v="130200"/>
    <x v="0"/>
    <x v="1"/>
    <x v="0"/>
    <n v="3902"/>
    <n v="147.9"/>
    <n v="13.75"/>
    <n v="4"/>
    <n v="96760.47"/>
    <n v="13"/>
    <n v="7443.1130769230767"/>
    <n v="10015.384615384615"/>
    <n v="37.903639159405436"/>
    <x v="0"/>
    <s v="Low"/>
    <s v="Medium"/>
  </r>
  <r>
    <n v="356"/>
    <x v="6"/>
    <n v="2024"/>
    <n v="194351"/>
    <x v="1"/>
    <x v="0"/>
    <x v="1"/>
    <n v="4422"/>
    <n v="112.3"/>
    <n v="28.21"/>
    <n v="2"/>
    <n v="49523.29"/>
    <n v="0"/>
    <n v="49523.29"/>
    <n v="194351"/>
    <n v="25.39574853007689"/>
    <x v="3"/>
    <s v="Excellent"/>
    <s v="Medium"/>
  </r>
  <r>
    <n v="357"/>
    <x v="4"/>
    <n v="2008"/>
    <n v="94489"/>
    <x v="2"/>
    <x v="1"/>
    <x v="2"/>
    <n v="4857"/>
    <n v="206.8"/>
    <n v="6.64"/>
    <n v="2"/>
    <n v="42348.59"/>
    <n v="16"/>
    <n v="2646.7868749999998"/>
    <n v="5905.5625"/>
    <n v="42.57772287420218"/>
    <x v="0"/>
    <s v="Low"/>
    <s v="Very High"/>
  </r>
  <r>
    <n v="358"/>
    <x v="4"/>
    <n v="2012"/>
    <n v="31806"/>
    <x v="2"/>
    <x v="0"/>
    <x v="2"/>
    <n v="4515"/>
    <n v="476.8"/>
    <n v="18.739999999999998"/>
    <n v="5"/>
    <n v="30434.63"/>
    <n v="12"/>
    <n v="2536.2191666666668"/>
    <n v="2650.5"/>
    <n v="105.60354374307863"/>
    <x v="2"/>
    <s v="Average"/>
    <s v="Very High"/>
  </r>
  <r>
    <n v="359"/>
    <x v="6"/>
    <n v="2024"/>
    <n v="181072"/>
    <x v="2"/>
    <x v="0"/>
    <x v="1"/>
    <n v="2101"/>
    <n v="304.10000000000002"/>
    <n v="19.77"/>
    <n v="7"/>
    <n v="59235.82"/>
    <n v="0"/>
    <n v="59235.82"/>
    <n v="181072"/>
    <n v="144.74059971442171"/>
    <x v="3"/>
    <s v="Average"/>
    <s v="Very High"/>
  </r>
  <r>
    <n v="360"/>
    <x v="8"/>
    <n v="2023"/>
    <n v="158240"/>
    <x v="2"/>
    <x v="0"/>
    <x v="1"/>
    <n v="2955"/>
    <n v="167.4"/>
    <n v="21.32"/>
    <n v="5"/>
    <n v="67563.960000000006"/>
    <n v="1"/>
    <n v="67563.960000000006"/>
    <n v="158240"/>
    <n v="56.649746192893403"/>
    <x v="3"/>
    <s v="Good"/>
    <s v="High"/>
  </r>
  <r>
    <n v="361"/>
    <x v="1"/>
    <n v="2017"/>
    <n v="75119"/>
    <x v="3"/>
    <x v="1"/>
    <x v="0"/>
    <n v="1492"/>
    <n v="133.1"/>
    <n v="11.39"/>
    <n v="6"/>
    <n v="76917.66"/>
    <n v="7"/>
    <n v="10988.237142857144"/>
    <n v="10731.285714285714"/>
    <n v="89.20911528150134"/>
    <x v="1"/>
    <s v="Low"/>
    <s v="Medium"/>
  </r>
  <r>
    <n v="362"/>
    <x v="4"/>
    <n v="2018"/>
    <n v="43714"/>
    <x v="3"/>
    <x v="1"/>
    <x v="1"/>
    <n v="2278"/>
    <n v="226.3"/>
    <n v="14.11"/>
    <n v="4"/>
    <n v="33082.86"/>
    <n v="6"/>
    <n v="5513.81"/>
    <n v="7285.666666666667"/>
    <n v="99.341527655838462"/>
    <x v="1"/>
    <s v="Low"/>
    <s v="Very High"/>
  </r>
  <r>
    <n v="363"/>
    <x v="6"/>
    <n v="2014"/>
    <n v="190165"/>
    <x v="0"/>
    <x v="1"/>
    <x v="1"/>
    <n v="1056"/>
    <n v="566.4"/>
    <n v="26.09"/>
    <n v="4"/>
    <n v="113992.53"/>
    <n v="10"/>
    <n v="11399.253000000001"/>
    <n v="19016.5"/>
    <n v="536.36363636363626"/>
    <x v="2"/>
    <s v="Excellent"/>
    <s v="Very High"/>
  </r>
  <r>
    <n v="364"/>
    <x v="6"/>
    <n v="2015"/>
    <n v="60419"/>
    <x v="1"/>
    <x v="0"/>
    <x v="1"/>
    <n v="3230"/>
    <n v="232.1"/>
    <n v="9.8699999999999992"/>
    <n v="2"/>
    <n v="22861.74"/>
    <n v="9"/>
    <n v="2540.1933333333336"/>
    <n v="6713.2222222222226"/>
    <n v="71.857585139318886"/>
    <x v="2"/>
    <s v="Low"/>
    <s v="Very High"/>
  </r>
  <r>
    <n v="365"/>
    <x v="3"/>
    <n v="2006"/>
    <n v="185217"/>
    <x v="2"/>
    <x v="1"/>
    <x v="0"/>
    <n v="1241"/>
    <n v="593.29999999999995"/>
    <n v="25.67"/>
    <n v="7"/>
    <n v="115981.42"/>
    <n v="18"/>
    <n v="6443.4122222222222"/>
    <n v="10289.833333333334"/>
    <n v="478.08219178082186"/>
    <x v="0"/>
    <s v="Excellent"/>
    <s v="Very High"/>
  </r>
  <r>
    <n v="366"/>
    <x v="8"/>
    <n v="2013"/>
    <n v="110432"/>
    <x v="2"/>
    <x v="0"/>
    <x v="1"/>
    <n v="2681"/>
    <n v="311.7"/>
    <n v="19.07"/>
    <n v="2"/>
    <n v="4738.17"/>
    <n v="11"/>
    <n v="430.74272727272728"/>
    <n v="10039.272727272728"/>
    <n v="116.26258858634837"/>
    <x v="2"/>
    <s v="Average"/>
    <s v="Very High"/>
  </r>
  <r>
    <n v="367"/>
    <x v="2"/>
    <n v="2021"/>
    <n v="97949"/>
    <x v="1"/>
    <x v="1"/>
    <x v="1"/>
    <n v="3446"/>
    <n v="140.30000000000001"/>
    <n v="24.05"/>
    <n v="6"/>
    <n v="59291.71"/>
    <n v="3"/>
    <n v="19763.903333333332"/>
    <n v="32649.666666666668"/>
    <n v="40.713871154962277"/>
    <x v="3"/>
    <s v="Good"/>
    <s v="Medium"/>
  </r>
  <r>
    <n v="368"/>
    <x v="3"/>
    <n v="2007"/>
    <n v="138533"/>
    <x v="1"/>
    <x v="0"/>
    <x v="0"/>
    <n v="4620"/>
    <n v="539"/>
    <n v="22.84"/>
    <n v="5"/>
    <n v="42004.04"/>
    <n v="17"/>
    <n v="2470.8258823529413"/>
    <n v="8149"/>
    <n v="116.66666666666666"/>
    <x v="0"/>
    <s v="Good"/>
    <s v="Very High"/>
  </r>
  <r>
    <n v="369"/>
    <x v="3"/>
    <n v="2010"/>
    <n v="150363"/>
    <x v="0"/>
    <x v="0"/>
    <x v="1"/>
    <n v="2535"/>
    <n v="297.8"/>
    <n v="10.19"/>
    <n v="5"/>
    <n v="55547.44"/>
    <n v="14"/>
    <n v="3967.6742857142858"/>
    <n v="10740.214285714286"/>
    <n v="117.47534516765286"/>
    <x v="0"/>
    <s v="Low"/>
    <s v="Very High"/>
  </r>
  <r>
    <n v="370"/>
    <x v="0"/>
    <n v="2009"/>
    <n v="182876"/>
    <x v="1"/>
    <x v="0"/>
    <x v="1"/>
    <n v="4535"/>
    <n v="437.4"/>
    <n v="19.22"/>
    <n v="7"/>
    <n v="69767.759999999995"/>
    <n v="15"/>
    <n v="4651.1839999999993"/>
    <n v="12191.733333333334"/>
    <n v="96.449834619625136"/>
    <x v="0"/>
    <s v="Average"/>
    <s v="Very High"/>
  </r>
  <r>
    <n v="371"/>
    <x v="1"/>
    <n v="2009"/>
    <n v="81971"/>
    <x v="2"/>
    <x v="1"/>
    <x v="0"/>
    <n v="3445"/>
    <n v="590.9"/>
    <n v="26.69"/>
    <n v="2"/>
    <n v="53963.93"/>
    <n v="15"/>
    <n v="3597.5953333333332"/>
    <n v="5464.7333333333336"/>
    <n v="171.52394775036285"/>
    <x v="0"/>
    <s v="Excellent"/>
    <s v="Very High"/>
  </r>
  <r>
    <n v="372"/>
    <x v="6"/>
    <n v="2019"/>
    <n v="98471"/>
    <x v="2"/>
    <x v="1"/>
    <x v="2"/>
    <n v="818"/>
    <n v="68.099999999999994"/>
    <n v="15.8"/>
    <n v="2"/>
    <n v="51537.08"/>
    <n v="5"/>
    <n v="10307.416000000001"/>
    <n v="19694.2"/>
    <n v="83.251833740831287"/>
    <x v="1"/>
    <s v="Average"/>
    <s v="Low"/>
  </r>
  <r>
    <n v="373"/>
    <x v="1"/>
    <n v="2021"/>
    <n v="69946"/>
    <x v="2"/>
    <x v="1"/>
    <x v="0"/>
    <n v="1924"/>
    <n v="94.1"/>
    <n v="29.16"/>
    <n v="6"/>
    <n v="88728.639999999999"/>
    <n v="3"/>
    <n v="29576.213333333333"/>
    <n v="23315.333333333332"/>
    <n v="48.908523908523904"/>
    <x v="3"/>
    <s v="Excellent"/>
    <s v="Low"/>
  </r>
  <r>
    <n v="374"/>
    <x v="5"/>
    <n v="2013"/>
    <n v="103989"/>
    <x v="2"/>
    <x v="0"/>
    <x v="1"/>
    <n v="4785"/>
    <n v="443.5"/>
    <n v="16.309999999999999"/>
    <n v="5"/>
    <n v="83247.520000000004"/>
    <n v="11"/>
    <n v="7567.9563636363637"/>
    <n v="9453.545454545454"/>
    <n v="92.685475444096127"/>
    <x v="2"/>
    <s v="Average"/>
    <s v="Very High"/>
  </r>
  <r>
    <n v="375"/>
    <x v="0"/>
    <n v="2007"/>
    <n v="89080"/>
    <x v="2"/>
    <x v="0"/>
    <x v="1"/>
    <n v="3454"/>
    <n v="197.8"/>
    <n v="8.57"/>
    <n v="2"/>
    <n v="100492.74"/>
    <n v="17"/>
    <n v="5911.3376470588237"/>
    <n v="5240"/>
    <n v="57.266936884771283"/>
    <x v="0"/>
    <s v="Low"/>
    <s v="High"/>
  </r>
  <r>
    <n v="376"/>
    <x v="2"/>
    <n v="2024"/>
    <n v="197404"/>
    <x v="0"/>
    <x v="1"/>
    <x v="1"/>
    <n v="2880"/>
    <n v="143.19999999999999"/>
    <n v="14.74"/>
    <n v="7"/>
    <n v="32245.200000000001"/>
    <n v="0"/>
    <n v="32245.200000000001"/>
    <n v="197404"/>
    <n v="49.722222222222221"/>
    <x v="3"/>
    <s v="Low"/>
    <s v="Medium"/>
  </r>
  <r>
    <n v="377"/>
    <x v="1"/>
    <n v="2021"/>
    <n v="82794"/>
    <x v="2"/>
    <x v="1"/>
    <x v="0"/>
    <n v="2347"/>
    <n v="62"/>
    <n v="28.79"/>
    <n v="5"/>
    <n v="74314.84"/>
    <n v="3"/>
    <n v="24771.613333333331"/>
    <n v="27598"/>
    <n v="26.416702172986792"/>
    <x v="3"/>
    <s v="Excellent"/>
    <s v="Low"/>
  </r>
  <r>
    <n v="378"/>
    <x v="7"/>
    <n v="2014"/>
    <n v="35841"/>
    <x v="0"/>
    <x v="1"/>
    <x v="1"/>
    <n v="1661"/>
    <n v="52.2"/>
    <n v="12.99"/>
    <n v="6"/>
    <n v="71467.789999999994"/>
    <n v="10"/>
    <n v="7146.7789999999995"/>
    <n v="3584.1"/>
    <n v="31.426851294400965"/>
    <x v="2"/>
    <s v="Low"/>
    <s v="Low"/>
  </r>
  <r>
    <n v="379"/>
    <x v="4"/>
    <n v="2007"/>
    <n v="129447"/>
    <x v="2"/>
    <x v="0"/>
    <x v="1"/>
    <n v="954"/>
    <n v="473.7"/>
    <n v="26.7"/>
    <n v="7"/>
    <n v="46259.32"/>
    <n v="17"/>
    <n v="2721.1364705882352"/>
    <n v="7614.5294117647063"/>
    <n v="496.54088050314465"/>
    <x v="0"/>
    <s v="Excellent"/>
    <s v="Very High"/>
  </r>
  <r>
    <n v="380"/>
    <x v="5"/>
    <n v="2022"/>
    <n v="125029"/>
    <x v="3"/>
    <x v="0"/>
    <x v="0"/>
    <n v="4294"/>
    <n v="115.3"/>
    <n v="27.03"/>
    <n v="4"/>
    <n v="59868.73"/>
    <n v="2"/>
    <n v="29934.365000000002"/>
    <n v="62514.5"/>
    <n v="26.851420586865395"/>
    <x v="3"/>
    <s v="Excellent"/>
    <s v="Medium"/>
  </r>
  <r>
    <n v="381"/>
    <x v="8"/>
    <n v="2022"/>
    <n v="184830"/>
    <x v="3"/>
    <x v="0"/>
    <x v="2"/>
    <n v="1704"/>
    <n v="301.89999999999998"/>
    <n v="13.75"/>
    <n v="6"/>
    <n v="39712.51"/>
    <n v="2"/>
    <n v="19856.255000000001"/>
    <n v="92415"/>
    <n v="177.17136150234739"/>
    <x v="3"/>
    <s v="Low"/>
    <s v="Very High"/>
  </r>
  <r>
    <n v="382"/>
    <x v="2"/>
    <n v="2021"/>
    <n v="81272"/>
    <x v="3"/>
    <x v="0"/>
    <x v="2"/>
    <n v="2069"/>
    <n v="379.3"/>
    <n v="7.08"/>
    <n v="7"/>
    <n v="19595.79"/>
    <n v="3"/>
    <n v="6531.93"/>
    <n v="27090.666666666668"/>
    <n v="183.32527791203481"/>
    <x v="3"/>
    <s v="Low"/>
    <s v="Very High"/>
  </r>
  <r>
    <n v="383"/>
    <x v="5"/>
    <n v="2007"/>
    <n v="42643"/>
    <x v="3"/>
    <x v="0"/>
    <x v="1"/>
    <n v="1204"/>
    <n v="279.89999999999998"/>
    <n v="23.11"/>
    <n v="2"/>
    <n v="28014.74"/>
    <n v="17"/>
    <n v="1647.9258823529412"/>
    <n v="2508.4117647058824"/>
    <n v="232.47508305647838"/>
    <x v="0"/>
    <s v="Good"/>
    <s v="Very High"/>
  </r>
  <r>
    <n v="384"/>
    <x v="4"/>
    <n v="2007"/>
    <n v="186480"/>
    <x v="0"/>
    <x v="1"/>
    <x v="0"/>
    <n v="1643"/>
    <n v="55.2"/>
    <n v="12.79"/>
    <n v="4"/>
    <n v="15345.1"/>
    <n v="17"/>
    <n v="902.65294117647056"/>
    <n v="10969.411764705883"/>
    <n v="33.59707851491175"/>
    <x v="0"/>
    <s v="Low"/>
    <s v="Low"/>
  </r>
  <r>
    <n v="385"/>
    <x v="0"/>
    <n v="2010"/>
    <n v="48950"/>
    <x v="0"/>
    <x v="0"/>
    <x v="1"/>
    <n v="2582"/>
    <n v="478.8"/>
    <n v="24.57"/>
    <n v="6"/>
    <n v="82919.14"/>
    <n v="14"/>
    <n v="5922.795714285714"/>
    <n v="3496.4285714285716"/>
    <n v="185.43764523625097"/>
    <x v="0"/>
    <s v="Good"/>
    <s v="Very High"/>
  </r>
  <r>
    <n v="386"/>
    <x v="4"/>
    <n v="2017"/>
    <n v="192921"/>
    <x v="1"/>
    <x v="0"/>
    <x v="0"/>
    <n v="2364"/>
    <n v="45.9"/>
    <n v="16.07"/>
    <n v="2"/>
    <n v="80305.100000000006"/>
    <n v="7"/>
    <n v="11472.157142857144"/>
    <n v="27560.142857142859"/>
    <n v="19.416243654822335"/>
    <x v="1"/>
    <s v="Average"/>
    <s v="Low"/>
  </r>
  <r>
    <n v="387"/>
    <x v="3"/>
    <n v="2019"/>
    <n v="105500"/>
    <x v="2"/>
    <x v="0"/>
    <x v="0"/>
    <n v="1984"/>
    <n v="466.7"/>
    <n v="17.13"/>
    <n v="4"/>
    <n v="114220.95"/>
    <n v="5"/>
    <n v="22844.19"/>
    <n v="21100"/>
    <n v="235.23185483870967"/>
    <x v="1"/>
    <s v="Average"/>
    <s v="Very High"/>
  </r>
  <r>
    <n v="388"/>
    <x v="4"/>
    <n v="2013"/>
    <n v="164116"/>
    <x v="3"/>
    <x v="0"/>
    <x v="2"/>
    <n v="1546"/>
    <n v="540.29999999999995"/>
    <n v="24.45"/>
    <n v="5"/>
    <n v="88372.37"/>
    <n v="11"/>
    <n v="8033.8518181818181"/>
    <n v="14919.636363636364"/>
    <n v="349.48253557567915"/>
    <x v="2"/>
    <s v="Good"/>
    <s v="Very High"/>
  </r>
  <r>
    <n v="389"/>
    <x v="3"/>
    <n v="2008"/>
    <n v="130588"/>
    <x v="0"/>
    <x v="0"/>
    <x v="2"/>
    <n v="2525"/>
    <n v="282.39999999999998"/>
    <n v="14.56"/>
    <n v="2"/>
    <n v="9089.36"/>
    <n v="16"/>
    <n v="568.08500000000004"/>
    <n v="8161.75"/>
    <n v="111.84158415841584"/>
    <x v="0"/>
    <s v="Low"/>
    <s v="Very High"/>
  </r>
  <r>
    <n v="390"/>
    <x v="0"/>
    <n v="2018"/>
    <n v="20997"/>
    <x v="2"/>
    <x v="1"/>
    <x v="0"/>
    <n v="3988"/>
    <n v="339.9"/>
    <n v="16.079999999999998"/>
    <n v="7"/>
    <n v="106456.69"/>
    <n v="6"/>
    <n v="17742.781666666666"/>
    <n v="3499.5"/>
    <n v="85.230692076228678"/>
    <x v="1"/>
    <s v="Average"/>
    <s v="Very High"/>
  </r>
  <r>
    <n v="391"/>
    <x v="9"/>
    <n v="2009"/>
    <n v="84751"/>
    <x v="2"/>
    <x v="0"/>
    <x v="1"/>
    <n v="1070"/>
    <n v="307.10000000000002"/>
    <n v="14.4"/>
    <n v="6"/>
    <n v="103932.99"/>
    <n v="15"/>
    <n v="6928.866"/>
    <n v="5650.0666666666666"/>
    <n v="287.00934579439252"/>
    <x v="0"/>
    <s v="Low"/>
    <s v="Very High"/>
  </r>
  <r>
    <n v="392"/>
    <x v="3"/>
    <n v="2006"/>
    <n v="103605"/>
    <x v="0"/>
    <x v="0"/>
    <x v="2"/>
    <n v="4756"/>
    <n v="258"/>
    <n v="14.18"/>
    <n v="4"/>
    <n v="54868.480000000003"/>
    <n v="18"/>
    <n v="3048.2488888888893"/>
    <n v="5755.833333333333"/>
    <n v="54.247266610597137"/>
    <x v="0"/>
    <s v="Low"/>
    <s v="Very High"/>
  </r>
  <r>
    <n v="393"/>
    <x v="8"/>
    <n v="2015"/>
    <n v="159983"/>
    <x v="3"/>
    <x v="0"/>
    <x v="1"/>
    <n v="971"/>
    <n v="537"/>
    <n v="18.149999999999999"/>
    <n v="2"/>
    <n v="71545.98"/>
    <n v="9"/>
    <n v="7949.5533333333333"/>
    <n v="17775.888888888891"/>
    <n v="553.03810504634396"/>
    <x v="2"/>
    <s v="Average"/>
    <s v="Very High"/>
  </r>
  <r>
    <n v="394"/>
    <x v="4"/>
    <n v="2013"/>
    <n v="60533"/>
    <x v="1"/>
    <x v="1"/>
    <x v="2"/>
    <n v="1073"/>
    <n v="540.6"/>
    <n v="25.22"/>
    <n v="5"/>
    <n v="117201.16"/>
    <n v="11"/>
    <n v="10654.650909090909"/>
    <n v="5503"/>
    <n v="503.82106244175213"/>
    <x v="2"/>
    <s v="Excellent"/>
    <s v="Very High"/>
  </r>
  <r>
    <n v="395"/>
    <x v="4"/>
    <n v="2007"/>
    <n v="87566"/>
    <x v="2"/>
    <x v="1"/>
    <x v="2"/>
    <n v="3106"/>
    <n v="228.1"/>
    <n v="14.04"/>
    <n v="6"/>
    <n v="65279.61"/>
    <n v="17"/>
    <n v="3839.9770588235297"/>
    <n v="5150.9411764705883"/>
    <n v="73.438506117192532"/>
    <x v="0"/>
    <s v="Low"/>
    <s v="Very High"/>
  </r>
  <r>
    <n v="396"/>
    <x v="8"/>
    <n v="2013"/>
    <n v="150643"/>
    <x v="1"/>
    <x v="1"/>
    <x v="1"/>
    <n v="1958"/>
    <n v="384.4"/>
    <n v="18.11"/>
    <n v="6"/>
    <n v="108922.65"/>
    <n v="11"/>
    <n v="9902.0590909090897"/>
    <n v="13694.818181818182"/>
    <n v="196.32277834525024"/>
    <x v="2"/>
    <s v="Average"/>
    <s v="Very High"/>
  </r>
  <r>
    <n v="397"/>
    <x v="7"/>
    <n v="2007"/>
    <n v="113255"/>
    <x v="3"/>
    <x v="0"/>
    <x v="2"/>
    <n v="2506"/>
    <n v="559.1"/>
    <n v="21.77"/>
    <n v="2"/>
    <n v="12715.53"/>
    <n v="17"/>
    <n v="747.9723529411765"/>
    <n v="6662.0588235294117"/>
    <n v="223.10454908220274"/>
    <x v="0"/>
    <s v="Good"/>
    <s v="Very High"/>
  </r>
  <r>
    <n v="398"/>
    <x v="6"/>
    <n v="2006"/>
    <n v="194013"/>
    <x v="3"/>
    <x v="1"/>
    <x v="2"/>
    <n v="2571"/>
    <n v="578.79999999999995"/>
    <n v="11.74"/>
    <n v="5"/>
    <n v="25353.07"/>
    <n v="18"/>
    <n v="1408.5038888888889"/>
    <n v="10778.5"/>
    <n v="225.12640995721506"/>
    <x v="0"/>
    <s v="Low"/>
    <s v="Very High"/>
  </r>
  <r>
    <n v="399"/>
    <x v="9"/>
    <n v="2016"/>
    <n v="63005"/>
    <x v="1"/>
    <x v="0"/>
    <x v="1"/>
    <n v="1221"/>
    <n v="325"/>
    <n v="11.94"/>
    <n v="4"/>
    <n v="54568.33"/>
    <n v="8"/>
    <n v="6821.0412500000002"/>
    <n v="7875.625"/>
    <n v="266.17526617526613"/>
    <x v="2"/>
    <s v="Low"/>
    <s v="Very High"/>
  </r>
  <r>
    <n v="400"/>
    <x v="2"/>
    <n v="2014"/>
    <n v="194784"/>
    <x v="3"/>
    <x v="0"/>
    <x v="2"/>
    <n v="2009"/>
    <n v="293.60000000000002"/>
    <n v="28.34"/>
    <n v="2"/>
    <n v="71416.55"/>
    <n v="10"/>
    <n v="7141.6550000000007"/>
    <n v="19478.400000000001"/>
    <n v="146.14235938277753"/>
    <x v="2"/>
    <s v="Excellent"/>
    <s v="Very High"/>
  </r>
  <r>
    <n v="401"/>
    <x v="3"/>
    <n v="2013"/>
    <n v="48541"/>
    <x v="2"/>
    <x v="1"/>
    <x v="2"/>
    <n v="1690"/>
    <n v="196.1"/>
    <n v="23.09"/>
    <n v="4"/>
    <n v="98498.66"/>
    <n v="11"/>
    <n v="8954.4236363636373"/>
    <n v="4412.818181818182"/>
    <n v="116.03550295857988"/>
    <x v="2"/>
    <s v="Good"/>
    <s v="High"/>
  </r>
  <r>
    <n v="402"/>
    <x v="8"/>
    <n v="2019"/>
    <n v="28387"/>
    <x v="1"/>
    <x v="0"/>
    <x v="2"/>
    <n v="4067"/>
    <n v="577"/>
    <n v="19.43"/>
    <n v="6"/>
    <n v="118626.67"/>
    <n v="5"/>
    <n v="23725.333999999999"/>
    <n v="5677.4"/>
    <n v="141.87361691664617"/>
    <x v="1"/>
    <s v="Average"/>
    <s v="Very High"/>
  </r>
  <r>
    <n v="403"/>
    <x v="0"/>
    <n v="2012"/>
    <n v="98980"/>
    <x v="3"/>
    <x v="0"/>
    <x v="1"/>
    <n v="2273"/>
    <n v="120"/>
    <n v="21.19"/>
    <n v="4"/>
    <n v="48495.63"/>
    <n v="12"/>
    <n v="4041.3024999999998"/>
    <n v="8248.3333333333339"/>
    <n v="52.793664760228772"/>
    <x v="2"/>
    <s v="Good"/>
    <s v="Medium"/>
  </r>
  <r>
    <n v="404"/>
    <x v="3"/>
    <n v="2009"/>
    <n v="184980"/>
    <x v="1"/>
    <x v="0"/>
    <x v="0"/>
    <n v="4043"/>
    <n v="364.7"/>
    <n v="5.73"/>
    <n v="5"/>
    <n v="8547.6299999999992"/>
    <n v="15"/>
    <n v="569.84199999999998"/>
    <n v="12332"/>
    <n v="90.205293099183763"/>
    <x v="0"/>
    <s v="Low"/>
    <s v="Very High"/>
  </r>
  <r>
    <n v="405"/>
    <x v="6"/>
    <n v="2015"/>
    <n v="90457"/>
    <x v="2"/>
    <x v="1"/>
    <x v="1"/>
    <n v="2981"/>
    <n v="198.2"/>
    <n v="20.45"/>
    <n v="7"/>
    <n v="96737.07"/>
    <n v="9"/>
    <n v="10748.563333333334"/>
    <n v="10050.777777777777"/>
    <n v="66.487755786648776"/>
    <x v="2"/>
    <s v="Good"/>
    <s v="High"/>
  </r>
  <r>
    <n v="406"/>
    <x v="0"/>
    <n v="2006"/>
    <n v="149129"/>
    <x v="3"/>
    <x v="0"/>
    <x v="0"/>
    <n v="2249"/>
    <n v="196.2"/>
    <n v="17.739999999999998"/>
    <n v="5"/>
    <n v="73712.539999999994"/>
    <n v="18"/>
    <n v="4095.1411111111106"/>
    <n v="8284.9444444444453"/>
    <n v="87.238772787905731"/>
    <x v="0"/>
    <s v="Average"/>
    <s v="High"/>
  </r>
  <r>
    <n v="407"/>
    <x v="5"/>
    <n v="2019"/>
    <n v="69028"/>
    <x v="2"/>
    <x v="0"/>
    <x v="2"/>
    <n v="3896"/>
    <n v="266.8"/>
    <n v="18.64"/>
    <n v="4"/>
    <n v="26229.51"/>
    <n v="5"/>
    <n v="5245.902"/>
    <n v="13805.6"/>
    <n v="68.480492813141694"/>
    <x v="1"/>
    <s v="Average"/>
    <s v="Very High"/>
  </r>
  <r>
    <n v="408"/>
    <x v="4"/>
    <n v="2010"/>
    <n v="124246"/>
    <x v="3"/>
    <x v="1"/>
    <x v="0"/>
    <n v="4056"/>
    <n v="599.29999999999995"/>
    <n v="13.99"/>
    <n v="2"/>
    <n v="60894.93"/>
    <n v="14"/>
    <n v="4349.6378571428568"/>
    <n v="8874.7142857142862"/>
    <n v="147.75641025641025"/>
    <x v="0"/>
    <s v="Low"/>
    <s v="Very High"/>
  </r>
  <r>
    <n v="409"/>
    <x v="5"/>
    <n v="2012"/>
    <n v="60731"/>
    <x v="0"/>
    <x v="0"/>
    <x v="1"/>
    <n v="3956"/>
    <n v="70.8"/>
    <n v="7.04"/>
    <n v="6"/>
    <n v="89850.3"/>
    <n v="12"/>
    <n v="7487.5250000000005"/>
    <n v="5060.916666666667"/>
    <n v="17.896865520728007"/>
    <x v="2"/>
    <s v="Low"/>
    <s v="Low"/>
  </r>
  <r>
    <n v="410"/>
    <x v="3"/>
    <n v="2009"/>
    <n v="160930"/>
    <x v="3"/>
    <x v="0"/>
    <x v="1"/>
    <n v="2390"/>
    <n v="364"/>
    <n v="9.83"/>
    <n v="7"/>
    <n v="93138.18"/>
    <n v="15"/>
    <n v="6209.2119999999995"/>
    <n v="10728.666666666666"/>
    <n v="152.30125523012552"/>
    <x v="0"/>
    <s v="Low"/>
    <s v="Very High"/>
  </r>
  <r>
    <n v="411"/>
    <x v="6"/>
    <n v="2020"/>
    <n v="184761"/>
    <x v="1"/>
    <x v="1"/>
    <x v="2"/>
    <n v="4781"/>
    <n v="86.2"/>
    <n v="28.77"/>
    <n v="2"/>
    <n v="61455.35"/>
    <n v="4"/>
    <n v="15363.8375"/>
    <n v="46190.25"/>
    <n v="18.029700899393433"/>
    <x v="1"/>
    <s v="Excellent"/>
    <s v="Low"/>
  </r>
  <r>
    <n v="412"/>
    <x v="9"/>
    <n v="2022"/>
    <n v="49638"/>
    <x v="3"/>
    <x v="0"/>
    <x v="0"/>
    <n v="2235"/>
    <n v="126.5"/>
    <n v="15.22"/>
    <n v="2"/>
    <n v="38710.1"/>
    <n v="2"/>
    <n v="19355.05"/>
    <n v="24819"/>
    <n v="56.599552572706941"/>
    <x v="3"/>
    <s v="Average"/>
    <s v="Medium"/>
  </r>
  <r>
    <n v="413"/>
    <x v="3"/>
    <n v="2010"/>
    <n v="182558"/>
    <x v="2"/>
    <x v="0"/>
    <x v="2"/>
    <n v="1023"/>
    <n v="286.2"/>
    <n v="16.670000000000002"/>
    <n v="5"/>
    <n v="116927.88"/>
    <n v="14"/>
    <n v="8351.9914285714294"/>
    <n v="13039.857142857143"/>
    <n v="279.76539589442814"/>
    <x v="0"/>
    <s v="Average"/>
    <s v="Very High"/>
  </r>
  <r>
    <n v="414"/>
    <x v="8"/>
    <n v="2009"/>
    <n v="25567"/>
    <x v="2"/>
    <x v="0"/>
    <x v="2"/>
    <n v="1019"/>
    <n v="325.89999999999998"/>
    <n v="6.32"/>
    <n v="4"/>
    <n v="80613.429999999993"/>
    <n v="15"/>
    <n v="5374.228666666666"/>
    <n v="1704.4666666666667"/>
    <n v="319.82335623159963"/>
    <x v="0"/>
    <s v="Low"/>
    <s v="Very High"/>
  </r>
  <r>
    <n v="415"/>
    <x v="1"/>
    <n v="2020"/>
    <n v="165811"/>
    <x v="3"/>
    <x v="0"/>
    <x v="1"/>
    <n v="2454"/>
    <n v="184.9"/>
    <n v="5.94"/>
    <n v="5"/>
    <n v="50763.79"/>
    <n v="4"/>
    <n v="12690.9475"/>
    <n v="41452.75"/>
    <n v="75.346373268133661"/>
    <x v="1"/>
    <s v="Low"/>
    <s v="High"/>
  </r>
  <r>
    <n v="416"/>
    <x v="3"/>
    <n v="2017"/>
    <n v="62804"/>
    <x v="1"/>
    <x v="0"/>
    <x v="0"/>
    <n v="1064"/>
    <n v="217.2"/>
    <n v="22.93"/>
    <n v="4"/>
    <n v="35814.199999999997"/>
    <n v="7"/>
    <n v="5116.3142857142857"/>
    <n v="8972"/>
    <n v="204.13533834586465"/>
    <x v="1"/>
    <s v="Good"/>
    <s v="Very High"/>
  </r>
  <r>
    <n v="417"/>
    <x v="4"/>
    <n v="2009"/>
    <n v="113821"/>
    <x v="0"/>
    <x v="1"/>
    <x v="0"/>
    <n v="1753"/>
    <n v="88.7"/>
    <n v="18.45"/>
    <n v="5"/>
    <n v="88539.05"/>
    <n v="15"/>
    <n v="5902.6033333333335"/>
    <n v="7588.0666666666666"/>
    <n v="50.598973188819173"/>
    <x v="0"/>
    <s v="Average"/>
    <s v="Low"/>
  </r>
  <r>
    <n v="418"/>
    <x v="4"/>
    <n v="2017"/>
    <n v="8754"/>
    <x v="1"/>
    <x v="1"/>
    <x v="0"/>
    <n v="4533"/>
    <n v="209.8"/>
    <n v="17.72"/>
    <n v="2"/>
    <n v="31335.46"/>
    <n v="7"/>
    <n v="4476.494285714286"/>
    <n v="1250.5714285714287"/>
    <n v="46.282814912861241"/>
    <x v="1"/>
    <s v="Average"/>
    <s v="Very High"/>
  </r>
  <r>
    <n v="419"/>
    <x v="3"/>
    <n v="2021"/>
    <n v="32044"/>
    <x v="0"/>
    <x v="1"/>
    <x v="0"/>
    <n v="3574"/>
    <n v="581.29999999999995"/>
    <n v="11.08"/>
    <n v="6"/>
    <n v="23090.07"/>
    <n v="3"/>
    <n v="7696.69"/>
    <n v="10681.333333333334"/>
    <n v="162.64689423614996"/>
    <x v="3"/>
    <s v="Low"/>
    <s v="Very High"/>
  </r>
  <r>
    <n v="420"/>
    <x v="0"/>
    <n v="2022"/>
    <n v="72260"/>
    <x v="2"/>
    <x v="1"/>
    <x v="2"/>
    <n v="3924"/>
    <n v="569"/>
    <n v="23.62"/>
    <n v="4"/>
    <n v="64990.57"/>
    <n v="2"/>
    <n v="32495.285"/>
    <n v="36130"/>
    <n v="145.00509683995924"/>
    <x v="3"/>
    <s v="Good"/>
    <s v="Very High"/>
  </r>
  <r>
    <n v="421"/>
    <x v="1"/>
    <n v="2012"/>
    <n v="71912"/>
    <x v="1"/>
    <x v="0"/>
    <x v="2"/>
    <n v="1279"/>
    <n v="227.5"/>
    <n v="9.2100000000000009"/>
    <n v="7"/>
    <n v="36928.519999999997"/>
    <n v="12"/>
    <n v="3077.3766666666666"/>
    <n v="5992.666666666667"/>
    <n v="177.87333854573887"/>
    <x v="2"/>
    <s v="Low"/>
    <s v="Very High"/>
  </r>
  <r>
    <n v="422"/>
    <x v="8"/>
    <n v="2017"/>
    <n v="13706"/>
    <x v="0"/>
    <x v="0"/>
    <x v="1"/>
    <n v="4314"/>
    <n v="359.7"/>
    <n v="9.75"/>
    <n v="7"/>
    <n v="76581.899999999994"/>
    <n v="7"/>
    <n v="10940.271428571428"/>
    <n v="1958"/>
    <n v="83.379694019471486"/>
    <x v="1"/>
    <s v="Low"/>
    <s v="Very High"/>
  </r>
  <r>
    <n v="423"/>
    <x v="3"/>
    <n v="2023"/>
    <n v="13894"/>
    <x v="3"/>
    <x v="0"/>
    <x v="2"/>
    <n v="2153"/>
    <n v="549.4"/>
    <n v="16.52"/>
    <n v="2"/>
    <n v="16798.82"/>
    <n v="1"/>
    <n v="16798.82"/>
    <n v="13894"/>
    <n v="255.17882025081281"/>
    <x v="3"/>
    <s v="Average"/>
    <s v="Very High"/>
  </r>
  <r>
    <n v="424"/>
    <x v="0"/>
    <n v="2007"/>
    <n v="154109"/>
    <x v="2"/>
    <x v="0"/>
    <x v="2"/>
    <n v="4122"/>
    <n v="43.5"/>
    <n v="12.16"/>
    <n v="5"/>
    <n v="79628.11"/>
    <n v="17"/>
    <n v="4684.0064705882351"/>
    <n v="9065.2352941176468"/>
    <n v="10.553129548762737"/>
    <x v="0"/>
    <s v="Low"/>
    <s v="Low"/>
  </r>
  <r>
    <n v="425"/>
    <x v="4"/>
    <n v="2012"/>
    <n v="88986"/>
    <x v="3"/>
    <x v="0"/>
    <x v="1"/>
    <n v="4678"/>
    <n v="494"/>
    <n v="11.19"/>
    <n v="5"/>
    <n v="36145.69"/>
    <n v="12"/>
    <n v="3012.1408333333334"/>
    <n v="7415.5"/>
    <n v="105.60068405301411"/>
    <x v="2"/>
    <s v="Low"/>
    <s v="Very High"/>
  </r>
  <r>
    <n v="426"/>
    <x v="4"/>
    <n v="2006"/>
    <n v="86942"/>
    <x v="2"/>
    <x v="1"/>
    <x v="1"/>
    <n v="1689"/>
    <n v="571.1"/>
    <n v="21.13"/>
    <n v="2"/>
    <n v="3028.42"/>
    <n v="18"/>
    <n v="168.24555555555557"/>
    <n v="4830.1111111111113"/>
    <n v="338.12907045589105"/>
    <x v="0"/>
    <s v="Good"/>
    <s v="Very High"/>
  </r>
  <r>
    <n v="427"/>
    <x v="6"/>
    <n v="2012"/>
    <n v="187684"/>
    <x v="1"/>
    <x v="1"/>
    <x v="1"/>
    <n v="4654"/>
    <n v="91.1"/>
    <n v="21.27"/>
    <n v="7"/>
    <n v="17851.52"/>
    <n v="12"/>
    <n v="1487.6266666666668"/>
    <n v="15640.333333333334"/>
    <n v="19.574559518693597"/>
    <x v="2"/>
    <s v="Good"/>
    <s v="Low"/>
  </r>
  <r>
    <n v="428"/>
    <x v="3"/>
    <n v="2017"/>
    <n v="34725"/>
    <x v="1"/>
    <x v="0"/>
    <x v="2"/>
    <n v="1724"/>
    <n v="130.4"/>
    <n v="25.61"/>
    <n v="7"/>
    <n v="112233"/>
    <n v="7"/>
    <n v="16033.285714285714"/>
    <n v="4960.7142857142853"/>
    <n v="75.638051044083525"/>
    <x v="1"/>
    <s v="Excellent"/>
    <s v="Medium"/>
  </r>
  <r>
    <n v="429"/>
    <x v="1"/>
    <n v="2017"/>
    <n v="141998"/>
    <x v="2"/>
    <x v="0"/>
    <x v="2"/>
    <n v="2970"/>
    <n v="578"/>
    <n v="15.44"/>
    <n v="5"/>
    <n v="104480.49"/>
    <n v="7"/>
    <n v="14925.784285714286"/>
    <n v="20285.428571428572"/>
    <n v="194.6127946127946"/>
    <x v="1"/>
    <s v="Average"/>
    <s v="Very High"/>
  </r>
  <r>
    <n v="430"/>
    <x v="7"/>
    <n v="2005"/>
    <n v="109555"/>
    <x v="2"/>
    <x v="0"/>
    <x v="1"/>
    <n v="2702"/>
    <n v="341"/>
    <n v="6.83"/>
    <n v="4"/>
    <n v="30332.26"/>
    <n v="19"/>
    <n v="1596.4347368421052"/>
    <n v="5766.0526315789475"/>
    <n v="126.20281273131015"/>
    <x v="0"/>
    <s v="Low"/>
    <s v="Very High"/>
  </r>
  <r>
    <n v="431"/>
    <x v="1"/>
    <n v="2010"/>
    <n v="14496"/>
    <x v="2"/>
    <x v="1"/>
    <x v="1"/>
    <n v="3195"/>
    <n v="48"/>
    <n v="11.84"/>
    <n v="6"/>
    <n v="94069.51"/>
    <n v="14"/>
    <n v="6719.2507142857139"/>
    <n v="1035.4285714285713"/>
    <n v="15.023474178403756"/>
    <x v="0"/>
    <s v="Low"/>
    <s v="Low"/>
  </r>
  <r>
    <n v="432"/>
    <x v="4"/>
    <n v="2023"/>
    <n v="61447"/>
    <x v="1"/>
    <x v="0"/>
    <x v="1"/>
    <n v="828"/>
    <n v="184.3"/>
    <n v="29.5"/>
    <n v="4"/>
    <n v="74202.880000000005"/>
    <n v="1"/>
    <n v="74202.880000000005"/>
    <n v="61447"/>
    <n v="222.58454106280195"/>
    <x v="3"/>
    <s v="Excellent"/>
    <s v="High"/>
  </r>
  <r>
    <n v="433"/>
    <x v="4"/>
    <n v="2020"/>
    <n v="106604"/>
    <x v="0"/>
    <x v="0"/>
    <x v="2"/>
    <n v="834"/>
    <n v="292"/>
    <n v="19.91"/>
    <n v="7"/>
    <n v="116595.85"/>
    <n v="4"/>
    <n v="29148.962500000001"/>
    <n v="26651"/>
    <n v="350.11990407673864"/>
    <x v="1"/>
    <s v="Average"/>
    <s v="Very High"/>
  </r>
  <r>
    <n v="434"/>
    <x v="5"/>
    <n v="2012"/>
    <n v="165878"/>
    <x v="3"/>
    <x v="0"/>
    <x v="2"/>
    <n v="4389"/>
    <n v="428"/>
    <n v="22.74"/>
    <n v="4"/>
    <n v="46711.86"/>
    <n v="12"/>
    <n v="3892.6550000000002"/>
    <n v="13823.166666666666"/>
    <n v="97.516518569150136"/>
    <x v="2"/>
    <s v="Good"/>
    <s v="Very High"/>
  </r>
  <r>
    <n v="435"/>
    <x v="4"/>
    <n v="2005"/>
    <n v="93199"/>
    <x v="3"/>
    <x v="1"/>
    <x v="0"/>
    <n v="3470"/>
    <n v="450.6"/>
    <n v="5.18"/>
    <n v="6"/>
    <n v="82730.89"/>
    <n v="19"/>
    <n v="4354.2573684210529"/>
    <n v="4905.2105263157891"/>
    <n v="129.85590778097983"/>
    <x v="0"/>
    <s v="Low"/>
    <s v="Very High"/>
  </r>
  <r>
    <n v="436"/>
    <x v="8"/>
    <n v="2020"/>
    <n v="46321"/>
    <x v="1"/>
    <x v="0"/>
    <x v="2"/>
    <n v="4165"/>
    <n v="597.4"/>
    <n v="17.96"/>
    <n v="4"/>
    <n v="10433.68"/>
    <n v="4"/>
    <n v="2608.42"/>
    <n v="11580.25"/>
    <n v="143.43337334933972"/>
    <x v="1"/>
    <s v="Average"/>
    <s v="Very High"/>
  </r>
  <r>
    <n v="437"/>
    <x v="2"/>
    <n v="2013"/>
    <n v="158728"/>
    <x v="3"/>
    <x v="1"/>
    <x v="2"/>
    <n v="1388"/>
    <n v="201"/>
    <n v="5.94"/>
    <n v="4"/>
    <n v="49360.94"/>
    <n v="11"/>
    <n v="4487.3581818181819"/>
    <n v="14429.818181818182"/>
    <n v="144.81268011527379"/>
    <x v="2"/>
    <s v="Low"/>
    <s v="Very High"/>
  </r>
  <r>
    <n v="438"/>
    <x v="3"/>
    <n v="2017"/>
    <n v="60147"/>
    <x v="2"/>
    <x v="1"/>
    <x v="2"/>
    <n v="4018"/>
    <n v="341.4"/>
    <n v="19.23"/>
    <n v="4"/>
    <n v="115766.67"/>
    <n v="7"/>
    <n v="16538.095714285715"/>
    <n v="8592.4285714285706"/>
    <n v="84.967645594823296"/>
    <x v="1"/>
    <s v="Average"/>
    <s v="Very High"/>
  </r>
  <r>
    <n v="439"/>
    <x v="1"/>
    <n v="2015"/>
    <n v="96396"/>
    <x v="0"/>
    <x v="1"/>
    <x v="1"/>
    <n v="3938"/>
    <n v="338.7"/>
    <n v="28.02"/>
    <n v="4"/>
    <n v="66060.759999999995"/>
    <n v="9"/>
    <n v="7340.0844444444438"/>
    <n v="10710.666666666666"/>
    <n v="86.008125952260031"/>
    <x v="2"/>
    <s v="Excellent"/>
    <s v="Very High"/>
  </r>
  <r>
    <n v="440"/>
    <x v="2"/>
    <n v="2017"/>
    <n v="185738"/>
    <x v="3"/>
    <x v="1"/>
    <x v="2"/>
    <n v="1703"/>
    <n v="267.2"/>
    <n v="29.21"/>
    <n v="2"/>
    <n v="36681.9"/>
    <n v="7"/>
    <n v="5240.2714285714292"/>
    <n v="26534"/>
    <n v="156.89958896065764"/>
    <x v="1"/>
    <s v="Excellent"/>
    <s v="Very High"/>
  </r>
  <r>
    <n v="441"/>
    <x v="0"/>
    <n v="2014"/>
    <n v="43787"/>
    <x v="0"/>
    <x v="1"/>
    <x v="1"/>
    <n v="4886"/>
    <n v="134.69999999999999"/>
    <n v="18.510000000000002"/>
    <n v="7"/>
    <n v="17071.7"/>
    <n v="10"/>
    <n v="1707.17"/>
    <n v="4378.7"/>
    <n v="27.568563241915676"/>
    <x v="2"/>
    <s v="Average"/>
    <s v="Medium"/>
  </r>
  <r>
    <n v="442"/>
    <x v="7"/>
    <n v="2008"/>
    <n v="199018"/>
    <x v="2"/>
    <x v="1"/>
    <x v="0"/>
    <n v="2969"/>
    <n v="587.4"/>
    <n v="16.46"/>
    <n v="6"/>
    <n v="85312.82"/>
    <n v="16"/>
    <n v="5332.0512500000004"/>
    <n v="12438.625"/>
    <n v="197.84439205119568"/>
    <x v="0"/>
    <s v="Average"/>
    <s v="Very High"/>
  </r>
  <r>
    <n v="443"/>
    <x v="8"/>
    <n v="2010"/>
    <n v="26727"/>
    <x v="3"/>
    <x v="0"/>
    <x v="0"/>
    <n v="1139"/>
    <n v="517.9"/>
    <n v="28.63"/>
    <n v="7"/>
    <n v="78448.160000000003"/>
    <n v="14"/>
    <n v="5603.4400000000005"/>
    <n v="1909.0714285714287"/>
    <n v="454.69710272168567"/>
    <x v="0"/>
    <s v="Excellent"/>
    <s v="Very High"/>
  </r>
  <r>
    <n v="444"/>
    <x v="1"/>
    <n v="2011"/>
    <n v="100081"/>
    <x v="1"/>
    <x v="0"/>
    <x v="1"/>
    <n v="2514"/>
    <n v="319.10000000000002"/>
    <n v="21.84"/>
    <n v="2"/>
    <n v="46750.83"/>
    <n v="13"/>
    <n v="3596.2176923076922"/>
    <n v="7698.5384615384619"/>
    <n v="126.92919649960224"/>
    <x v="0"/>
    <s v="Good"/>
    <s v="Very High"/>
  </r>
  <r>
    <n v="445"/>
    <x v="2"/>
    <n v="2009"/>
    <n v="127721"/>
    <x v="0"/>
    <x v="0"/>
    <x v="1"/>
    <n v="1356"/>
    <n v="377.8"/>
    <n v="6.62"/>
    <n v="2"/>
    <n v="114260.14"/>
    <n v="15"/>
    <n v="7617.3426666666664"/>
    <n v="8514.7333333333336"/>
    <n v="278.61356932153393"/>
    <x v="0"/>
    <s v="Low"/>
    <s v="Very High"/>
  </r>
  <r>
    <n v="446"/>
    <x v="7"/>
    <n v="2015"/>
    <n v="73056"/>
    <x v="2"/>
    <x v="1"/>
    <x v="1"/>
    <n v="3887"/>
    <n v="167.3"/>
    <n v="16.64"/>
    <n v="2"/>
    <n v="5597.73"/>
    <n v="9"/>
    <n v="621.96999999999991"/>
    <n v="8117.333333333333"/>
    <n v="43.040905582711602"/>
    <x v="2"/>
    <s v="Average"/>
    <s v="High"/>
  </r>
  <r>
    <n v="447"/>
    <x v="5"/>
    <n v="2017"/>
    <n v="139153"/>
    <x v="0"/>
    <x v="0"/>
    <x v="2"/>
    <n v="4066"/>
    <n v="344.5"/>
    <n v="11.01"/>
    <n v="2"/>
    <n v="38535.69"/>
    <n v="7"/>
    <n v="5505.0985714285716"/>
    <n v="19879"/>
    <n v="84.727004426955247"/>
    <x v="1"/>
    <s v="Low"/>
    <s v="Very High"/>
  </r>
  <r>
    <n v="448"/>
    <x v="8"/>
    <n v="2023"/>
    <n v="170268"/>
    <x v="3"/>
    <x v="1"/>
    <x v="0"/>
    <n v="4367"/>
    <n v="429.2"/>
    <n v="16.75"/>
    <n v="4"/>
    <n v="110765.13"/>
    <n v="1"/>
    <n v="110765.13"/>
    <n v="170268"/>
    <n v="98.282573849324478"/>
    <x v="3"/>
    <s v="Average"/>
    <s v="Very High"/>
  </r>
  <r>
    <n v="449"/>
    <x v="8"/>
    <n v="2014"/>
    <n v="172807"/>
    <x v="3"/>
    <x v="1"/>
    <x v="1"/>
    <n v="2856"/>
    <n v="328.5"/>
    <n v="16.39"/>
    <n v="7"/>
    <n v="40549.449999999997"/>
    <n v="10"/>
    <n v="4054.9449999999997"/>
    <n v="17280.7"/>
    <n v="115.02100840336135"/>
    <x v="2"/>
    <s v="Average"/>
    <s v="Very High"/>
  </r>
  <r>
    <n v="450"/>
    <x v="5"/>
    <n v="2014"/>
    <n v="85102"/>
    <x v="1"/>
    <x v="1"/>
    <x v="2"/>
    <n v="4699"/>
    <n v="594.6"/>
    <n v="19.55"/>
    <n v="5"/>
    <n v="32513.58"/>
    <n v="10"/>
    <n v="3251.3580000000002"/>
    <n v="8510.2000000000007"/>
    <n v="126.53756118323048"/>
    <x v="2"/>
    <s v="Average"/>
    <s v="Very High"/>
  </r>
  <r>
    <n v="451"/>
    <x v="3"/>
    <n v="2015"/>
    <n v="161570"/>
    <x v="2"/>
    <x v="0"/>
    <x v="0"/>
    <n v="1816"/>
    <n v="382.4"/>
    <n v="13.92"/>
    <n v="6"/>
    <n v="65503.79"/>
    <n v="9"/>
    <n v="7278.1988888888891"/>
    <n v="17952.222222222223"/>
    <n v="210.57268722466958"/>
    <x v="2"/>
    <s v="Low"/>
    <s v="Very High"/>
  </r>
  <r>
    <n v="452"/>
    <x v="5"/>
    <n v="2011"/>
    <n v="81865"/>
    <x v="2"/>
    <x v="1"/>
    <x v="2"/>
    <n v="2862"/>
    <n v="247.7"/>
    <n v="9.11"/>
    <n v="2"/>
    <n v="99384.8"/>
    <n v="13"/>
    <n v="7644.9846153846156"/>
    <n v="6297.3076923076924"/>
    <n v="86.547868623340321"/>
    <x v="0"/>
    <s v="Low"/>
    <s v="Very High"/>
  </r>
  <r>
    <n v="453"/>
    <x v="8"/>
    <n v="2022"/>
    <n v="167728"/>
    <x v="1"/>
    <x v="1"/>
    <x v="0"/>
    <n v="1638"/>
    <n v="472.4"/>
    <n v="17.59"/>
    <n v="7"/>
    <n v="15068.17"/>
    <n v="2"/>
    <n v="7534.085"/>
    <n v="83864"/>
    <n v="288.40048840048843"/>
    <x v="3"/>
    <s v="Average"/>
    <s v="Very High"/>
  </r>
  <r>
    <n v="454"/>
    <x v="8"/>
    <n v="2008"/>
    <n v="72695"/>
    <x v="1"/>
    <x v="0"/>
    <x v="2"/>
    <n v="2437"/>
    <n v="135.5"/>
    <n v="25.76"/>
    <n v="2"/>
    <n v="113333.42"/>
    <n v="16"/>
    <n v="7083.3387499999999"/>
    <n v="4543.4375"/>
    <n v="55.601148953631515"/>
    <x v="0"/>
    <s v="Excellent"/>
    <s v="Medium"/>
  </r>
  <r>
    <n v="455"/>
    <x v="2"/>
    <n v="2006"/>
    <n v="173972"/>
    <x v="2"/>
    <x v="0"/>
    <x v="0"/>
    <n v="4296"/>
    <n v="255.3"/>
    <n v="21.6"/>
    <n v="2"/>
    <n v="96023.53"/>
    <n v="18"/>
    <n v="5334.6405555555557"/>
    <n v="9665.1111111111113"/>
    <n v="59.427374301675975"/>
    <x v="0"/>
    <s v="Good"/>
    <s v="Very High"/>
  </r>
  <r>
    <n v="456"/>
    <x v="4"/>
    <n v="2018"/>
    <n v="122235"/>
    <x v="0"/>
    <x v="1"/>
    <x v="0"/>
    <n v="2613"/>
    <n v="234.3"/>
    <n v="13.46"/>
    <n v="2"/>
    <n v="24206.28"/>
    <n v="6"/>
    <n v="4034.3799999999997"/>
    <n v="20372.5"/>
    <n v="89.66704936854191"/>
    <x v="1"/>
    <s v="Low"/>
    <s v="Very High"/>
  </r>
  <r>
    <n v="457"/>
    <x v="7"/>
    <n v="2017"/>
    <n v="183773"/>
    <x v="0"/>
    <x v="1"/>
    <x v="2"/>
    <n v="4279"/>
    <n v="281.8"/>
    <n v="28.39"/>
    <n v="2"/>
    <n v="86304.93"/>
    <n v="7"/>
    <n v="12329.275714285714"/>
    <n v="26253.285714285714"/>
    <n v="65.856508530030382"/>
    <x v="1"/>
    <s v="Excellent"/>
    <s v="Very High"/>
  </r>
  <r>
    <n v="458"/>
    <x v="5"/>
    <n v="2016"/>
    <n v="113777"/>
    <x v="1"/>
    <x v="0"/>
    <x v="1"/>
    <n v="2251"/>
    <n v="477.8"/>
    <n v="27.81"/>
    <n v="2"/>
    <n v="48040.17"/>
    <n v="8"/>
    <n v="6005.0212499999998"/>
    <n v="14222.125"/>
    <n v="212.26121723678366"/>
    <x v="2"/>
    <s v="Excellent"/>
    <s v="Very High"/>
  </r>
  <r>
    <n v="459"/>
    <x v="7"/>
    <n v="2011"/>
    <n v="24033"/>
    <x v="0"/>
    <x v="0"/>
    <x v="0"/>
    <n v="3113"/>
    <n v="311.10000000000002"/>
    <n v="10.23"/>
    <n v="6"/>
    <n v="50068.480000000003"/>
    <n v="13"/>
    <n v="3851.4215384615386"/>
    <n v="1848.6923076923076"/>
    <n v="99.935753292643753"/>
    <x v="0"/>
    <s v="Low"/>
    <s v="Very High"/>
  </r>
  <r>
    <n v="460"/>
    <x v="5"/>
    <n v="2006"/>
    <n v="146877"/>
    <x v="2"/>
    <x v="0"/>
    <x v="1"/>
    <n v="2314"/>
    <n v="484.6"/>
    <n v="5.99"/>
    <n v="7"/>
    <n v="94644.94"/>
    <n v="18"/>
    <n v="5258.0522222222226"/>
    <n v="8159.833333333333"/>
    <n v="209.42091616248919"/>
    <x v="0"/>
    <s v="Low"/>
    <s v="Very High"/>
  </r>
  <r>
    <n v="461"/>
    <x v="0"/>
    <n v="2017"/>
    <n v="171923"/>
    <x v="3"/>
    <x v="1"/>
    <x v="2"/>
    <n v="2031"/>
    <n v="362.8"/>
    <n v="23.53"/>
    <n v="2"/>
    <n v="115645.82"/>
    <n v="7"/>
    <n v="16520.83142857143"/>
    <n v="24560.428571428572"/>
    <n v="178.63121614967994"/>
    <x v="1"/>
    <s v="Good"/>
    <s v="Very High"/>
  </r>
  <r>
    <n v="462"/>
    <x v="8"/>
    <n v="2018"/>
    <n v="31832"/>
    <x v="3"/>
    <x v="0"/>
    <x v="1"/>
    <n v="2445"/>
    <n v="231.6"/>
    <n v="25.69"/>
    <n v="2"/>
    <n v="17818.740000000002"/>
    <n v="6"/>
    <n v="2969.7900000000004"/>
    <n v="5305.333333333333"/>
    <n v="94.723926380368098"/>
    <x v="1"/>
    <s v="Excellent"/>
    <s v="Very High"/>
  </r>
  <r>
    <n v="463"/>
    <x v="4"/>
    <n v="2021"/>
    <n v="199509"/>
    <x v="0"/>
    <x v="0"/>
    <x v="1"/>
    <n v="3799"/>
    <n v="493.6"/>
    <n v="29.2"/>
    <n v="2"/>
    <n v="52213.74"/>
    <n v="3"/>
    <n v="17404.579999999998"/>
    <n v="66503"/>
    <n v="129.92892866543829"/>
    <x v="3"/>
    <s v="Excellent"/>
    <s v="Very High"/>
  </r>
  <r>
    <n v="464"/>
    <x v="2"/>
    <n v="2013"/>
    <n v="120725"/>
    <x v="1"/>
    <x v="0"/>
    <x v="1"/>
    <n v="4240"/>
    <n v="173.4"/>
    <n v="27.25"/>
    <n v="2"/>
    <n v="59270.17"/>
    <n v="11"/>
    <n v="5388.1972727272723"/>
    <n v="10975"/>
    <n v="40.89622641509434"/>
    <x v="2"/>
    <s v="Excellent"/>
    <s v="High"/>
  </r>
  <r>
    <n v="465"/>
    <x v="4"/>
    <n v="2021"/>
    <n v="150016"/>
    <x v="1"/>
    <x v="1"/>
    <x v="1"/>
    <n v="4856"/>
    <n v="165.7"/>
    <n v="20.010000000000002"/>
    <n v="4"/>
    <n v="47028.480000000003"/>
    <n v="3"/>
    <n v="15676.160000000002"/>
    <n v="50005.333333333336"/>
    <n v="34.122734761120263"/>
    <x v="3"/>
    <s v="Good"/>
    <s v="High"/>
  </r>
  <r>
    <n v="466"/>
    <x v="4"/>
    <n v="2012"/>
    <n v="24873"/>
    <x v="1"/>
    <x v="0"/>
    <x v="1"/>
    <n v="1105"/>
    <n v="322.5"/>
    <n v="18.25"/>
    <n v="4"/>
    <n v="45493.13"/>
    <n v="12"/>
    <n v="3791.0941666666663"/>
    <n v="2072.75"/>
    <n v="291.8552036199095"/>
    <x v="2"/>
    <s v="Average"/>
    <s v="Very High"/>
  </r>
  <r>
    <n v="467"/>
    <x v="4"/>
    <n v="2006"/>
    <n v="45372"/>
    <x v="1"/>
    <x v="0"/>
    <x v="0"/>
    <n v="4336"/>
    <n v="186.1"/>
    <n v="5.7"/>
    <n v="5"/>
    <n v="9115.43"/>
    <n v="18"/>
    <n v="506.41277777777782"/>
    <n v="2520.6666666666665"/>
    <n v="42.919741697416967"/>
    <x v="0"/>
    <s v="Low"/>
    <s v="High"/>
  </r>
  <r>
    <n v="468"/>
    <x v="7"/>
    <n v="2017"/>
    <n v="94464"/>
    <x v="1"/>
    <x v="0"/>
    <x v="0"/>
    <n v="2523"/>
    <n v="45.1"/>
    <n v="11.17"/>
    <n v="2"/>
    <n v="83208.02"/>
    <n v="7"/>
    <n v="11886.86"/>
    <n v="13494.857142857143"/>
    <n v="17.875544986127625"/>
    <x v="1"/>
    <s v="Low"/>
    <s v="Low"/>
  </r>
  <r>
    <n v="469"/>
    <x v="5"/>
    <n v="2007"/>
    <n v="151451"/>
    <x v="0"/>
    <x v="0"/>
    <x v="0"/>
    <n v="2489"/>
    <n v="403"/>
    <n v="16.489999999999998"/>
    <n v="5"/>
    <n v="54037.09"/>
    <n v="17"/>
    <n v="3178.6523529411761"/>
    <n v="8908.8823529411766"/>
    <n v="161.91241462434712"/>
    <x v="0"/>
    <s v="Average"/>
    <s v="Very High"/>
  </r>
  <r>
    <n v="470"/>
    <x v="9"/>
    <n v="2020"/>
    <n v="122322"/>
    <x v="3"/>
    <x v="0"/>
    <x v="2"/>
    <n v="2317"/>
    <n v="326.2"/>
    <n v="20.71"/>
    <n v="6"/>
    <n v="25790.87"/>
    <n v="4"/>
    <n v="6447.7174999999997"/>
    <n v="30580.5"/>
    <n v="140.78549848942598"/>
    <x v="1"/>
    <s v="Good"/>
    <s v="Very High"/>
  </r>
  <r>
    <n v="471"/>
    <x v="0"/>
    <n v="2010"/>
    <n v="172823"/>
    <x v="3"/>
    <x v="1"/>
    <x v="1"/>
    <n v="4717"/>
    <n v="289.5"/>
    <n v="18.93"/>
    <n v="5"/>
    <n v="98475.92"/>
    <n v="14"/>
    <n v="7033.994285714286"/>
    <n v="12344.5"/>
    <n v="61.373754504981981"/>
    <x v="0"/>
    <s v="Average"/>
    <s v="Very High"/>
  </r>
  <r>
    <n v="472"/>
    <x v="1"/>
    <n v="2023"/>
    <n v="105082"/>
    <x v="0"/>
    <x v="1"/>
    <x v="0"/>
    <n v="1219"/>
    <n v="581.5"/>
    <n v="23.57"/>
    <n v="7"/>
    <n v="96899.61"/>
    <n v="1"/>
    <n v="96899.61"/>
    <n v="105082"/>
    <n v="477.0303527481542"/>
    <x v="3"/>
    <s v="Good"/>
    <s v="Very High"/>
  </r>
  <r>
    <n v="473"/>
    <x v="4"/>
    <n v="2011"/>
    <n v="10110"/>
    <x v="1"/>
    <x v="1"/>
    <x v="2"/>
    <n v="3736"/>
    <n v="359.9"/>
    <n v="11.99"/>
    <n v="4"/>
    <n v="59907.82"/>
    <n v="13"/>
    <n v="4608.2938461538461"/>
    <n v="777.69230769230774"/>
    <n v="96.332976445396127"/>
    <x v="0"/>
    <s v="Low"/>
    <s v="Very High"/>
  </r>
  <r>
    <n v="474"/>
    <x v="3"/>
    <n v="2014"/>
    <n v="190413"/>
    <x v="0"/>
    <x v="0"/>
    <x v="0"/>
    <n v="4662"/>
    <n v="523.5"/>
    <n v="19.12"/>
    <n v="4"/>
    <n v="37918.730000000003"/>
    <n v="10"/>
    <n v="3791.8730000000005"/>
    <n v="19041.3"/>
    <n v="112.29086229086229"/>
    <x v="2"/>
    <s v="Average"/>
    <s v="Very High"/>
  </r>
  <r>
    <n v="475"/>
    <x v="7"/>
    <n v="2013"/>
    <n v="17087"/>
    <x v="3"/>
    <x v="1"/>
    <x v="0"/>
    <n v="2250"/>
    <n v="118.1"/>
    <n v="7.2"/>
    <n v="2"/>
    <n v="77656.850000000006"/>
    <n v="11"/>
    <n v="7059.7136363636373"/>
    <n v="1553.3636363636363"/>
    <n v="52.488888888888887"/>
    <x v="2"/>
    <s v="Low"/>
    <s v="Medium"/>
  </r>
  <r>
    <n v="476"/>
    <x v="2"/>
    <n v="2006"/>
    <n v="159834"/>
    <x v="2"/>
    <x v="1"/>
    <x v="1"/>
    <n v="3896"/>
    <n v="358.8"/>
    <n v="15.34"/>
    <n v="2"/>
    <n v="36713.800000000003"/>
    <n v="18"/>
    <n v="2039.6555555555558"/>
    <n v="8879.6666666666661"/>
    <n v="92.094455852156059"/>
    <x v="0"/>
    <s v="Average"/>
    <s v="Very High"/>
  </r>
  <r>
    <n v="477"/>
    <x v="1"/>
    <n v="2019"/>
    <n v="87617"/>
    <x v="0"/>
    <x v="1"/>
    <x v="2"/>
    <n v="4061"/>
    <n v="526.1"/>
    <n v="23.75"/>
    <n v="6"/>
    <n v="30612.93"/>
    <n v="5"/>
    <n v="6122.5860000000002"/>
    <n v="17523.400000000001"/>
    <n v="129.54937207584339"/>
    <x v="1"/>
    <s v="Good"/>
    <s v="Very High"/>
  </r>
  <r>
    <n v="478"/>
    <x v="9"/>
    <n v="2009"/>
    <n v="105483"/>
    <x v="1"/>
    <x v="0"/>
    <x v="1"/>
    <n v="1964"/>
    <n v="366.5"/>
    <n v="22.34"/>
    <n v="6"/>
    <n v="88470.21"/>
    <n v="15"/>
    <n v="5898.0140000000001"/>
    <n v="7032.2"/>
    <n v="186.60896130346234"/>
    <x v="0"/>
    <s v="Good"/>
    <s v="Very High"/>
  </r>
  <r>
    <n v="479"/>
    <x v="3"/>
    <n v="2008"/>
    <n v="14596"/>
    <x v="3"/>
    <x v="0"/>
    <x v="1"/>
    <n v="2669"/>
    <n v="442.1"/>
    <n v="29.77"/>
    <n v="7"/>
    <n v="7718.05"/>
    <n v="16"/>
    <n v="482.37812500000001"/>
    <n v="912.25"/>
    <n v="165.64256275758711"/>
    <x v="0"/>
    <s v="Excellent"/>
    <s v="Very High"/>
  </r>
  <r>
    <n v="480"/>
    <x v="9"/>
    <n v="2024"/>
    <n v="112539"/>
    <x v="3"/>
    <x v="1"/>
    <x v="0"/>
    <n v="2619"/>
    <n v="248.3"/>
    <n v="11.95"/>
    <n v="2"/>
    <n v="14087.91"/>
    <n v="0"/>
    <n v="14087.91"/>
    <n v="112539"/>
    <n v="94.807178312332951"/>
    <x v="3"/>
    <s v="Low"/>
    <s v="Very High"/>
  </r>
  <r>
    <n v="481"/>
    <x v="1"/>
    <n v="2008"/>
    <n v="23313"/>
    <x v="3"/>
    <x v="1"/>
    <x v="1"/>
    <n v="3505"/>
    <n v="91.8"/>
    <n v="17.45"/>
    <n v="2"/>
    <n v="3794.22"/>
    <n v="16"/>
    <n v="237.13874999999999"/>
    <n v="1457.0625"/>
    <n v="26.191155492154067"/>
    <x v="0"/>
    <s v="Average"/>
    <s v="Low"/>
  </r>
  <r>
    <n v="482"/>
    <x v="4"/>
    <n v="2022"/>
    <n v="118175"/>
    <x v="3"/>
    <x v="0"/>
    <x v="2"/>
    <n v="4315"/>
    <n v="296.39999999999998"/>
    <n v="13.24"/>
    <n v="6"/>
    <n v="20894.349999999999"/>
    <n v="2"/>
    <n v="10447.174999999999"/>
    <n v="59087.5"/>
    <n v="68.690614136732322"/>
    <x v="3"/>
    <s v="Low"/>
    <s v="Very High"/>
  </r>
  <r>
    <n v="483"/>
    <x v="3"/>
    <n v="2008"/>
    <n v="119914"/>
    <x v="1"/>
    <x v="0"/>
    <x v="1"/>
    <n v="2142"/>
    <n v="260.89999999999998"/>
    <n v="16.02"/>
    <n v="6"/>
    <n v="11071.83"/>
    <n v="16"/>
    <n v="691.989375"/>
    <n v="7494.625"/>
    <n v="121.80205415499533"/>
    <x v="0"/>
    <s v="Average"/>
    <s v="Very High"/>
  </r>
  <r>
    <n v="484"/>
    <x v="9"/>
    <n v="2021"/>
    <n v="28705"/>
    <x v="2"/>
    <x v="1"/>
    <x v="1"/>
    <n v="3026"/>
    <n v="525.6"/>
    <n v="26.42"/>
    <n v="6"/>
    <n v="119508.88"/>
    <n v="3"/>
    <n v="39836.293333333335"/>
    <n v="9568.3333333333339"/>
    <n v="173.69464639788501"/>
    <x v="3"/>
    <s v="Excellent"/>
    <s v="Very High"/>
  </r>
  <r>
    <n v="485"/>
    <x v="2"/>
    <n v="2016"/>
    <n v="78445"/>
    <x v="3"/>
    <x v="0"/>
    <x v="1"/>
    <n v="1879"/>
    <n v="176.6"/>
    <n v="22.11"/>
    <n v="4"/>
    <n v="36790.769999999997"/>
    <n v="8"/>
    <n v="4598.8462499999996"/>
    <n v="9805.625"/>
    <n v="93.98616285258116"/>
    <x v="2"/>
    <s v="Good"/>
    <s v="High"/>
  </r>
  <r>
    <n v="486"/>
    <x v="5"/>
    <n v="2021"/>
    <n v="108892"/>
    <x v="0"/>
    <x v="1"/>
    <x v="0"/>
    <n v="3579"/>
    <n v="581.4"/>
    <n v="27.06"/>
    <n v="5"/>
    <n v="20464.36"/>
    <n v="3"/>
    <n v="6821.4533333333338"/>
    <n v="36297.333333333336"/>
    <n v="162.44761106454317"/>
    <x v="3"/>
    <s v="Excellent"/>
    <s v="Very High"/>
  </r>
  <r>
    <n v="487"/>
    <x v="8"/>
    <n v="2014"/>
    <n v="7023"/>
    <x v="2"/>
    <x v="0"/>
    <x v="2"/>
    <n v="3328"/>
    <n v="576.6"/>
    <n v="10.09"/>
    <n v="5"/>
    <n v="31196.560000000001"/>
    <n v="10"/>
    <n v="3119.6559999999999"/>
    <n v="702.3"/>
    <n v="173.25721153846155"/>
    <x v="2"/>
    <s v="Low"/>
    <s v="Very High"/>
  </r>
  <r>
    <n v="488"/>
    <x v="5"/>
    <n v="2005"/>
    <n v="124654"/>
    <x v="3"/>
    <x v="1"/>
    <x v="0"/>
    <n v="1613"/>
    <n v="178.7"/>
    <n v="26.83"/>
    <n v="2"/>
    <n v="112526.69"/>
    <n v="19"/>
    <n v="5922.4573684210527"/>
    <n v="6560.7368421052633"/>
    <n v="110.78735275883446"/>
    <x v="0"/>
    <s v="Excellent"/>
    <s v="High"/>
  </r>
  <r>
    <n v="489"/>
    <x v="1"/>
    <n v="2022"/>
    <n v="195868"/>
    <x v="2"/>
    <x v="1"/>
    <x v="0"/>
    <n v="2831"/>
    <n v="234.9"/>
    <n v="6.49"/>
    <n v="4"/>
    <n v="63858.75"/>
    <n v="2"/>
    <n v="31929.375"/>
    <n v="97934"/>
    <n v="82.974214058636534"/>
    <x v="3"/>
    <s v="Low"/>
    <s v="Very High"/>
  </r>
  <r>
    <n v="490"/>
    <x v="7"/>
    <n v="2022"/>
    <n v="85073"/>
    <x v="0"/>
    <x v="0"/>
    <x v="0"/>
    <n v="1122"/>
    <n v="541.5"/>
    <n v="27.21"/>
    <n v="6"/>
    <n v="45683.72"/>
    <n v="2"/>
    <n v="22841.86"/>
    <n v="42536.5"/>
    <n v="482.62032085561492"/>
    <x v="3"/>
    <s v="Excellent"/>
    <s v="Very High"/>
  </r>
  <r>
    <n v="491"/>
    <x v="8"/>
    <n v="2018"/>
    <n v="97197"/>
    <x v="3"/>
    <x v="1"/>
    <x v="0"/>
    <n v="3769"/>
    <n v="581.29999999999995"/>
    <n v="13.23"/>
    <n v="2"/>
    <n v="105186.8"/>
    <n v="6"/>
    <n v="17531.133333333335"/>
    <n v="16199.5"/>
    <n v="154.23189174847437"/>
    <x v="1"/>
    <s v="Low"/>
    <s v="Very High"/>
  </r>
  <r>
    <n v="492"/>
    <x v="0"/>
    <n v="2019"/>
    <n v="69429"/>
    <x v="0"/>
    <x v="1"/>
    <x v="0"/>
    <n v="1703"/>
    <n v="288.3"/>
    <n v="12.86"/>
    <n v="4"/>
    <n v="49213.86"/>
    <n v="5"/>
    <n v="9842.7720000000008"/>
    <n v="13885.8"/>
    <n v="169.28948913681739"/>
    <x v="1"/>
    <s v="Low"/>
    <s v="Very High"/>
  </r>
  <r>
    <n v="493"/>
    <x v="2"/>
    <n v="2016"/>
    <n v="109195"/>
    <x v="1"/>
    <x v="1"/>
    <x v="2"/>
    <n v="2341"/>
    <n v="219.8"/>
    <n v="17.8"/>
    <n v="7"/>
    <n v="42196"/>
    <n v="8"/>
    <n v="5274.5"/>
    <n v="13649.375"/>
    <n v="93.891499359248186"/>
    <x v="2"/>
    <s v="Average"/>
    <s v="Very High"/>
  </r>
  <r>
    <n v="494"/>
    <x v="0"/>
    <n v="2008"/>
    <n v="197699"/>
    <x v="3"/>
    <x v="0"/>
    <x v="1"/>
    <n v="4303"/>
    <n v="334.6"/>
    <n v="28.52"/>
    <n v="4"/>
    <n v="27252.06"/>
    <n v="16"/>
    <n v="1703.2537500000001"/>
    <n v="12356.1875"/>
    <n v="77.759702533116439"/>
    <x v="0"/>
    <s v="Excellent"/>
    <s v="Very High"/>
  </r>
  <r>
    <n v="495"/>
    <x v="3"/>
    <n v="2007"/>
    <n v="38848"/>
    <x v="3"/>
    <x v="0"/>
    <x v="0"/>
    <n v="3453"/>
    <n v="425.2"/>
    <n v="6.19"/>
    <n v="2"/>
    <n v="47202.23"/>
    <n v="17"/>
    <n v="2776.6017647058825"/>
    <n v="2285.1764705882351"/>
    <n v="123.1392991601506"/>
    <x v="0"/>
    <s v="Low"/>
    <s v="Very High"/>
  </r>
  <r>
    <n v="496"/>
    <x v="8"/>
    <n v="2024"/>
    <n v="173876"/>
    <x v="3"/>
    <x v="0"/>
    <x v="0"/>
    <n v="3276"/>
    <n v="193.1"/>
    <n v="13.81"/>
    <n v="5"/>
    <n v="40052.07"/>
    <n v="0"/>
    <n v="40052.07"/>
    <n v="173876"/>
    <n v="58.943833943833944"/>
    <x v="3"/>
    <s v="Low"/>
    <s v="High"/>
  </r>
  <r>
    <n v="497"/>
    <x v="0"/>
    <n v="2016"/>
    <n v="151451"/>
    <x v="3"/>
    <x v="1"/>
    <x v="2"/>
    <n v="4140"/>
    <n v="452.4"/>
    <n v="26.41"/>
    <n v="6"/>
    <n v="82244.56"/>
    <n v="8"/>
    <n v="10280.57"/>
    <n v="18931.375"/>
    <n v="109.27536231884058"/>
    <x v="2"/>
    <s v="Excellent"/>
    <s v="Very High"/>
  </r>
  <r>
    <n v="498"/>
    <x v="0"/>
    <n v="2011"/>
    <n v="195736"/>
    <x v="1"/>
    <x v="0"/>
    <x v="2"/>
    <n v="1941"/>
    <n v="68.900000000000006"/>
    <n v="14.9"/>
    <n v="7"/>
    <n v="36881.18"/>
    <n v="13"/>
    <n v="2837.0138461538463"/>
    <n v="15056.615384615385"/>
    <n v="35.497166409067496"/>
    <x v="0"/>
    <s v="Low"/>
    <s v="Low"/>
  </r>
  <r>
    <n v="499"/>
    <x v="9"/>
    <n v="2015"/>
    <n v="32766"/>
    <x v="3"/>
    <x v="1"/>
    <x v="1"/>
    <n v="1649"/>
    <n v="67.599999999999994"/>
    <n v="9.98"/>
    <n v="4"/>
    <n v="70532.37"/>
    <n v="9"/>
    <n v="7836.9299999999994"/>
    <n v="3640.6666666666665"/>
    <n v="40.994542146755606"/>
    <x v="2"/>
    <s v="Low"/>
    <s v="Low"/>
  </r>
  <r>
    <n v="500"/>
    <x v="5"/>
    <n v="2005"/>
    <n v="73099"/>
    <x v="2"/>
    <x v="1"/>
    <x v="2"/>
    <n v="1166"/>
    <n v="256.3"/>
    <n v="15.62"/>
    <n v="2"/>
    <n v="10709.38"/>
    <n v="19"/>
    <n v="563.65157894736842"/>
    <n v="3847.3157894736842"/>
    <n v="219.811320754717"/>
    <x v="0"/>
    <s v="Average"/>
    <s v="Very High"/>
  </r>
  <r>
    <n v="501"/>
    <x v="9"/>
    <n v="2010"/>
    <n v="172132"/>
    <x v="3"/>
    <x v="0"/>
    <x v="1"/>
    <n v="3697"/>
    <n v="237.9"/>
    <n v="14.64"/>
    <n v="2"/>
    <n v="25380.83"/>
    <n v="14"/>
    <n v="1812.9164285714287"/>
    <n v="12295.142857142857"/>
    <n v="64.349472545307009"/>
    <x v="0"/>
    <s v="Low"/>
    <s v="Very High"/>
  </r>
  <r>
    <n v="502"/>
    <x v="8"/>
    <n v="2019"/>
    <n v="74122"/>
    <x v="1"/>
    <x v="0"/>
    <x v="0"/>
    <n v="1889"/>
    <n v="216.8"/>
    <n v="27.89"/>
    <n v="6"/>
    <n v="50666.42"/>
    <n v="5"/>
    <n v="10133.284"/>
    <n v="14824.4"/>
    <n v="114.76971942826893"/>
    <x v="1"/>
    <s v="Excellent"/>
    <s v="Very High"/>
  </r>
  <r>
    <n v="503"/>
    <x v="8"/>
    <n v="2019"/>
    <n v="152159"/>
    <x v="3"/>
    <x v="1"/>
    <x v="0"/>
    <n v="4841"/>
    <n v="315"/>
    <n v="24.05"/>
    <n v="2"/>
    <n v="112623.06"/>
    <n v="5"/>
    <n v="22524.612000000001"/>
    <n v="30431.8"/>
    <n v="65.069200578392895"/>
    <x v="1"/>
    <s v="Good"/>
    <s v="Very High"/>
  </r>
  <r>
    <n v="504"/>
    <x v="1"/>
    <n v="2023"/>
    <n v="53868"/>
    <x v="2"/>
    <x v="1"/>
    <x v="1"/>
    <n v="2838"/>
    <n v="219.6"/>
    <n v="17.63"/>
    <n v="2"/>
    <n v="47138.48"/>
    <n v="1"/>
    <n v="47138.48"/>
    <n v="53868"/>
    <n v="77.378435517970402"/>
    <x v="3"/>
    <s v="Average"/>
    <s v="Very High"/>
  </r>
  <r>
    <n v="505"/>
    <x v="9"/>
    <n v="2015"/>
    <n v="124119"/>
    <x v="1"/>
    <x v="0"/>
    <x v="2"/>
    <n v="3660"/>
    <n v="147.69999999999999"/>
    <n v="29.71"/>
    <n v="6"/>
    <n v="80696.67"/>
    <n v="9"/>
    <n v="8966.2966666666671"/>
    <n v="13791"/>
    <n v="40.355191256830594"/>
    <x v="2"/>
    <s v="Excellent"/>
    <s v="Medium"/>
  </r>
  <r>
    <n v="506"/>
    <x v="6"/>
    <n v="2006"/>
    <n v="159297"/>
    <x v="1"/>
    <x v="0"/>
    <x v="1"/>
    <n v="2654"/>
    <n v="213.3"/>
    <n v="16.63"/>
    <n v="7"/>
    <n v="32845.21"/>
    <n v="18"/>
    <n v="1824.7338888888889"/>
    <n v="8849.8333333333339"/>
    <n v="80.369253956292397"/>
    <x v="0"/>
    <s v="Average"/>
    <s v="Very High"/>
  </r>
  <r>
    <n v="507"/>
    <x v="5"/>
    <n v="2018"/>
    <n v="100286"/>
    <x v="2"/>
    <x v="0"/>
    <x v="2"/>
    <n v="1294"/>
    <n v="585.9"/>
    <n v="6.46"/>
    <n v="5"/>
    <n v="17862.93"/>
    <n v="6"/>
    <n v="2977.1550000000002"/>
    <n v="16714.333333333332"/>
    <n v="452.78207109737247"/>
    <x v="1"/>
    <s v="Low"/>
    <s v="Very High"/>
  </r>
  <r>
    <n v="508"/>
    <x v="8"/>
    <n v="2006"/>
    <n v="11643"/>
    <x v="2"/>
    <x v="1"/>
    <x v="0"/>
    <n v="3982"/>
    <n v="270.2"/>
    <n v="11.56"/>
    <n v="5"/>
    <n v="9848.7800000000007"/>
    <n v="18"/>
    <n v="547.15444444444449"/>
    <n v="646.83333333333337"/>
    <n v="67.855349070818676"/>
    <x v="0"/>
    <s v="Low"/>
    <s v="Very High"/>
  </r>
  <r>
    <n v="509"/>
    <x v="1"/>
    <n v="2008"/>
    <n v="41727"/>
    <x v="2"/>
    <x v="1"/>
    <x v="2"/>
    <n v="2584"/>
    <n v="289"/>
    <n v="15.9"/>
    <n v="4"/>
    <n v="38733.379999999997"/>
    <n v="16"/>
    <n v="2420.8362499999998"/>
    <n v="2607.9375"/>
    <n v="111.84210526315789"/>
    <x v="0"/>
    <s v="Average"/>
    <s v="Very High"/>
  </r>
  <r>
    <n v="510"/>
    <x v="9"/>
    <n v="2021"/>
    <n v="147077"/>
    <x v="2"/>
    <x v="1"/>
    <x v="1"/>
    <n v="4310"/>
    <n v="362.9"/>
    <n v="8.92"/>
    <n v="7"/>
    <n v="21446.34"/>
    <n v="3"/>
    <n v="7148.78"/>
    <n v="49025.666666666664"/>
    <n v="84.199535962877036"/>
    <x v="3"/>
    <s v="Low"/>
    <s v="Very High"/>
  </r>
  <r>
    <n v="511"/>
    <x v="5"/>
    <n v="2007"/>
    <n v="114079"/>
    <x v="2"/>
    <x v="1"/>
    <x v="1"/>
    <n v="4586"/>
    <n v="590.70000000000005"/>
    <n v="28.69"/>
    <n v="4"/>
    <n v="23359.22"/>
    <n v="17"/>
    <n v="1374.0717647058825"/>
    <n v="6710.5294117647063"/>
    <n v="128.80505887483645"/>
    <x v="0"/>
    <s v="Excellent"/>
    <s v="Very High"/>
  </r>
  <r>
    <n v="512"/>
    <x v="9"/>
    <n v="2017"/>
    <n v="70697"/>
    <x v="1"/>
    <x v="1"/>
    <x v="0"/>
    <n v="4930"/>
    <n v="175.3"/>
    <n v="24.17"/>
    <n v="5"/>
    <n v="92008.84"/>
    <n v="7"/>
    <n v="13144.119999999999"/>
    <n v="10099.571428571429"/>
    <n v="35.557809330628807"/>
    <x v="1"/>
    <s v="Good"/>
    <s v="High"/>
  </r>
  <r>
    <n v="513"/>
    <x v="0"/>
    <n v="2013"/>
    <n v="21029"/>
    <x v="1"/>
    <x v="0"/>
    <x v="2"/>
    <n v="1798"/>
    <n v="421.5"/>
    <n v="11.71"/>
    <n v="6"/>
    <n v="4853.05"/>
    <n v="11"/>
    <n v="441.18636363636364"/>
    <n v="1911.7272727272727"/>
    <n v="234.42714126807564"/>
    <x v="2"/>
    <s v="Low"/>
    <s v="Very High"/>
  </r>
  <r>
    <n v="514"/>
    <x v="1"/>
    <n v="2011"/>
    <n v="150298"/>
    <x v="3"/>
    <x v="0"/>
    <x v="2"/>
    <n v="2251"/>
    <n v="441"/>
    <n v="19.77"/>
    <n v="2"/>
    <n v="68263.78"/>
    <n v="13"/>
    <n v="5251.0599999999995"/>
    <n v="11561.384615384615"/>
    <n v="195.91292758773878"/>
    <x v="0"/>
    <s v="Average"/>
    <s v="Very High"/>
  </r>
  <r>
    <n v="515"/>
    <x v="5"/>
    <n v="2019"/>
    <n v="199718"/>
    <x v="3"/>
    <x v="1"/>
    <x v="2"/>
    <n v="2551"/>
    <n v="380.1"/>
    <n v="23.04"/>
    <n v="5"/>
    <n v="47396.98"/>
    <n v="5"/>
    <n v="9479.3960000000006"/>
    <n v="39943.599999999999"/>
    <n v="149.00039200313603"/>
    <x v="1"/>
    <s v="Good"/>
    <s v="Very High"/>
  </r>
  <r>
    <n v="516"/>
    <x v="4"/>
    <n v="2015"/>
    <n v="196675"/>
    <x v="0"/>
    <x v="1"/>
    <x v="0"/>
    <n v="3080"/>
    <n v="89.6"/>
    <n v="28.53"/>
    <n v="7"/>
    <n v="62266.35"/>
    <n v="9"/>
    <n v="6918.4833333333336"/>
    <n v="21852.777777777777"/>
    <n v="29.09090909090909"/>
    <x v="2"/>
    <s v="Excellent"/>
    <s v="Low"/>
  </r>
  <r>
    <n v="517"/>
    <x v="3"/>
    <n v="2024"/>
    <n v="164803"/>
    <x v="3"/>
    <x v="0"/>
    <x v="2"/>
    <n v="3734"/>
    <n v="419"/>
    <n v="27.04"/>
    <n v="5"/>
    <n v="68851.14"/>
    <n v="0"/>
    <n v="68851.14"/>
    <n v="164803"/>
    <n v="112.21210498125335"/>
    <x v="3"/>
    <s v="Excellent"/>
    <s v="Very High"/>
  </r>
  <r>
    <n v="518"/>
    <x v="3"/>
    <n v="2006"/>
    <n v="114458"/>
    <x v="3"/>
    <x v="0"/>
    <x v="1"/>
    <n v="4534"/>
    <n v="75.900000000000006"/>
    <n v="17.88"/>
    <n v="7"/>
    <n v="39664.019999999997"/>
    <n v="18"/>
    <n v="2203.5566666666664"/>
    <n v="6358.7777777777774"/>
    <n v="16.740185266872519"/>
    <x v="0"/>
    <s v="Average"/>
    <s v="Low"/>
  </r>
  <r>
    <n v="519"/>
    <x v="5"/>
    <n v="2019"/>
    <n v="115384"/>
    <x v="2"/>
    <x v="0"/>
    <x v="2"/>
    <n v="4146"/>
    <n v="373.8"/>
    <n v="24.37"/>
    <n v="7"/>
    <n v="37527.74"/>
    <n v="5"/>
    <n v="7505.5479999999998"/>
    <n v="23076.799999999999"/>
    <n v="90.159189580318383"/>
    <x v="1"/>
    <s v="Good"/>
    <s v="Very High"/>
  </r>
  <r>
    <n v="520"/>
    <x v="9"/>
    <n v="2018"/>
    <n v="73926"/>
    <x v="2"/>
    <x v="0"/>
    <x v="0"/>
    <n v="2673"/>
    <n v="454.2"/>
    <n v="19.05"/>
    <n v="7"/>
    <n v="88808.02"/>
    <n v="6"/>
    <n v="14801.336666666668"/>
    <n v="12321"/>
    <n v="169.92143658810323"/>
    <x v="1"/>
    <s v="Average"/>
    <s v="Very High"/>
  </r>
  <r>
    <n v="521"/>
    <x v="1"/>
    <n v="2024"/>
    <n v="142069"/>
    <x v="3"/>
    <x v="1"/>
    <x v="2"/>
    <n v="4603"/>
    <n v="158.1"/>
    <n v="18.82"/>
    <n v="4"/>
    <n v="104939.41"/>
    <n v="0"/>
    <n v="104939.41"/>
    <n v="142069"/>
    <n v="34.347164892461436"/>
    <x v="3"/>
    <s v="Average"/>
    <s v="High"/>
  </r>
  <r>
    <n v="522"/>
    <x v="3"/>
    <n v="2015"/>
    <n v="60506"/>
    <x v="0"/>
    <x v="0"/>
    <x v="2"/>
    <n v="2779"/>
    <n v="511.3"/>
    <n v="7.87"/>
    <n v="6"/>
    <n v="25532.05"/>
    <n v="9"/>
    <n v="2836.8944444444442"/>
    <n v="6722.8888888888887"/>
    <n v="183.98704569989206"/>
    <x v="2"/>
    <s v="Low"/>
    <s v="Very High"/>
  </r>
  <r>
    <n v="523"/>
    <x v="1"/>
    <n v="2007"/>
    <n v="83229"/>
    <x v="2"/>
    <x v="1"/>
    <x v="1"/>
    <n v="1498"/>
    <n v="57"/>
    <n v="8.15"/>
    <n v="5"/>
    <n v="14421.39"/>
    <n v="17"/>
    <n v="848.31705882352935"/>
    <n v="4895.8235294117649"/>
    <n v="38.050734312416559"/>
    <x v="0"/>
    <s v="Low"/>
    <s v="Low"/>
  </r>
  <r>
    <n v="524"/>
    <x v="3"/>
    <n v="2021"/>
    <n v="185887"/>
    <x v="3"/>
    <x v="0"/>
    <x v="2"/>
    <n v="2112"/>
    <n v="512.5"/>
    <n v="18.239999999999998"/>
    <n v="6"/>
    <n v="108042.11"/>
    <n v="3"/>
    <n v="36014.036666666667"/>
    <n v="61962.333333333336"/>
    <n v="242.66098484848484"/>
    <x v="3"/>
    <s v="Average"/>
    <s v="Very High"/>
  </r>
  <r>
    <n v="525"/>
    <x v="0"/>
    <n v="2016"/>
    <n v="47092"/>
    <x v="3"/>
    <x v="0"/>
    <x v="1"/>
    <n v="3762"/>
    <n v="297.8"/>
    <n v="11.72"/>
    <n v="2"/>
    <n v="43937.77"/>
    <n v="8"/>
    <n v="5492.2212499999996"/>
    <n v="5886.5"/>
    <n v="79.160021265284428"/>
    <x v="2"/>
    <s v="Low"/>
    <s v="Very High"/>
  </r>
  <r>
    <n v="526"/>
    <x v="9"/>
    <n v="2019"/>
    <n v="67539"/>
    <x v="1"/>
    <x v="0"/>
    <x v="1"/>
    <n v="3738"/>
    <n v="161.80000000000001"/>
    <n v="5.53"/>
    <n v="5"/>
    <n v="67504.13"/>
    <n v="5"/>
    <n v="13500.826000000001"/>
    <n v="13507.8"/>
    <n v="43.285179240235422"/>
    <x v="1"/>
    <s v="Low"/>
    <s v="High"/>
  </r>
  <r>
    <n v="527"/>
    <x v="0"/>
    <n v="2020"/>
    <n v="157889"/>
    <x v="0"/>
    <x v="1"/>
    <x v="0"/>
    <n v="3100"/>
    <n v="114.9"/>
    <n v="23.07"/>
    <n v="6"/>
    <n v="45066.55"/>
    <n v="4"/>
    <n v="11266.637500000001"/>
    <n v="39472.25"/>
    <n v="37.064516129032256"/>
    <x v="1"/>
    <s v="Good"/>
    <s v="Medium"/>
  </r>
  <r>
    <n v="528"/>
    <x v="3"/>
    <n v="2009"/>
    <n v="173933"/>
    <x v="1"/>
    <x v="1"/>
    <x v="1"/>
    <n v="3997"/>
    <n v="573.9"/>
    <n v="5.81"/>
    <n v="6"/>
    <n v="17718.87"/>
    <n v="15"/>
    <n v="1181.258"/>
    <n v="11595.533333333333"/>
    <n v="143.58268701526146"/>
    <x v="0"/>
    <s v="Low"/>
    <s v="Very High"/>
  </r>
  <r>
    <n v="529"/>
    <x v="4"/>
    <n v="2024"/>
    <n v="18428"/>
    <x v="0"/>
    <x v="0"/>
    <x v="1"/>
    <n v="926"/>
    <n v="80.7"/>
    <n v="19.88"/>
    <n v="2"/>
    <n v="71951.8"/>
    <n v="0"/>
    <n v="71951.8"/>
    <n v="18428"/>
    <n v="87.149028077753783"/>
    <x v="3"/>
    <s v="Average"/>
    <s v="Low"/>
  </r>
  <r>
    <n v="530"/>
    <x v="4"/>
    <n v="2010"/>
    <n v="180006"/>
    <x v="2"/>
    <x v="1"/>
    <x v="0"/>
    <n v="1991"/>
    <n v="151.5"/>
    <n v="18.48"/>
    <n v="7"/>
    <n v="64441.48"/>
    <n v="14"/>
    <n v="4602.9628571428575"/>
    <n v="12857.571428571429"/>
    <n v="76.092415871421395"/>
    <x v="0"/>
    <s v="Average"/>
    <s v="High"/>
  </r>
  <r>
    <n v="531"/>
    <x v="0"/>
    <n v="2023"/>
    <n v="146330"/>
    <x v="0"/>
    <x v="1"/>
    <x v="1"/>
    <n v="3439"/>
    <n v="234.8"/>
    <n v="29.22"/>
    <n v="5"/>
    <n v="26750.25"/>
    <n v="1"/>
    <n v="26750.25"/>
    <n v="146330"/>
    <n v="68.275661529514394"/>
    <x v="3"/>
    <s v="Excellent"/>
    <s v="Very High"/>
  </r>
  <r>
    <n v="532"/>
    <x v="4"/>
    <n v="2009"/>
    <n v="62775"/>
    <x v="3"/>
    <x v="0"/>
    <x v="0"/>
    <n v="4716"/>
    <n v="387.3"/>
    <n v="17.11"/>
    <n v="5"/>
    <n v="55868.68"/>
    <n v="15"/>
    <n v="3724.5786666666668"/>
    <n v="4185"/>
    <n v="82.12468193384224"/>
    <x v="0"/>
    <s v="Average"/>
    <s v="Very High"/>
  </r>
  <r>
    <n v="533"/>
    <x v="3"/>
    <n v="2007"/>
    <n v="10469"/>
    <x v="3"/>
    <x v="0"/>
    <x v="2"/>
    <n v="2166"/>
    <n v="345.1"/>
    <n v="6.59"/>
    <n v="2"/>
    <n v="96242.86"/>
    <n v="17"/>
    <n v="5661.3447058823531"/>
    <n v="615.82352941176475"/>
    <n v="159.32594644506003"/>
    <x v="0"/>
    <s v="Low"/>
    <s v="Very High"/>
  </r>
  <r>
    <n v="534"/>
    <x v="5"/>
    <n v="2005"/>
    <n v="33854"/>
    <x v="0"/>
    <x v="1"/>
    <x v="0"/>
    <n v="1819"/>
    <n v="110.4"/>
    <n v="18.79"/>
    <n v="7"/>
    <n v="72079.850000000006"/>
    <n v="19"/>
    <n v="3793.6763157894738"/>
    <n v="1781.7894736842106"/>
    <n v="60.692688290269381"/>
    <x v="0"/>
    <s v="Average"/>
    <s v="Medium"/>
  </r>
  <r>
    <n v="535"/>
    <x v="0"/>
    <n v="2010"/>
    <n v="142328"/>
    <x v="0"/>
    <x v="1"/>
    <x v="1"/>
    <n v="4879"/>
    <n v="202.2"/>
    <n v="26.03"/>
    <n v="5"/>
    <n v="14339.33"/>
    <n v="14"/>
    <n v="1024.2378571428571"/>
    <n v="10166.285714285714"/>
    <n v="41.442918630866984"/>
    <x v="0"/>
    <s v="Excellent"/>
    <s v="Very High"/>
  </r>
  <r>
    <n v="536"/>
    <x v="7"/>
    <n v="2019"/>
    <n v="81256"/>
    <x v="0"/>
    <x v="1"/>
    <x v="0"/>
    <n v="1484"/>
    <n v="173.7"/>
    <n v="29.92"/>
    <n v="5"/>
    <n v="67118.52"/>
    <n v="5"/>
    <n v="13423.704000000002"/>
    <n v="16251.2"/>
    <n v="117.04851752021563"/>
    <x v="1"/>
    <s v="Excellent"/>
    <s v="High"/>
  </r>
  <r>
    <n v="537"/>
    <x v="9"/>
    <n v="2006"/>
    <n v="170009"/>
    <x v="1"/>
    <x v="0"/>
    <x v="1"/>
    <n v="4429"/>
    <n v="159.6"/>
    <n v="15.76"/>
    <n v="5"/>
    <n v="85220.38"/>
    <n v="18"/>
    <n v="4734.4655555555555"/>
    <n v="9444.9444444444453"/>
    <n v="36.035222397832463"/>
    <x v="0"/>
    <s v="Average"/>
    <s v="High"/>
  </r>
  <r>
    <n v="538"/>
    <x v="4"/>
    <n v="2007"/>
    <n v="104134"/>
    <x v="0"/>
    <x v="0"/>
    <x v="2"/>
    <n v="3687"/>
    <n v="270.2"/>
    <n v="13.01"/>
    <n v="7"/>
    <n v="95746.3"/>
    <n v="17"/>
    <n v="5632.1352941176474"/>
    <n v="6125.5294117647063"/>
    <n v="73.284513154326007"/>
    <x v="0"/>
    <s v="Low"/>
    <s v="Very High"/>
  </r>
  <r>
    <n v="539"/>
    <x v="4"/>
    <n v="2021"/>
    <n v="137723"/>
    <x v="2"/>
    <x v="1"/>
    <x v="0"/>
    <n v="2262"/>
    <n v="434.3"/>
    <n v="27.67"/>
    <n v="2"/>
    <n v="76606.759999999995"/>
    <n v="3"/>
    <n v="25535.586666666666"/>
    <n v="45907.666666666664"/>
    <n v="191.99823165340408"/>
    <x v="3"/>
    <s v="Excellent"/>
    <s v="Very High"/>
  </r>
  <r>
    <n v="540"/>
    <x v="8"/>
    <n v="2016"/>
    <n v="186360"/>
    <x v="1"/>
    <x v="0"/>
    <x v="2"/>
    <n v="4886"/>
    <n v="161.80000000000001"/>
    <n v="9.7799999999999994"/>
    <n v="5"/>
    <n v="20861.009999999998"/>
    <n v="8"/>
    <n v="2607.6262499999998"/>
    <n v="23295"/>
    <n v="33.115022513303316"/>
    <x v="2"/>
    <s v="Low"/>
    <s v="High"/>
  </r>
  <r>
    <n v="541"/>
    <x v="6"/>
    <n v="2022"/>
    <n v="89730"/>
    <x v="1"/>
    <x v="0"/>
    <x v="1"/>
    <n v="3061"/>
    <n v="245.3"/>
    <n v="20.39"/>
    <n v="6"/>
    <n v="86090.27"/>
    <n v="2"/>
    <n v="43045.135000000002"/>
    <n v="44865"/>
    <n v="80.137210062071219"/>
    <x v="3"/>
    <s v="Good"/>
    <s v="Very High"/>
  </r>
  <r>
    <n v="542"/>
    <x v="0"/>
    <n v="2019"/>
    <n v="161123"/>
    <x v="0"/>
    <x v="1"/>
    <x v="1"/>
    <n v="4980"/>
    <n v="258.89999999999998"/>
    <n v="15.14"/>
    <n v="7"/>
    <n v="82249"/>
    <n v="5"/>
    <n v="16449.8"/>
    <n v="32224.6"/>
    <n v="51.98795180722891"/>
    <x v="1"/>
    <s v="Average"/>
    <s v="Very High"/>
  </r>
  <r>
    <n v="543"/>
    <x v="2"/>
    <n v="2016"/>
    <n v="32386"/>
    <x v="2"/>
    <x v="1"/>
    <x v="2"/>
    <n v="3641"/>
    <n v="586.79999999999995"/>
    <n v="6.03"/>
    <n v="4"/>
    <n v="5857.95"/>
    <n v="8"/>
    <n v="732.24374999999998"/>
    <n v="4048.25"/>
    <n v="161.16451524306507"/>
    <x v="2"/>
    <s v="Low"/>
    <s v="Very High"/>
  </r>
  <r>
    <n v="544"/>
    <x v="4"/>
    <n v="2020"/>
    <n v="152256"/>
    <x v="1"/>
    <x v="0"/>
    <x v="0"/>
    <n v="2567"/>
    <n v="574.6"/>
    <n v="13.68"/>
    <n v="2"/>
    <n v="51174.48"/>
    <n v="4"/>
    <n v="12793.62"/>
    <n v="38064"/>
    <n v="223.84105960264901"/>
    <x v="1"/>
    <s v="Low"/>
    <s v="Very High"/>
  </r>
  <r>
    <n v="545"/>
    <x v="9"/>
    <n v="2012"/>
    <n v="38787"/>
    <x v="3"/>
    <x v="0"/>
    <x v="0"/>
    <n v="4980"/>
    <n v="488.1"/>
    <n v="11.63"/>
    <n v="6"/>
    <n v="41955.18"/>
    <n v="12"/>
    <n v="3496.2649999999999"/>
    <n v="3232.25"/>
    <n v="98.012048192771076"/>
    <x v="2"/>
    <s v="Low"/>
    <s v="Very High"/>
  </r>
  <r>
    <n v="546"/>
    <x v="7"/>
    <n v="2018"/>
    <n v="26621"/>
    <x v="1"/>
    <x v="1"/>
    <x v="1"/>
    <n v="4360"/>
    <n v="175.3"/>
    <n v="22.15"/>
    <n v="5"/>
    <n v="81321.210000000006"/>
    <n v="6"/>
    <n v="13553.535000000002"/>
    <n v="4436.833333333333"/>
    <n v="40.206422018348626"/>
    <x v="1"/>
    <s v="Good"/>
    <s v="High"/>
  </r>
  <r>
    <n v="547"/>
    <x v="4"/>
    <n v="2021"/>
    <n v="82984"/>
    <x v="0"/>
    <x v="0"/>
    <x v="2"/>
    <n v="2912"/>
    <n v="78.099999999999994"/>
    <n v="28.72"/>
    <n v="4"/>
    <n v="28287.89"/>
    <n v="3"/>
    <n v="9429.2966666666671"/>
    <n v="27661.333333333332"/>
    <n v="26.820054945054945"/>
    <x v="3"/>
    <s v="Excellent"/>
    <s v="Low"/>
  </r>
  <r>
    <n v="548"/>
    <x v="7"/>
    <n v="2012"/>
    <n v="195864"/>
    <x v="2"/>
    <x v="0"/>
    <x v="2"/>
    <n v="1426"/>
    <n v="217.5"/>
    <n v="11.7"/>
    <n v="2"/>
    <n v="72132.009999999995"/>
    <n v="12"/>
    <n v="6011.0008333333326"/>
    <n v="16322"/>
    <n v="152.52454417952316"/>
    <x v="2"/>
    <s v="Low"/>
    <s v="Very High"/>
  </r>
  <r>
    <n v="549"/>
    <x v="3"/>
    <n v="2019"/>
    <n v="181325"/>
    <x v="0"/>
    <x v="1"/>
    <x v="0"/>
    <n v="4959"/>
    <n v="189.4"/>
    <n v="25.29"/>
    <n v="7"/>
    <n v="109845.1"/>
    <n v="5"/>
    <n v="21969.02"/>
    <n v="36265"/>
    <n v="38.193184109699537"/>
    <x v="1"/>
    <s v="Excellent"/>
    <s v="High"/>
  </r>
  <r>
    <n v="550"/>
    <x v="3"/>
    <n v="2018"/>
    <n v="39051"/>
    <x v="3"/>
    <x v="1"/>
    <x v="0"/>
    <n v="4214"/>
    <n v="323.3"/>
    <n v="6.38"/>
    <n v="4"/>
    <n v="96342.88"/>
    <n v="6"/>
    <n v="16057.146666666667"/>
    <n v="6508.5"/>
    <n v="76.720455624110102"/>
    <x v="1"/>
    <s v="Low"/>
    <s v="Very High"/>
  </r>
  <r>
    <n v="551"/>
    <x v="6"/>
    <n v="2022"/>
    <n v="54811"/>
    <x v="3"/>
    <x v="0"/>
    <x v="0"/>
    <n v="2175"/>
    <n v="475.5"/>
    <n v="18.45"/>
    <n v="4"/>
    <n v="110810.56"/>
    <n v="2"/>
    <n v="55405.279999999999"/>
    <n v="27405.5"/>
    <n v="218.62068965517244"/>
    <x v="3"/>
    <s v="Average"/>
    <s v="Very High"/>
  </r>
  <r>
    <n v="552"/>
    <x v="5"/>
    <n v="2024"/>
    <n v="35447"/>
    <x v="3"/>
    <x v="0"/>
    <x v="2"/>
    <n v="1981"/>
    <n v="520.70000000000005"/>
    <n v="6.76"/>
    <n v="6"/>
    <n v="117485.2"/>
    <n v="0"/>
    <n v="117485.2"/>
    <n v="35447"/>
    <n v="262.8470469459869"/>
    <x v="3"/>
    <s v="Low"/>
    <s v="Very High"/>
  </r>
  <r>
    <n v="553"/>
    <x v="2"/>
    <n v="2011"/>
    <n v="133046"/>
    <x v="0"/>
    <x v="0"/>
    <x v="0"/>
    <n v="1290"/>
    <n v="513.1"/>
    <n v="28.35"/>
    <n v="2"/>
    <n v="4248.3999999999996"/>
    <n v="13"/>
    <n v="326.79999999999995"/>
    <n v="10234.307692307691"/>
    <n v="397.75193798449612"/>
    <x v="0"/>
    <s v="Excellent"/>
    <s v="Very High"/>
  </r>
  <r>
    <n v="554"/>
    <x v="8"/>
    <n v="2007"/>
    <n v="166326"/>
    <x v="1"/>
    <x v="1"/>
    <x v="0"/>
    <n v="4529"/>
    <n v="241.4"/>
    <n v="24.16"/>
    <n v="6"/>
    <n v="75860.73"/>
    <n v="17"/>
    <n v="4462.395882352941"/>
    <n v="9783.8823529411766"/>
    <n v="53.300949436961801"/>
    <x v="0"/>
    <s v="Good"/>
    <s v="Very High"/>
  </r>
  <r>
    <n v="555"/>
    <x v="6"/>
    <n v="2016"/>
    <n v="89045"/>
    <x v="0"/>
    <x v="0"/>
    <x v="1"/>
    <n v="4334"/>
    <n v="424.9"/>
    <n v="21.45"/>
    <n v="6"/>
    <n v="51302.21"/>
    <n v="8"/>
    <n v="6412.7762499999999"/>
    <n v="11130.625"/>
    <n v="98.038763267189665"/>
    <x v="2"/>
    <s v="Good"/>
    <s v="Very High"/>
  </r>
  <r>
    <n v="556"/>
    <x v="1"/>
    <n v="2007"/>
    <n v="121859"/>
    <x v="2"/>
    <x v="0"/>
    <x v="0"/>
    <n v="4096"/>
    <n v="215.2"/>
    <n v="25.6"/>
    <n v="5"/>
    <n v="103602.98"/>
    <n v="17"/>
    <n v="6094.2929411764708"/>
    <n v="7168.1764705882351"/>
    <n v="52.539062499999993"/>
    <x v="0"/>
    <s v="Excellent"/>
    <s v="Very High"/>
  </r>
  <r>
    <n v="557"/>
    <x v="8"/>
    <n v="2024"/>
    <n v="193490"/>
    <x v="1"/>
    <x v="1"/>
    <x v="0"/>
    <n v="2740"/>
    <n v="74.099999999999994"/>
    <n v="21.19"/>
    <n v="7"/>
    <n v="32462.32"/>
    <n v="0"/>
    <n v="32462.32"/>
    <n v="193490"/>
    <n v="27.043795620437951"/>
    <x v="3"/>
    <s v="Good"/>
    <s v="Low"/>
  </r>
  <r>
    <n v="558"/>
    <x v="0"/>
    <n v="2018"/>
    <n v="150544"/>
    <x v="3"/>
    <x v="1"/>
    <x v="2"/>
    <n v="2682"/>
    <n v="432.9"/>
    <n v="29.22"/>
    <n v="4"/>
    <n v="117780.45"/>
    <n v="6"/>
    <n v="19630.075000000001"/>
    <n v="25090.666666666668"/>
    <n v="161.40939597315435"/>
    <x v="1"/>
    <s v="Excellent"/>
    <s v="Very High"/>
  </r>
  <r>
    <n v="559"/>
    <x v="9"/>
    <n v="2019"/>
    <n v="8471"/>
    <x v="0"/>
    <x v="0"/>
    <x v="2"/>
    <n v="3787"/>
    <n v="45.5"/>
    <n v="22.85"/>
    <n v="2"/>
    <n v="74803.83"/>
    <n v="5"/>
    <n v="14960.766"/>
    <n v="1694.2"/>
    <n v="12.014787430683919"/>
    <x v="1"/>
    <s v="Good"/>
    <s v="Low"/>
  </r>
  <r>
    <n v="560"/>
    <x v="1"/>
    <n v="2018"/>
    <n v="125312"/>
    <x v="3"/>
    <x v="1"/>
    <x v="1"/>
    <n v="3959"/>
    <n v="269.10000000000002"/>
    <n v="28.12"/>
    <n v="7"/>
    <n v="95843.88"/>
    <n v="6"/>
    <n v="15973.980000000001"/>
    <n v="20885.333333333332"/>
    <n v="67.971710027784795"/>
    <x v="1"/>
    <s v="Excellent"/>
    <s v="Very High"/>
  </r>
  <r>
    <n v="561"/>
    <x v="1"/>
    <n v="2011"/>
    <n v="144401"/>
    <x v="3"/>
    <x v="1"/>
    <x v="0"/>
    <n v="1481"/>
    <n v="224.5"/>
    <n v="17.93"/>
    <n v="7"/>
    <n v="13015.15"/>
    <n v="13"/>
    <n v="1001.1653846153846"/>
    <n v="11107.76923076923"/>
    <n v="151.5867656988521"/>
    <x v="0"/>
    <s v="Average"/>
    <s v="Very High"/>
  </r>
  <r>
    <n v="562"/>
    <x v="6"/>
    <n v="2021"/>
    <n v="170937"/>
    <x v="2"/>
    <x v="0"/>
    <x v="1"/>
    <n v="1873"/>
    <n v="428.3"/>
    <n v="7.93"/>
    <n v="2"/>
    <n v="24464.57"/>
    <n v="3"/>
    <n v="8154.8566666666666"/>
    <n v="56979"/>
    <n v="228.67058195408435"/>
    <x v="3"/>
    <s v="Low"/>
    <s v="Very High"/>
  </r>
  <r>
    <n v="563"/>
    <x v="5"/>
    <n v="2016"/>
    <n v="51850"/>
    <x v="1"/>
    <x v="1"/>
    <x v="2"/>
    <n v="3187"/>
    <n v="469.1"/>
    <n v="18.2"/>
    <n v="7"/>
    <n v="91733.23"/>
    <n v="8"/>
    <n v="11466.653749999999"/>
    <n v="6481.25"/>
    <n v="147.19171634766241"/>
    <x v="2"/>
    <s v="Average"/>
    <s v="Very High"/>
  </r>
  <r>
    <n v="564"/>
    <x v="6"/>
    <n v="2024"/>
    <n v="59220"/>
    <x v="2"/>
    <x v="1"/>
    <x v="1"/>
    <n v="3194"/>
    <n v="210.3"/>
    <n v="8.17"/>
    <n v="5"/>
    <n v="5572.42"/>
    <n v="0"/>
    <n v="5572.42"/>
    <n v="59220"/>
    <n v="65.842204132748904"/>
    <x v="3"/>
    <s v="Low"/>
    <s v="Very High"/>
  </r>
  <r>
    <n v="565"/>
    <x v="0"/>
    <n v="2008"/>
    <n v="98808"/>
    <x v="2"/>
    <x v="0"/>
    <x v="2"/>
    <n v="3493"/>
    <n v="494.5"/>
    <n v="19.809999999999999"/>
    <n v="7"/>
    <n v="98574.720000000001"/>
    <n v="16"/>
    <n v="6160.92"/>
    <n v="6175.5"/>
    <n v="141.56885198969368"/>
    <x v="0"/>
    <s v="Average"/>
    <s v="Very High"/>
  </r>
  <r>
    <n v="566"/>
    <x v="4"/>
    <n v="2013"/>
    <n v="142469"/>
    <x v="2"/>
    <x v="1"/>
    <x v="1"/>
    <n v="2170"/>
    <n v="204.6"/>
    <n v="17.059999999999999"/>
    <n v="5"/>
    <n v="4632.04"/>
    <n v="11"/>
    <n v="421.09454545454543"/>
    <n v="12951.727272727272"/>
    <n v="94.285714285714292"/>
    <x v="2"/>
    <s v="Average"/>
    <s v="Very High"/>
  </r>
  <r>
    <n v="567"/>
    <x v="4"/>
    <n v="2010"/>
    <n v="171597"/>
    <x v="3"/>
    <x v="0"/>
    <x v="1"/>
    <n v="2956"/>
    <n v="289.89999999999998"/>
    <n v="20.56"/>
    <n v="4"/>
    <n v="79882.899999999994"/>
    <n v="14"/>
    <n v="5705.9214285714279"/>
    <n v="12256.928571428571"/>
    <n v="98.071718538565619"/>
    <x v="0"/>
    <s v="Good"/>
    <s v="Very High"/>
  </r>
  <r>
    <n v="568"/>
    <x v="5"/>
    <n v="2020"/>
    <n v="58072"/>
    <x v="2"/>
    <x v="0"/>
    <x v="0"/>
    <n v="3380"/>
    <n v="447.1"/>
    <n v="5.25"/>
    <n v="4"/>
    <n v="45715.99"/>
    <n v="4"/>
    <n v="11428.997499999999"/>
    <n v="14518"/>
    <n v="132.27810650887574"/>
    <x v="1"/>
    <s v="Low"/>
    <s v="Very High"/>
  </r>
  <r>
    <n v="569"/>
    <x v="0"/>
    <n v="2006"/>
    <n v="88820"/>
    <x v="2"/>
    <x v="1"/>
    <x v="1"/>
    <n v="2959"/>
    <n v="428"/>
    <n v="9.8699999999999992"/>
    <n v="6"/>
    <n v="74544.899999999994"/>
    <n v="18"/>
    <n v="4141.3833333333332"/>
    <n v="4934.4444444444443"/>
    <n v="144.64346062859073"/>
    <x v="0"/>
    <s v="Low"/>
    <s v="Very High"/>
  </r>
  <r>
    <n v="570"/>
    <x v="5"/>
    <n v="2012"/>
    <n v="28284"/>
    <x v="1"/>
    <x v="1"/>
    <x v="0"/>
    <n v="4048"/>
    <n v="592.9"/>
    <n v="17.28"/>
    <n v="5"/>
    <n v="84435.67"/>
    <n v="12"/>
    <n v="7036.3058333333329"/>
    <n v="2357"/>
    <n v="146.46739130434781"/>
    <x v="2"/>
    <s v="Average"/>
    <s v="Very High"/>
  </r>
  <r>
    <n v="571"/>
    <x v="7"/>
    <n v="2015"/>
    <n v="197402"/>
    <x v="1"/>
    <x v="1"/>
    <x v="0"/>
    <n v="4531"/>
    <n v="166.1"/>
    <n v="28.76"/>
    <n v="4"/>
    <n v="43069.599999999999"/>
    <n v="9"/>
    <n v="4785.5111111111109"/>
    <n v="21933.555555555555"/>
    <n v="36.658574266166411"/>
    <x v="2"/>
    <s v="Excellent"/>
    <s v="High"/>
  </r>
  <r>
    <n v="572"/>
    <x v="4"/>
    <n v="2017"/>
    <n v="88369"/>
    <x v="2"/>
    <x v="0"/>
    <x v="0"/>
    <n v="4629"/>
    <n v="410.9"/>
    <n v="14.59"/>
    <n v="7"/>
    <n v="15631.61"/>
    <n v="7"/>
    <n v="2233.0871428571431"/>
    <n v="12624.142857142857"/>
    <n v="88.766472240224672"/>
    <x v="1"/>
    <s v="Low"/>
    <s v="Very High"/>
  </r>
  <r>
    <n v="573"/>
    <x v="1"/>
    <n v="2021"/>
    <n v="30122"/>
    <x v="1"/>
    <x v="1"/>
    <x v="0"/>
    <n v="2427"/>
    <n v="381.4"/>
    <n v="15.61"/>
    <n v="2"/>
    <n v="11148.57"/>
    <n v="3"/>
    <n v="3716.19"/>
    <n v="10040.666666666666"/>
    <n v="157.14874330449112"/>
    <x v="3"/>
    <s v="Average"/>
    <s v="Very High"/>
  </r>
  <r>
    <n v="574"/>
    <x v="2"/>
    <n v="2012"/>
    <n v="135349"/>
    <x v="1"/>
    <x v="0"/>
    <x v="1"/>
    <n v="4272"/>
    <n v="552.5"/>
    <n v="22.87"/>
    <n v="2"/>
    <n v="71905.509999999995"/>
    <n v="12"/>
    <n v="5992.1258333333326"/>
    <n v="11279.083333333334"/>
    <n v="129.33052434456928"/>
    <x v="2"/>
    <s v="Good"/>
    <s v="Very High"/>
  </r>
  <r>
    <n v="575"/>
    <x v="9"/>
    <n v="2022"/>
    <n v="75553"/>
    <x v="2"/>
    <x v="1"/>
    <x v="2"/>
    <n v="827"/>
    <n v="127.6"/>
    <n v="20.09"/>
    <n v="5"/>
    <n v="63916.68"/>
    <n v="2"/>
    <n v="31958.34"/>
    <n v="37776.5"/>
    <n v="154.29262394195888"/>
    <x v="3"/>
    <s v="Good"/>
    <s v="Medium"/>
  </r>
  <r>
    <n v="576"/>
    <x v="0"/>
    <n v="2022"/>
    <n v="99788"/>
    <x v="3"/>
    <x v="1"/>
    <x v="2"/>
    <n v="2785"/>
    <n v="461"/>
    <n v="12.47"/>
    <n v="6"/>
    <n v="89837.52"/>
    <n v="2"/>
    <n v="44918.76"/>
    <n v="49894"/>
    <n v="165.52962298025133"/>
    <x v="3"/>
    <s v="Low"/>
    <s v="Very High"/>
  </r>
  <r>
    <n v="577"/>
    <x v="8"/>
    <n v="2018"/>
    <n v="67812"/>
    <x v="2"/>
    <x v="1"/>
    <x v="2"/>
    <n v="4953"/>
    <n v="358.2"/>
    <n v="15.27"/>
    <n v="7"/>
    <n v="62639.05"/>
    <n v="6"/>
    <n v="10439.841666666667"/>
    <n v="11302"/>
    <n v="72.31980617807389"/>
    <x v="1"/>
    <s v="Average"/>
    <s v="Very High"/>
  </r>
  <r>
    <n v="578"/>
    <x v="5"/>
    <n v="2019"/>
    <n v="12999"/>
    <x v="1"/>
    <x v="0"/>
    <x v="1"/>
    <n v="2321"/>
    <n v="193.8"/>
    <n v="10.44"/>
    <n v="5"/>
    <n v="52426.16"/>
    <n v="5"/>
    <n v="10485.232"/>
    <n v="2599.8000000000002"/>
    <n v="83.498492029297722"/>
    <x v="1"/>
    <s v="Low"/>
    <s v="High"/>
  </r>
  <r>
    <n v="579"/>
    <x v="9"/>
    <n v="2010"/>
    <n v="27436"/>
    <x v="3"/>
    <x v="1"/>
    <x v="0"/>
    <n v="1096"/>
    <n v="305.7"/>
    <n v="29.15"/>
    <n v="2"/>
    <n v="49576.2"/>
    <n v="14"/>
    <n v="3541.1571428571428"/>
    <n v="1959.7142857142858"/>
    <n v="278.92335766423355"/>
    <x v="0"/>
    <s v="Excellent"/>
    <s v="Very High"/>
  </r>
  <r>
    <n v="580"/>
    <x v="8"/>
    <n v="2015"/>
    <n v="47963"/>
    <x v="0"/>
    <x v="1"/>
    <x v="2"/>
    <n v="2981"/>
    <n v="226.9"/>
    <n v="8.27"/>
    <n v="5"/>
    <n v="6094.29"/>
    <n v="9"/>
    <n v="677.14333333333332"/>
    <n v="5329.2222222222226"/>
    <n v="76.115397517611541"/>
    <x v="2"/>
    <s v="Low"/>
    <s v="Very High"/>
  </r>
  <r>
    <n v="581"/>
    <x v="9"/>
    <n v="2017"/>
    <n v="138168"/>
    <x v="3"/>
    <x v="0"/>
    <x v="1"/>
    <n v="4202"/>
    <n v="364.4"/>
    <n v="14.3"/>
    <n v="7"/>
    <n v="42260.19"/>
    <n v="7"/>
    <n v="6037.17"/>
    <n v="19738.285714285714"/>
    <n v="86.720609233698241"/>
    <x v="1"/>
    <s v="Low"/>
    <s v="Very High"/>
  </r>
  <r>
    <n v="582"/>
    <x v="2"/>
    <n v="2005"/>
    <n v="161351"/>
    <x v="1"/>
    <x v="0"/>
    <x v="0"/>
    <n v="3096"/>
    <n v="537.79999999999995"/>
    <n v="5.65"/>
    <n v="4"/>
    <n v="117194.36"/>
    <n v="19"/>
    <n v="6168.1242105263154"/>
    <n v="8492.1578947368416"/>
    <n v="173.70801033591729"/>
    <x v="0"/>
    <s v="Low"/>
    <s v="Very High"/>
  </r>
  <r>
    <n v="583"/>
    <x v="8"/>
    <n v="2010"/>
    <n v="113899"/>
    <x v="3"/>
    <x v="1"/>
    <x v="2"/>
    <n v="3397"/>
    <n v="358.8"/>
    <n v="10.54"/>
    <n v="7"/>
    <n v="105206"/>
    <n v="14"/>
    <n v="7514.7142857142853"/>
    <n v="8135.6428571428569"/>
    <n v="105.6226081836915"/>
    <x v="0"/>
    <s v="Low"/>
    <s v="Very High"/>
  </r>
  <r>
    <n v="584"/>
    <x v="6"/>
    <n v="2013"/>
    <n v="31201"/>
    <x v="2"/>
    <x v="1"/>
    <x v="0"/>
    <n v="1701"/>
    <n v="393.8"/>
    <n v="24.51"/>
    <n v="4"/>
    <n v="41537.230000000003"/>
    <n v="11"/>
    <n v="3776.1118181818183"/>
    <n v="2836.4545454545455"/>
    <n v="231.51087595532039"/>
    <x v="2"/>
    <s v="Good"/>
    <s v="Very High"/>
  </r>
  <r>
    <n v="585"/>
    <x v="3"/>
    <n v="2012"/>
    <n v="155787"/>
    <x v="0"/>
    <x v="1"/>
    <x v="2"/>
    <n v="1898"/>
    <n v="330.5"/>
    <n v="10.029999999999999"/>
    <n v="4"/>
    <n v="71772.06"/>
    <n v="12"/>
    <n v="5981.0050000000001"/>
    <n v="12982.25"/>
    <n v="174.13066385669126"/>
    <x v="2"/>
    <s v="Low"/>
    <s v="Very High"/>
  </r>
  <r>
    <n v="586"/>
    <x v="6"/>
    <n v="2015"/>
    <n v="165381"/>
    <x v="0"/>
    <x v="0"/>
    <x v="2"/>
    <n v="2477"/>
    <n v="68.7"/>
    <n v="7"/>
    <n v="4"/>
    <n v="102133.72"/>
    <n v="9"/>
    <n v="11348.191111111111"/>
    <n v="18375.666666666668"/>
    <n v="27.735163504239001"/>
    <x v="2"/>
    <s v="Low"/>
    <s v="Low"/>
  </r>
  <r>
    <n v="587"/>
    <x v="4"/>
    <n v="2023"/>
    <n v="151150"/>
    <x v="0"/>
    <x v="0"/>
    <x v="2"/>
    <n v="3681"/>
    <n v="170.4"/>
    <n v="16.86"/>
    <n v="5"/>
    <n v="54629.1"/>
    <n v="1"/>
    <n v="54629.1"/>
    <n v="151150"/>
    <n v="46.291768541157296"/>
    <x v="3"/>
    <s v="Average"/>
    <s v="High"/>
  </r>
  <r>
    <n v="588"/>
    <x v="3"/>
    <n v="2013"/>
    <n v="192686"/>
    <x v="1"/>
    <x v="0"/>
    <x v="0"/>
    <n v="2178"/>
    <n v="315.5"/>
    <n v="5.25"/>
    <n v="2"/>
    <n v="5101.07"/>
    <n v="11"/>
    <n v="463.73363636363632"/>
    <n v="17516.909090909092"/>
    <n v="144.85766758494032"/>
    <x v="2"/>
    <s v="Low"/>
    <s v="Very High"/>
  </r>
  <r>
    <n v="589"/>
    <x v="6"/>
    <n v="2021"/>
    <n v="10105"/>
    <x v="1"/>
    <x v="0"/>
    <x v="1"/>
    <n v="2048"/>
    <n v="213.7"/>
    <n v="7.12"/>
    <n v="5"/>
    <n v="11717.72"/>
    <n v="3"/>
    <n v="3905.9066666666663"/>
    <n v="3368.3333333333335"/>
    <n v="104.34570312499999"/>
    <x v="3"/>
    <s v="Low"/>
    <s v="Very High"/>
  </r>
  <r>
    <n v="590"/>
    <x v="3"/>
    <n v="2016"/>
    <n v="122666"/>
    <x v="0"/>
    <x v="1"/>
    <x v="0"/>
    <n v="4535"/>
    <n v="141.80000000000001"/>
    <n v="25.19"/>
    <n v="2"/>
    <n v="62715.95"/>
    <n v="8"/>
    <n v="7839.4937499999996"/>
    <n v="15333.25"/>
    <n v="31.267916207276738"/>
    <x v="2"/>
    <s v="Excellent"/>
    <s v="Medium"/>
  </r>
  <r>
    <n v="591"/>
    <x v="3"/>
    <n v="2018"/>
    <n v="99848"/>
    <x v="3"/>
    <x v="0"/>
    <x v="2"/>
    <n v="2064"/>
    <n v="322.3"/>
    <n v="24.29"/>
    <n v="7"/>
    <n v="116424.41"/>
    <n v="6"/>
    <n v="19404.068333333333"/>
    <n v="16641.333333333332"/>
    <n v="156.15310077519379"/>
    <x v="1"/>
    <s v="Good"/>
    <s v="Very High"/>
  </r>
  <r>
    <n v="592"/>
    <x v="1"/>
    <n v="2019"/>
    <n v="7839"/>
    <x v="0"/>
    <x v="0"/>
    <x v="0"/>
    <n v="2707"/>
    <n v="220.8"/>
    <n v="27.88"/>
    <n v="6"/>
    <n v="84105.52"/>
    <n v="5"/>
    <n v="16821.103999999999"/>
    <n v="1567.8"/>
    <n v="81.566309567787229"/>
    <x v="1"/>
    <s v="Excellent"/>
    <s v="Very High"/>
  </r>
  <r>
    <n v="593"/>
    <x v="5"/>
    <n v="2020"/>
    <n v="73920"/>
    <x v="3"/>
    <x v="0"/>
    <x v="1"/>
    <n v="1858"/>
    <n v="184.5"/>
    <n v="26.36"/>
    <n v="7"/>
    <n v="11297.19"/>
    <n v="4"/>
    <n v="2824.2975000000001"/>
    <n v="18480"/>
    <n v="99.300322927879435"/>
    <x v="1"/>
    <s v="Excellent"/>
    <s v="High"/>
  </r>
  <r>
    <n v="594"/>
    <x v="5"/>
    <n v="2024"/>
    <n v="48619"/>
    <x v="3"/>
    <x v="1"/>
    <x v="0"/>
    <n v="3549"/>
    <n v="299.8"/>
    <n v="22.08"/>
    <n v="5"/>
    <n v="25155.22"/>
    <n v="0"/>
    <n v="25155.22"/>
    <n v="48619"/>
    <n v="84.474499859115255"/>
    <x v="3"/>
    <s v="Good"/>
    <s v="Very High"/>
  </r>
  <r>
    <n v="595"/>
    <x v="1"/>
    <n v="2005"/>
    <n v="47821"/>
    <x v="1"/>
    <x v="1"/>
    <x v="1"/>
    <n v="2848"/>
    <n v="114.6"/>
    <n v="6.31"/>
    <n v="5"/>
    <n v="93244.81"/>
    <n v="19"/>
    <n v="4907.6215789473681"/>
    <n v="2516.8947368421054"/>
    <n v="40.238764044943821"/>
    <x v="0"/>
    <s v="Low"/>
    <s v="Medium"/>
  </r>
  <r>
    <n v="596"/>
    <x v="9"/>
    <n v="2014"/>
    <n v="130736"/>
    <x v="3"/>
    <x v="0"/>
    <x v="1"/>
    <n v="3276"/>
    <n v="559.5"/>
    <n v="24.57"/>
    <n v="2"/>
    <n v="101448.45"/>
    <n v="10"/>
    <n v="10144.844999999999"/>
    <n v="13073.6"/>
    <n v="170.78754578754581"/>
    <x v="2"/>
    <s v="Good"/>
    <s v="Very High"/>
  </r>
  <r>
    <n v="597"/>
    <x v="7"/>
    <n v="2012"/>
    <n v="149565"/>
    <x v="0"/>
    <x v="0"/>
    <x v="0"/>
    <n v="4816"/>
    <n v="525.9"/>
    <n v="26.14"/>
    <n v="5"/>
    <n v="75270.27"/>
    <n v="12"/>
    <n v="6272.5225"/>
    <n v="12463.75"/>
    <n v="109.1985049833887"/>
    <x v="2"/>
    <s v="Excellent"/>
    <s v="Very High"/>
  </r>
  <r>
    <n v="598"/>
    <x v="9"/>
    <n v="2022"/>
    <n v="22069"/>
    <x v="1"/>
    <x v="1"/>
    <x v="2"/>
    <n v="3997"/>
    <n v="436.3"/>
    <n v="24.98"/>
    <n v="4"/>
    <n v="78397.509999999995"/>
    <n v="2"/>
    <n v="39198.754999999997"/>
    <n v="11034.5"/>
    <n v="109.15686765073806"/>
    <x v="3"/>
    <s v="Good"/>
    <s v="Very High"/>
  </r>
  <r>
    <n v="599"/>
    <x v="8"/>
    <n v="2005"/>
    <n v="12531"/>
    <x v="2"/>
    <x v="1"/>
    <x v="1"/>
    <n v="4353"/>
    <n v="99.5"/>
    <n v="17.71"/>
    <n v="5"/>
    <n v="6315.48"/>
    <n v="19"/>
    <n v="332.39368421052632"/>
    <n v="659.52631578947364"/>
    <n v="22.857799218929475"/>
    <x v="0"/>
    <s v="Average"/>
    <s v="Low"/>
  </r>
  <r>
    <n v="600"/>
    <x v="8"/>
    <n v="2006"/>
    <n v="173123"/>
    <x v="2"/>
    <x v="1"/>
    <x v="0"/>
    <n v="2561"/>
    <n v="474.5"/>
    <n v="10.82"/>
    <n v="2"/>
    <n v="99938.04"/>
    <n v="18"/>
    <n v="5552.1133333333328"/>
    <n v="9617.9444444444453"/>
    <n v="185.2791878172589"/>
    <x v="0"/>
    <s v="Low"/>
    <s v="Very High"/>
  </r>
  <r>
    <n v="601"/>
    <x v="3"/>
    <n v="2005"/>
    <n v="143808"/>
    <x v="1"/>
    <x v="1"/>
    <x v="1"/>
    <n v="1020"/>
    <n v="492.5"/>
    <n v="26.13"/>
    <n v="2"/>
    <n v="95228.2"/>
    <n v="19"/>
    <n v="5012.0105263157893"/>
    <n v="7568.8421052631575"/>
    <n v="482.84313725490193"/>
    <x v="0"/>
    <s v="Excellent"/>
    <s v="Very High"/>
  </r>
  <r>
    <n v="602"/>
    <x v="6"/>
    <n v="2005"/>
    <n v="143782"/>
    <x v="0"/>
    <x v="1"/>
    <x v="2"/>
    <n v="3688"/>
    <n v="469.9"/>
    <n v="23.18"/>
    <n v="4"/>
    <n v="33307.11"/>
    <n v="19"/>
    <n v="1753.0057894736842"/>
    <n v="7567.4736842105267"/>
    <n v="127.41323210412146"/>
    <x v="0"/>
    <s v="Good"/>
    <s v="Very High"/>
  </r>
  <r>
    <n v="603"/>
    <x v="6"/>
    <n v="2013"/>
    <n v="72155"/>
    <x v="2"/>
    <x v="1"/>
    <x v="0"/>
    <n v="2464"/>
    <n v="103.8"/>
    <n v="29.52"/>
    <n v="2"/>
    <n v="85915.18"/>
    <n v="11"/>
    <n v="7810.4709090909082"/>
    <n v="6559.545454545455"/>
    <n v="42.126623376623378"/>
    <x v="2"/>
    <s v="Excellent"/>
    <s v="Medium"/>
  </r>
  <r>
    <n v="604"/>
    <x v="5"/>
    <n v="2017"/>
    <n v="150047"/>
    <x v="2"/>
    <x v="1"/>
    <x v="0"/>
    <n v="4786"/>
    <n v="400.6"/>
    <n v="8.89"/>
    <n v="6"/>
    <n v="28137.99"/>
    <n v="7"/>
    <n v="4019.7128571428575"/>
    <n v="21435.285714285714"/>
    <n v="83.70246552444631"/>
    <x v="1"/>
    <s v="Low"/>
    <s v="Very High"/>
  </r>
  <r>
    <n v="605"/>
    <x v="0"/>
    <n v="2005"/>
    <n v="67424"/>
    <x v="3"/>
    <x v="1"/>
    <x v="0"/>
    <n v="3777"/>
    <n v="507.2"/>
    <n v="10.64"/>
    <n v="7"/>
    <n v="7718.63"/>
    <n v="19"/>
    <n v="406.24368421052634"/>
    <n v="3548.6315789473683"/>
    <n v="134.28647074397671"/>
    <x v="0"/>
    <s v="Low"/>
    <s v="Very High"/>
  </r>
  <r>
    <n v="606"/>
    <x v="9"/>
    <n v="2017"/>
    <n v="50603"/>
    <x v="3"/>
    <x v="0"/>
    <x v="2"/>
    <n v="2671"/>
    <n v="363.3"/>
    <n v="10.29"/>
    <n v="5"/>
    <n v="26532.98"/>
    <n v="7"/>
    <n v="3790.4257142857141"/>
    <n v="7229"/>
    <n v="136.01647323099965"/>
    <x v="1"/>
    <s v="Low"/>
    <s v="Very High"/>
  </r>
  <r>
    <n v="607"/>
    <x v="4"/>
    <n v="2024"/>
    <n v="159324"/>
    <x v="0"/>
    <x v="0"/>
    <x v="1"/>
    <n v="2262"/>
    <n v="402"/>
    <n v="24.81"/>
    <n v="6"/>
    <n v="23899.58"/>
    <n v="0"/>
    <n v="23899.58"/>
    <n v="159324"/>
    <n v="177.71883289124668"/>
    <x v="3"/>
    <s v="Good"/>
    <s v="Very High"/>
  </r>
  <r>
    <n v="608"/>
    <x v="2"/>
    <n v="2011"/>
    <n v="137503"/>
    <x v="1"/>
    <x v="0"/>
    <x v="0"/>
    <n v="1144"/>
    <n v="296.7"/>
    <n v="9.67"/>
    <n v="5"/>
    <n v="42516.52"/>
    <n v="13"/>
    <n v="3270.5015384615381"/>
    <n v="10577.153846153846"/>
    <n v="259.35314685314688"/>
    <x v="0"/>
    <s v="Low"/>
    <s v="Very High"/>
  </r>
  <r>
    <n v="609"/>
    <x v="6"/>
    <n v="2006"/>
    <n v="173553"/>
    <x v="0"/>
    <x v="0"/>
    <x v="1"/>
    <n v="844"/>
    <n v="336.1"/>
    <n v="6.67"/>
    <n v="6"/>
    <n v="51958.59"/>
    <n v="18"/>
    <n v="2886.5883333333331"/>
    <n v="9641.8333333333339"/>
    <n v="398.22274881516591"/>
    <x v="0"/>
    <s v="Low"/>
    <s v="Very High"/>
  </r>
  <r>
    <n v="610"/>
    <x v="2"/>
    <n v="2010"/>
    <n v="97573"/>
    <x v="1"/>
    <x v="0"/>
    <x v="1"/>
    <n v="2868"/>
    <n v="59.3"/>
    <n v="29.96"/>
    <n v="5"/>
    <n v="62499.05"/>
    <n v="14"/>
    <n v="4464.2178571428576"/>
    <n v="6969.5"/>
    <n v="20.676429567642955"/>
    <x v="0"/>
    <s v="Excellent"/>
    <s v="Low"/>
  </r>
  <r>
    <n v="611"/>
    <x v="3"/>
    <n v="2011"/>
    <n v="145629"/>
    <x v="2"/>
    <x v="0"/>
    <x v="2"/>
    <n v="2314"/>
    <n v="397.8"/>
    <n v="5.62"/>
    <n v="4"/>
    <n v="58780.2"/>
    <n v="13"/>
    <n v="4521.5538461538463"/>
    <n v="11202.23076923077"/>
    <n v="171.91011235955057"/>
    <x v="0"/>
    <s v="Low"/>
    <s v="Very High"/>
  </r>
  <r>
    <n v="612"/>
    <x v="2"/>
    <n v="2018"/>
    <n v="108302"/>
    <x v="3"/>
    <x v="1"/>
    <x v="0"/>
    <n v="3398"/>
    <n v="85.6"/>
    <n v="25.88"/>
    <n v="2"/>
    <n v="34668.93"/>
    <n v="6"/>
    <n v="5778.1549999999997"/>
    <n v="18050.333333333332"/>
    <n v="25.1912889935256"/>
    <x v="1"/>
    <s v="Excellent"/>
    <s v="Low"/>
  </r>
  <r>
    <n v="613"/>
    <x v="4"/>
    <n v="2022"/>
    <n v="136234"/>
    <x v="0"/>
    <x v="1"/>
    <x v="1"/>
    <n v="1801"/>
    <n v="283.60000000000002"/>
    <n v="14.13"/>
    <n v="2"/>
    <n v="6412.97"/>
    <n v="2"/>
    <n v="3206.4850000000001"/>
    <n v="68117"/>
    <n v="157.46807329261523"/>
    <x v="3"/>
    <s v="Low"/>
    <s v="Very High"/>
  </r>
  <r>
    <n v="614"/>
    <x v="1"/>
    <n v="2019"/>
    <n v="170814"/>
    <x v="0"/>
    <x v="0"/>
    <x v="0"/>
    <n v="1833"/>
    <n v="203.9"/>
    <n v="26.04"/>
    <n v="4"/>
    <n v="73796.89"/>
    <n v="5"/>
    <n v="14759.378000000001"/>
    <n v="34162.800000000003"/>
    <n v="111.23840698308784"/>
    <x v="1"/>
    <s v="Excellent"/>
    <s v="Very High"/>
  </r>
  <r>
    <n v="615"/>
    <x v="4"/>
    <n v="2006"/>
    <n v="24675"/>
    <x v="1"/>
    <x v="0"/>
    <x v="0"/>
    <n v="2840"/>
    <n v="345.4"/>
    <n v="18.87"/>
    <n v="6"/>
    <n v="49302.15"/>
    <n v="18"/>
    <n v="2739.0083333333332"/>
    <n v="1370.8333333333333"/>
    <n v="121.61971830985915"/>
    <x v="0"/>
    <s v="Average"/>
    <s v="Very High"/>
  </r>
  <r>
    <n v="616"/>
    <x v="2"/>
    <n v="2014"/>
    <n v="78997"/>
    <x v="1"/>
    <x v="1"/>
    <x v="2"/>
    <n v="1073"/>
    <n v="114.7"/>
    <n v="27.54"/>
    <n v="7"/>
    <n v="37944.639999999999"/>
    <n v="10"/>
    <n v="3794.4639999999999"/>
    <n v="7899.7"/>
    <n v="106.89655172413794"/>
    <x v="2"/>
    <s v="Excellent"/>
    <s v="Medium"/>
  </r>
  <r>
    <n v="617"/>
    <x v="4"/>
    <n v="2016"/>
    <n v="153087"/>
    <x v="0"/>
    <x v="1"/>
    <x v="0"/>
    <n v="3447"/>
    <n v="427.3"/>
    <n v="28.15"/>
    <n v="6"/>
    <n v="104432.1"/>
    <n v="8"/>
    <n v="13054.012500000001"/>
    <n v="19135.875"/>
    <n v="123.96286626051639"/>
    <x v="2"/>
    <s v="Excellent"/>
    <s v="Very High"/>
  </r>
  <r>
    <n v="618"/>
    <x v="7"/>
    <n v="2021"/>
    <n v="186129"/>
    <x v="1"/>
    <x v="1"/>
    <x v="0"/>
    <n v="2579"/>
    <n v="485.2"/>
    <n v="5.23"/>
    <n v="2"/>
    <n v="90368.97"/>
    <n v="3"/>
    <n v="30122.99"/>
    <n v="62043"/>
    <n v="188.13493602171383"/>
    <x v="3"/>
    <s v="Low"/>
    <s v="Very High"/>
  </r>
  <r>
    <n v="619"/>
    <x v="3"/>
    <n v="2012"/>
    <n v="168663"/>
    <x v="0"/>
    <x v="0"/>
    <x v="1"/>
    <n v="1278"/>
    <n v="131.5"/>
    <n v="6.89"/>
    <n v="7"/>
    <n v="103358.57"/>
    <n v="12"/>
    <n v="8613.2141666666666"/>
    <n v="14055.25"/>
    <n v="102.89514866979655"/>
    <x v="2"/>
    <s v="Low"/>
    <s v="Medium"/>
  </r>
  <r>
    <n v="620"/>
    <x v="9"/>
    <n v="2015"/>
    <n v="145905"/>
    <x v="0"/>
    <x v="1"/>
    <x v="2"/>
    <n v="1315"/>
    <n v="98.4"/>
    <n v="11.26"/>
    <n v="5"/>
    <n v="60912.99"/>
    <n v="9"/>
    <n v="6768.11"/>
    <n v="16211.666666666666"/>
    <n v="74.828897338403053"/>
    <x v="2"/>
    <s v="Low"/>
    <s v="Low"/>
  </r>
  <r>
    <n v="621"/>
    <x v="1"/>
    <n v="2007"/>
    <n v="12896"/>
    <x v="0"/>
    <x v="0"/>
    <x v="0"/>
    <n v="1991"/>
    <n v="121.5"/>
    <n v="21.73"/>
    <n v="7"/>
    <n v="18318.96"/>
    <n v="17"/>
    <n v="1077.5858823529411"/>
    <n v="758.58823529411768"/>
    <n v="61.02461074836765"/>
    <x v="0"/>
    <s v="Good"/>
    <s v="Medium"/>
  </r>
  <r>
    <n v="622"/>
    <x v="6"/>
    <n v="2010"/>
    <n v="169044"/>
    <x v="2"/>
    <x v="0"/>
    <x v="1"/>
    <n v="3468"/>
    <n v="531.20000000000005"/>
    <n v="27.21"/>
    <n v="6"/>
    <n v="84457.91"/>
    <n v="14"/>
    <n v="6032.7078571428574"/>
    <n v="12074.571428571429"/>
    <n v="153.17185697808537"/>
    <x v="0"/>
    <s v="Excellent"/>
    <s v="Very High"/>
  </r>
  <r>
    <n v="623"/>
    <x v="8"/>
    <n v="2013"/>
    <n v="54733"/>
    <x v="1"/>
    <x v="1"/>
    <x v="2"/>
    <n v="2211"/>
    <n v="335.8"/>
    <n v="16.5"/>
    <n v="4"/>
    <n v="27110.63"/>
    <n v="11"/>
    <n v="2464.6027272727274"/>
    <n v="4975.727272727273"/>
    <n v="151.87697874265041"/>
    <x v="2"/>
    <s v="Average"/>
    <s v="Very High"/>
  </r>
  <r>
    <n v="624"/>
    <x v="9"/>
    <n v="2010"/>
    <n v="46800"/>
    <x v="3"/>
    <x v="1"/>
    <x v="2"/>
    <n v="4080"/>
    <n v="301.7"/>
    <n v="20.170000000000002"/>
    <n v="5"/>
    <n v="54623.87"/>
    <n v="14"/>
    <n v="3901.7050000000004"/>
    <n v="3342.8571428571427"/>
    <n v="73.946078431372541"/>
    <x v="0"/>
    <s v="Good"/>
    <s v="Very High"/>
  </r>
  <r>
    <n v="625"/>
    <x v="8"/>
    <n v="2013"/>
    <n v="101044"/>
    <x v="3"/>
    <x v="0"/>
    <x v="1"/>
    <n v="1071"/>
    <n v="99.8"/>
    <n v="9.7100000000000009"/>
    <n v="6"/>
    <n v="10605.09"/>
    <n v="11"/>
    <n v="964.09909090909093"/>
    <n v="9185.818181818182"/>
    <n v="93.183940242763768"/>
    <x v="2"/>
    <s v="Low"/>
    <s v="Low"/>
  </r>
  <r>
    <n v="626"/>
    <x v="3"/>
    <n v="2011"/>
    <n v="10347"/>
    <x v="1"/>
    <x v="1"/>
    <x v="1"/>
    <n v="942"/>
    <n v="403.8"/>
    <n v="25.12"/>
    <n v="5"/>
    <n v="99561.08"/>
    <n v="13"/>
    <n v="7658.5446153846151"/>
    <n v="795.92307692307691"/>
    <n v="428.66242038216564"/>
    <x v="0"/>
    <s v="Excellent"/>
    <s v="Very High"/>
  </r>
  <r>
    <n v="627"/>
    <x v="1"/>
    <n v="2013"/>
    <n v="195135"/>
    <x v="0"/>
    <x v="1"/>
    <x v="1"/>
    <n v="4132"/>
    <n v="526.1"/>
    <n v="29.18"/>
    <n v="7"/>
    <n v="17735.060000000001"/>
    <n v="11"/>
    <n v="1612.278181818182"/>
    <n v="17739.545454545456"/>
    <n v="127.32333010648598"/>
    <x v="2"/>
    <s v="Excellent"/>
    <s v="Very High"/>
  </r>
  <r>
    <n v="628"/>
    <x v="5"/>
    <n v="2022"/>
    <n v="138715"/>
    <x v="3"/>
    <x v="0"/>
    <x v="1"/>
    <n v="1587"/>
    <n v="503.8"/>
    <n v="11.71"/>
    <n v="2"/>
    <n v="108662.41"/>
    <n v="2"/>
    <n v="54331.205000000002"/>
    <n v="69357.5"/>
    <n v="317.45431632010082"/>
    <x v="3"/>
    <s v="Low"/>
    <s v="Very High"/>
  </r>
  <r>
    <n v="629"/>
    <x v="6"/>
    <n v="2016"/>
    <n v="45785"/>
    <x v="3"/>
    <x v="1"/>
    <x v="1"/>
    <n v="2481"/>
    <n v="390.6"/>
    <n v="17.37"/>
    <n v="6"/>
    <n v="104114.98"/>
    <n v="8"/>
    <n v="13014.372499999999"/>
    <n v="5723.125"/>
    <n v="157.43651753325273"/>
    <x v="2"/>
    <s v="Average"/>
    <s v="Very High"/>
  </r>
  <r>
    <n v="630"/>
    <x v="7"/>
    <n v="2012"/>
    <n v="23681"/>
    <x v="1"/>
    <x v="0"/>
    <x v="0"/>
    <n v="1422"/>
    <n v="82.2"/>
    <n v="7.15"/>
    <n v="4"/>
    <n v="57356.18"/>
    <n v="12"/>
    <n v="4779.6816666666664"/>
    <n v="1973.4166666666667"/>
    <n v="57.805907172995788"/>
    <x v="2"/>
    <s v="Low"/>
    <s v="Low"/>
  </r>
  <r>
    <n v="631"/>
    <x v="5"/>
    <n v="2012"/>
    <n v="186098"/>
    <x v="3"/>
    <x v="0"/>
    <x v="0"/>
    <n v="4641"/>
    <n v="102.9"/>
    <n v="18.98"/>
    <n v="7"/>
    <n v="90091.08"/>
    <n v="12"/>
    <n v="7507.59"/>
    <n v="15508.166666666666"/>
    <n v="22.171945701357465"/>
    <x v="2"/>
    <s v="Average"/>
    <s v="Medium"/>
  </r>
  <r>
    <n v="632"/>
    <x v="3"/>
    <n v="2022"/>
    <n v="108864"/>
    <x v="0"/>
    <x v="1"/>
    <x v="2"/>
    <n v="4476"/>
    <n v="67.599999999999994"/>
    <n v="17.57"/>
    <n v="6"/>
    <n v="75475.070000000007"/>
    <n v="2"/>
    <n v="37737.535000000003"/>
    <n v="54432"/>
    <n v="15.102770330652367"/>
    <x v="3"/>
    <s v="Average"/>
    <s v="Low"/>
  </r>
  <r>
    <n v="633"/>
    <x v="9"/>
    <n v="2024"/>
    <n v="151964"/>
    <x v="1"/>
    <x v="0"/>
    <x v="0"/>
    <n v="3372"/>
    <n v="184.2"/>
    <n v="8.61"/>
    <n v="4"/>
    <n v="96959.85"/>
    <n v="0"/>
    <n v="96959.85"/>
    <n v="151964"/>
    <n v="54.62633451957295"/>
    <x v="3"/>
    <s v="Low"/>
    <s v="High"/>
  </r>
  <r>
    <n v="634"/>
    <x v="7"/>
    <n v="2019"/>
    <n v="52299"/>
    <x v="0"/>
    <x v="0"/>
    <x v="0"/>
    <n v="4060"/>
    <n v="116"/>
    <n v="16.05"/>
    <n v="6"/>
    <n v="53521.2"/>
    <n v="5"/>
    <n v="10704.24"/>
    <n v="10459.799999999999"/>
    <n v="28.571428571428573"/>
    <x v="1"/>
    <s v="Average"/>
    <s v="Medium"/>
  </r>
  <r>
    <n v="635"/>
    <x v="4"/>
    <n v="2011"/>
    <n v="22073"/>
    <x v="3"/>
    <x v="1"/>
    <x v="0"/>
    <n v="866"/>
    <n v="185.6"/>
    <n v="13.35"/>
    <n v="7"/>
    <n v="94939.59"/>
    <n v="13"/>
    <n v="7303.0453846153841"/>
    <n v="1697.9230769230769"/>
    <n v="214.31870669745959"/>
    <x v="0"/>
    <s v="Low"/>
    <s v="High"/>
  </r>
  <r>
    <n v="636"/>
    <x v="2"/>
    <n v="2015"/>
    <n v="107304"/>
    <x v="3"/>
    <x v="1"/>
    <x v="1"/>
    <n v="1940"/>
    <n v="255.6"/>
    <n v="18.05"/>
    <n v="6"/>
    <n v="57107.45"/>
    <n v="9"/>
    <n v="6345.2722222222219"/>
    <n v="11922.666666666666"/>
    <n v="131.75257731958763"/>
    <x v="2"/>
    <s v="Average"/>
    <s v="Very High"/>
  </r>
  <r>
    <n v="637"/>
    <x v="7"/>
    <n v="2024"/>
    <n v="35682"/>
    <x v="0"/>
    <x v="1"/>
    <x v="2"/>
    <n v="3114"/>
    <n v="568.1"/>
    <n v="19.64"/>
    <n v="5"/>
    <n v="113093"/>
    <n v="0"/>
    <n v="113093"/>
    <n v="35682"/>
    <n v="182.43416827231857"/>
    <x v="3"/>
    <s v="Average"/>
    <s v="Very High"/>
  </r>
  <r>
    <n v="638"/>
    <x v="3"/>
    <n v="2020"/>
    <n v="129302"/>
    <x v="2"/>
    <x v="0"/>
    <x v="2"/>
    <n v="3332"/>
    <n v="381.8"/>
    <n v="5.21"/>
    <n v="7"/>
    <n v="59905.54"/>
    <n v="4"/>
    <n v="14976.385"/>
    <n v="32325.5"/>
    <n v="114.5858343337335"/>
    <x v="1"/>
    <s v="Low"/>
    <s v="Very High"/>
  </r>
  <r>
    <n v="639"/>
    <x v="0"/>
    <n v="2008"/>
    <n v="150361"/>
    <x v="3"/>
    <x v="0"/>
    <x v="2"/>
    <n v="4380"/>
    <n v="507.6"/>
    <n v="24.03"/>
    <n v="6"/>
    <n v="57126.45"/>
    <n v="16"/>
    <n v="3570.4031249999998"/>
    <n v="9397.5625"/>
    <n v="115.89041095890411"/>
    <x v="0"/>
    <s v="Good"/>
    <s v="Very High"/>
  </r>
  <r>
    <n v="640"/>
    <x v="2"/>
    <n v="2010"/>
    <n v="120359"/>
    <x v="2"/>
    <x v="1"/>
    <x v="2"/>
    <n v="1987"/>
    <n v="437.8"/>
    <n v="22.83"/>
    <n v="2"/>
    <n v="94853.41"/>
    <n v="14"/>
    <n v="6775.2435714285721"/>
    <n v="8597.0714285714294"/>
    <n v="220.33215903371917"/>
    <x v="0"/>
    <s v="Good"/>
    <s v="Very High"/>
  </r>
  <r>
    <n v="641"/>
    <x v="8"/>
    <n v="2007"/>
    <n v="143999"/>
    <x v="3"/>
    <x v="0"/>
    <x v="0"/>
    <n v="4139"/>
    <n v="103"/>
    <n v="14.16"/>
    <n v="6"/>
    <n v="99124.59"/>
    <n v="17"/>
    <n v="5830.8582352941175"/>
    <n v="8470.5294117647063"/>
    <n v="24.88523798018845"/>
    <x v="0"/>
    <s v="Low"/>
    <s v="Medium"/>
  </r>
  <r>
    <n v="642"/>
    <x v="6"/>
    <n v="2013"/>
    <n v="184402"/>
    <x v="2"/>
    <x v="1"/>
    <x v="0"/>
    <n v="1348"/>
    <n v="452.1"/>
    <n v="6.32"/>
    <n v="5"/>
    <n v="67875.23"/>
    <n v="11"/>
    <n v="6170.4754545454543"/>
    <n v="16763.81818181818"/>
    <n v="335.38575667655783"/>
    <x v="2"/>
    <s v="Low"/>
    <s v="Very High"/>
  </r>
  <r>
    <n v="643"/>
    <x v="8"/>
    <n v="2014"/>
    <n v="71707"/>
    <x v="2"/>
    <x v="1"/>
    <x v="1"/>
    <n v="4887"/>
    <n v="194.1"/>
    <n v="23.87"/>
    <n v="4"/>
    <n v="24036.34"/>
    <n v="10"/>
    <n v="2403.634"/>
    <n v="7170.7"/>
    <n v="39.717618170656849"/>
    <x v="2"/>
    <s v="Good"/>
    <s v="High"/>
  </r>
  <r>
    <n v="644"/>
    <x v="7"/>
    <n v="2018"/>
    <n v="70428"/>
    <x v="2"/>
    <x v="0"/>
    <x v="2"/>
    <n v="872"/>
    <n v="397.9"/>
    <n v="28.88"/>
    <n v="4"/>
    <n v="57727.71"/>
    <n v="6"/>
    <n v="9621.2849999999999"/>
    <n v="11738"/>
    <n v="456.30733944954125"/>
    <x v="1"/>
    <s v="Excellent"/>
    <s v="Very High"/>
  </r>
  <r>
    <n v="645"/>
    <x v="8"/>
    <n v="2015"/>
    <n v="55601"/>
    <x v="0"/>
    <x v="1"/>
    <x v="0"/>
    <n v="998"/>
    <n v="230.9"/>
    <n v="11"/>
    <n v="4"/>
    <n v="116264.48"/>
    <n v="9"/>
    <n v="12918.275555555556"/>
    <n v="6177.8888888888887"/>
    <n v="231.36272545090182"/>
    <x v="2"/>
    <s v="Low"/>
    <s v="Very High"/>
  </r>
  <r>
    <n v="646"/>
    <x v="3"/>
    <n v="2022"/>
    <n v="138611"/>
    <x v="2"/>
    <x v="0"/>
    <x v="0"/>
    <n v="4001"/>
    <n v="598.70000000000005"/>
    <n v="13.09"/>
    <n v="2"/>
    <n v="91099.38"/>
    <n v="2"/>
    <n v="45549.69"/>
    <n v="69305.5"/>
    <n v="149.63759060234941"/>
    <x v="3"/>
    <s v="Low"/>
    <s v="Very High"/>
  </r>
  <r>
    <n v="647"/>
    <x v="4"/>
    <n v="2016"/>
    <n v="116487"/>
    <x v="2"/>
    <x v="0"/>
    <x v="1"/>
    <n v="2581"/>
    <n v="187.6"/>
    <n v="9.6"/>
    <n v="5"/>
    <n v="97906.02"/>
    <n v="8"/>
    <n v="12238.252500000001"/>
    <n v="14560.875"/>
    <n v="72.68500581170089"/>
    <x v="2"/>
    <s v="Low"/>
    <s v="High"/>
  </r>
  <r>
    <n v="648"/>
    <x v="9"/>
    <n v="2016"/>
    <n v="158741"/>
    <x v="2"/>
    <x v="1"/>
    <x v="1"/>
    <n v="1371"/>
    <n v="196.3"/>
    <n v="19.420000000000002"/>
    <n v="7"/>
    <n v="6840.58"/>
    <n v="8"/>
    <n v="855.07249999999999"/>
    <n v="19842.625"/>
    <n v="143.18016046681257"/>
    <x v="2"/>
    <s v="Average"/>
    <s v="High"/>
  </r>
  <r>
    <n v="649"/>
    <x v="6"/>
    <n v="2017"/>
    <n v="156716"/>
    <x v="3"/>
    <x v="0"/>
    <x v="1"/>
    <n v="1590"/>
    <n v="561.20000000000005"/>
    <n v="8.8699999999999992"/>
    <n v="4"/>
    <n v="57739.56"/>
    <n v="7"/>
    <n v="8248.5085714285706"/>
    <n v="22388"/>
    <n v="352.95597484276732"/>
    <x v="1"/>
    <s v="Low"/>
    <s v="Very High"/>
  </r>
  <r>
    <n v="650"/>
    <x v="8"/>
    <n v="2017"/>
    <n v="154817"/>
    <x v="2"/>
    <x v="1"/>
    <x v="0"/>
    <n v="2438"/>
    <n v="53.8"/>
    <n v="13.9"/>
    <n v="5"/>
    <n v="78654.67"/>
    <n v="7"/>
    <n v="11236.381428571429"/>
    <n v="22116.714285714286"/>
    <n v="22.067268252666118"/>
    <x v="1"/>
    <s v="Low"/>
    <s v="Low"/>
  </r>
  <r>
    <n v="651"/>
    <x v="8"/>
    <n v="2023"/>
    <n v="33228"/>
    <x v="3"/>
    <x v="0"/>
    <x v="0"/>
    <n v="2631"/>
    <n v="430.1"/>
    <n v="22.43"/>
    <n v="6"/>
    <n v="100113.82"/>
    <n v="1"/>
    <n v="100113.82"/>
    <n v="33228"/>
    <n v="163.47396427213988"/>
    <x v="3"/>
    <s v="Good"/>
    <s v="Very High"/>
  </r>
  <r>
    <n v="652"/>
    <x v="7"/>
    <n v="2023"/>
    <n v="170593"/>
    <x v="2"/>
    <x v="0"/>
    <x v="1"/>
    <n v="2655"/>
    <n v="446.2"/>
    <n v="19"/>
    <n v="2"/>
    <n v="8765.02"/>
    <n v="1"/>
    <n v="8765.02"/>
    <n v="170593"/>
    <n v="168.06026365348401"/>
    <x v="3"/>
    <s v="Average"/>
    <s v="Very High"/>
  </r>
  <r>
    <n v="653"/>
    <x v="9"/>
    <n v="2018"/>
    <n v="127788"/>
    <x v="2"/>
    <x v="0"/>
    <x v="2"/>
    <n v="1974"/>
    <n v="508.4"/>
    <n v="14.66"/>
    <n v="5"/>
    <n v="102735.35"/>
    <n v="6"/>
    <n v="17122.558333333334"/>
    <n v="21298"/>
    <n v="257.54812563323202"/>
    <x v="1"/>
    <s v="Low"/>
    <s v="Very High"/>
  </r>
  <r>
    <n v="654"/>
    <x v="5"/>
    <n v="2008"/>
    <n v="102239"/>
    <x v="0"/>
    <x v="1"/>
    <x v="1"/>
    <n v="4540"/>
    <n v="585.70000000000005"/>
    <n v="15.51"/>
    <n v="5"/>
    <n v="67162.91"/>
    <n v="16"/>
    <n v="4197.6818750000002"/>
    <n v="6389.9375"/>
    <n v="129.00881057268722"/>
    <x v="0"/>
    <s v="Average"/>
    <s v="Very High"/>
  </r>
  <r>
    <n v="655"/>
    <x v="8"/>
    <n v="2017"/>
    <n v="31928"/>
    <x v="3"/>
    <x v="0"/>
    <x v="1"/>
    <n v="4077"/>
    <n v="586.29999999999995"/>
    <n v="19.05"/>
    <n v="7"/>
    <n v="26085.73"/>
    <n v="7"/>
    <n v="3726.5328571428572"/>
    <n v="4561.1428571428569"/>
    <n v="143.80672062791268"/>
    <x v="1"/>
    <s v="Average"/>
    <s v="Very High"/>
  </r>
  <r>
    <n v="656"/>
    <x v="3"/>
    <n v="2012"/>
    <n v="23322"/>
    <x v="2"/>
    <x v="1"/>
    <x v="1"/>
    <n v="978"/>
    <n v="76.599999999999994"/>
    <n v="5.15"/>
    <n v="5"/>
    <n v="40118.86"/>
    <n v="12"/>
    <n v="3343.2383333333332"/>
    <n v="1943.5"/>
    <n v="78.323108384458067"/>
    <x v="2"/>
    <s v="Low"/>
    <s v="Low"/>
  </r>
  <r>
    <n v="657"/>
    <x v="0"/>
    <n v="2023"/>
    <n v="193786"/>
    <x v="3"/>
    <x v="0"/>
    <x v="1"/>
    <n v="3044"/>
    <n v="500.2"/>
    <n v="6.96"/>
    <n v="7"/>
    <n v="35985.760000000002"/>
    <n v="1"/>
    <n v="35985.760000000002"/>
    <n v="193786"/>
    <n v="164.32325886990802"/>
    <x v="3"/>
    <s v="Low"/>
    <s v="Very High"/>
  </r>
  <r>
    <n v="658"/>
    <x v="6"/>
    <n v="2016"/>
    <n v="92896"/>
    <x v="3"/>
    <x v="0"/>
    <x v="0"/>
    <n v="4886"/>
    <n v="401.9"/>
    <n v="27.03"/>
    <n v="2"/>
    <n v="65110.51"/>
    <n v="8"/>
    <n v="8138.8137500000003"/>
    <n v="11612"/>
    <n v="82.25542365943511"/>
    <x v="2"/>
    <s v="Excellent"/>
    <s v="Very High"/>
  </r>
  <r>
    <n v="659"/>
    <x v="8"/>
    <n v="2022"/>
    <n v="67292"/>
    <x v="1"/>
    <x v="1"/>
    <x v="2"/>
    <n v="1534"/>
    <n v="402.5"/>
    <n v="6.95"/>
    <n v="2"/>
    <n v="9047.2199999999993"/>
    <n v="2"/>
    <n v="4523.6099999999997"/>
    <n v="33646"/>
    <n v="262.38591916558016"/>
    <x v="3"/>
    <s v="Low"/>
    <s v="Very High"/>
  </r>
  <r>
    <n v="660"/>
    <x v="3"/>
    <n v="2010"/>
    <n v="34055"/>
    <x v="0"/>
    <x v="1"/>
    <x v="1"/>
    <n v="1598"/>
    <n v="111.9"/>
    <n v="22.67"/>
    <n v="6"/>
    <n v="21548.73"/>
    <n v="14"/>
    <n v="1539.1949999999999"/>
    <n v="2432.5"/>
    <n v="70.025031289111382"/>
    <x v="0"/>
    <s v="Good"/>
    <s v="Medium"/>
  </r>
  <r>
    <n v="661"/>
    <x v="3"/>
    <n v="2022"/>
    <n v="47891"/>
    <x v="0"/>
    <x v="1"/>
    <x v="2"/>
    <n v="1587"/>
    <n v="404.1"/>
    <n v="28"/>
    <n v="7"/>
    <n v="98085.09"/>
    <n v="2"/>
    <n v="49042.544999999998"/>
    <n v="23945.5"/>
    <n v="254.63137996219282"/>
    <x v="3"/>
    <s v="Excellent"/>
    <s v="Very High"/>
  </r>
  <r>
    <n v="662"/>
    <x v="6"/>
    <n v="2023"/>
    <n v="86912"/>
    <x v="0"/>
    <x v="1"/>
    <x v="2"/>
    <n v="3595"/>
    <n v="590.20000000000005"/>
    <n v="11.77"/>
    <n v="7"/>
    <n v="18514.669999999998"/>
    <n v="1"/>
    <n v="18514.669999999998"/>
    <n v="86912"/>
    <n v="164.17246175243395"/>
    <x v="3"/>
    <s v="Low"/>
    <s v="Very High"/>
  </r>
  <r>
    <n v="663"/>
    <x v="5"/>
    <n v="2009"/>
    <n v="142660"/>
    <x v="1"/>
    <x v="1"/>
    <x v="2"/>
    <n v="3884"/>
    <n v="550.6"/>
    <n v="14.26"/>
    <n v="4"/>
    <n v="30307.360000000001"/>
    <n v="15"/>
    <n v="2020.4906666666668"/>
    <n v="9510.6666666666661"/>
    <n v="141.76107106076211"/>
    <x v="0"/>
    <s v="Low"/>
    <s v="Very High"/>
  </r>
  <r>
    <n v="664"/>
    <x v="3"/>
    <n v="2013"/>
    <n v="95536"/>
    <x v="1"/>
    <x v="0"/>
    <x v="1"/>
    <n v="3718"/>
    <n v="285.89999999999998"/>
    <n v="19.22"/>
    <n v="4"/>
    <n v="56044.36"/>
    <n v="11"/>
    <n v="5094.9418181818182"/>
    <n v="8685.0909090909099"/>
    <n v="76.896180742334579"/>
    <x v="2"/>
    <s v="Average"/>
    <s v="Very High"/>
  </r>
  <r>
    <n v="665"/>
    <x v="0"/>
    <n v="2007"/>
    <n v="11304"/>
    <x v="0"/>
    <x v="0"/>
    <x v="0"/>
    <n v="1531"/>
    <n v="62.4"/>
    <n v="27.04"/>
    <n v="6"/>
    <n v="63503.14"/>
    <n v="17"/>
    <n v="3735.4788235294118"/>
    <n v="664.94117647058829"/>
    <n v="40.757674722403657"/>
    <x v="0"/>
    <s v="Excellent"/>
    <s v="Low"/>
  </r>
  <r>
    <n v="666"/>
    <x v="3"/>
    <n v="2014"/>
    <n v="12345"/>
    <x v="1"/>
    <x v="1"/>
    <x v="1"/>
    <n v="1929"/>
    <n v="242.9"/>
    <n v="28.55"/>
    <n v="2"/>
    <n v="92342.43"/>
    <n v="10"/>
    <n v="9234.2429999999986"/>
    <n v="1234.5"/>
    <n v="125.92016588906169"/>
    <x v="2"/>
    <s v="Excellent"/>
    <s v="Very High"/>
  </r>
  <r>
    <n v="667"/>
    <x v="3"/>
    <n v="2023"/>
    <n v="165372"/>
    <x v="1"/>
    <x v="0"/>
    <x v="2"/>
    <n v="4246"/>
    <n v="502.8"/>
    <n v="23.49"/>
    <n v="4"/>
    <n v="55337.89"/>
    <n v="1"/>
    <n v="55337.89"/>
    <n v="165372"/>
    <n v="118.41733396137541"/>
    <x v="3"/>
    <s v="Good"/>
    <s v="Very High"/>
  </r>
  <r>
    <n v="668"/>
    <x v="3"/>
    <n v="2007"/>
    <n v="160331"/>
    <x v="1"/>
    <x v="0"/>
    <x v="2"/>
    <n v="2405"/>
    <n v="432.8"/>
    <n v="7.17"/>
    <n v="5"/>
    <n v="95414.16"/>
    <n v="17"/>
    <n v="5612.5976470588239"/>
    <n v="9431.2352941176468"/>
    <n v="179.95841995841997"/>
    <x v="0"/>
    <s v="Low"/>
    <s v="Very High"/>
  </r>
  <r>
    <n v="669"/>
    <x v="4"/>
    <n v="2019"/>
    <n v="96006"/>
    <x v="0"/>
    <x v="0"/>
    <x v="0"/>
    <n v="4578"/>
    <n v="297.2"/>
    <n v="21.73"/>
    <n v="2"/>
    <n v="75346.52"/>
    <n v="5"/>
    <n v="15069.304"/>
    <n v="19201.2"/>
    <n v="64.919178680646567"/>
    <x v="1"/>
    <s v="Good"/>
    <s v="Very High"/>
  </r>
  <r>
    <n v="670"/>
    <x v="4"/>
    <n v="2005"/>
    <n v="151424"/>
    <x v="0"/>
    <x v="1"/>
    <x v="1"/>
    <n v="3545"/>
    <n v="70.900000000000006"/>
    <n v="15.26"/>
    <n v="5"/>
    <n v="16232.67"/>
    <n v="19"/>
    <n v="854.35105263157891"/>
    <n v="7969.6842105263158"/>
    <n v="20.000000000000004"/>
    <x v="0"/>
    <s v="Average"/>
    <s v="Low"/>
  </r>
  <r>
    <n v="671"/>
    <x v="5"/>
    <n v="2011"/>
    <n v="134350"/>
    <x v="0"/>
    <x v="0"/>
    <x v="2"/>
    <n v="3970"/>
    <n v="279.10000000000002"/>
    <n v="16.77"/>
    <n v="7"/>
    <n v="21290.78"/>
    <n v="13"/>
    <n v="1637.7523076923076"/>
    <n v="10334.615384615385"/>
    <n v="70.302267002518889"/>
    <x v="0"/>
    <s v="Average"/>
    <s v="Very High"/>
  </r>
  <r>
    <n v="672"/>
    <x v="8"/>
    <n v="2016"/>
    <n v="169437"/>
    <x v="1"/>
    <x v="0"/>
    <x v="0"/>
    <n v="3733"/>
    <n v="302.7"/>
    <n v="6.23"/>
    <n v="2"/>
    <n v="54132.95"/>
    <n v="8"/>
    <n v="6766.6187499999996"/>
    <n v="21179.625"/>
    <n v="81.087597106884544"/>
    <x v="2"/>
    <s v="Low"/>
    <s v="Very High"/>
  </r>
  <r>
    <n v="673"/>
    <x v="3"/>
    <n v="2021"/>
    <n v="24446"/>
    <x v="0"/>
    <x v="0"/>
    <x v="2"/>
    <n v="2015"/>
    <n v="560"/>
    <n v="9.7799999999999994"/>
    <n v="6"/>
    <n v="49436.06"/>
    <n v="3"/>
    <n v="16478.686666666665"/>
    <n v="8148.666666666667"/>
    <n v="277.91563275434243"/>
    <x v="3"/>
    <s v="Low"/>
    <s v="Very High"/>
  </r>
  <r>
    <n v="674"/>
    <x v="9"/>
    <n v="2024"/>
    <n v="7336"/>
    <x v="1"/>
    <x v="1"/>
    <x v="0"/>
    <n v="1124"/>
    <n v="399"/>
    <n v="24.76"/>
    <n v="7"/>
    <n v="89994.68"/>
    <n v="0"/>
    <n v="89994.68"/>
    <n v="7336"/>
    <n v="354.98220640569389"/>
    <x v="3"/>
    <s v="Good"/>
    <s v="Very High"/>
  </r>
  <r>
    <n v="675"/>
    <x v="8"/>
    <n v="2009"/>
    <n v="67032"/>
    <x v="2"/>
    <x v="0"/>
    <x v="0"/>
    <n v="2650"/>
    <n v="214.5"/>
    <n v="16.350000000000001"/>
    <n v="7"/>
    <n v="70946.25"/>
    <n v="15"/>
    <n v="4729.75"/>
    <n v="4468.8"/>
    <n v="80.943396226415103"/>
    <x v="0"/>
    <s v="Average"/>
    <s v="Very High"/>
  </r>
  <r>
    <n v="676"/>
    <x v="5"/>
    <n v="2008"/>
    <n v="102852"/>
    <x v="1"/>
    <x v="0"/>
    <x v="1"/>
    <n v="2290"/>
    <n v="334.2"/>
    <n v="12.54"/>
    <n v="5"/>
    <n v="48411.57"/>
    <n v="16"/>
    <n v="3025.723125"/>
    <n v="6428.25"/>
    <n v="145.93886462882097"/>
    <x v="0"/>
    <s v="Low"/>
    <s v="Very High"/>
  </r>
  <r>
    <n v="677"/>
    <x v="1"/>
    <n v="2016"/>
    <n v="143593"/>
    <x v="3"/>
    <x v="1"/>
    <x v="2"/>
    <n v="1693"/>
    <n v="77"/>
    <n v="14.6"/>
    <n v="7"/>
    <n v="22978.95"/>
    <n v="8"/>
    <n v="2872.3687500000001"/>
    <n v="17949.125"/>
    <n v="45.481393975191963"/>
    <x v="2"/>
    <s v="Low"/>
    <s v="Low"/>
  </r>
  <r>
    <n v="678"/>
    <x v="8"/>
    <n v="2024"/>
    <n v="159553"/>
    <x v="0"/>
    <x v="1"/>
    <x v="1"/>
    <n v="2190"/>
    <n v="584.6"/>
    <n v="26.36"/>
    <n v="4"/>
    <n v="29539.94"/>
    <n v="0"/>
    <n v="29539.94"/>
    <n v="159553"/>
    <n v="266.9406392694064"/>
    <x v="3"/>
    <s v="Excellent"/>
    <s v="Very High"/>
  </r>
  <r>
    <n v="679"/>
    <x v="8"/>
    <n v="2022"/>
    <n v="23474"/>
    <x v="0"/>
    <x v="0"/>
    <x v="2"/>
    <n v="4189"/>
    <n v="241.6"/>
    <n v="23.72"/>
    <n v="2"/>
    <n v="70333.62"/>
    <n v="2"/>
    <n v="35166.81"/>
    <n v="11737"/>
    <n v="57.674862735736447"/>
    <x v="3"/>
    <s v="Good"/>
    <s v="Very High"/>
  </r>
  <r>
    <n v="680"/>
    <x v="2"/>
    <n v="2021"/>
    <n v="182832"/>
    <x v="3"/>
    <x v="0"/>
    <x v="1"/>
    <n v="3063"/>
    <n v="307.60000000000002"/>
    <n v="11.81"/>
    <n v="4"/>
    <n v="52542.34"/>
    <n v="3"/>
    <n v="17514.113333333331"/>
    <n v="60944"/>
    <n v="100.42442050277506"/>
    <x v="3"/>
    <s v="Low"/>
    <s v="Very High"/>
  </r>
  <r>
    <n v="681"/>
    <x v="7"/>
    <n v="2023"/>
    <n v="60718"/>
    <x v="1"/>
    <x v="1"/>
    <x v="2"/>
    <n v="4232"/>
    <n v="239"/>
    <n v="7.94"/>
    <n v="5"/>
    <n v="63246.52"/>
    <n v="1"/>
    <n v="63246.52"/>
    <n v="60718"/>
    <n v="56.474480151228732"/>
    <x v="3"/>
    <s v="Low"/>
    <s v="Very High"/>
  </r>
  <r>
    <n v="682"/>
    <x v="2"/>
    <n v="2013"/>
    <n v="49629"/>
    <x v="2"/>
    <x v="1"/>
    <x v="1"/>
    <n v="3171"/>
    <n v="422.2"/>
    <n v="11.3"/>
    <n v="5"/>
    <n v="22969.26"/>
    <n v="11"/>
    <n v="2088.1145454545454"/>
    <n v="4511.727272727273"/>
    <n v="133.14411857458217"/>
    <x v="2"/>
    <s v="Low"/>
    <s v="Very High"/>
  </r>
  <r>
    <n v="683"/>
    <x v="0"/>
    <n v="2008"/>
    <n v="50232"/>
    <x v="3"/>
    <x v="1"/>
    <x v="0"/>
    <n v="3886"/>
    <n v="410.9"/>
    <n v="28.02"/>
    <n v="2"/>
    <n v="80560.03"/>
    <n v="16"/>
    <n v="5035.0018749999999"/>
    <n v="3139.5"/>
    <n v="105.73854863612969"/>
    <x v="0"/>
    <s v="Excellent"/>
    <s v="Very High"/>
  </r>
  <r>
    <n v="684"/>
    <x v="4"/>
    <n v="2006"/>
    <n v="91544"/>
    <x v="3"/>
    <x v="1"/>
    <x v="2"/>
    <n v="2315"/>
    <n v="440.6"/>
    <n v="19.54"/>
    <n v="7"/>
    <n v="102747.03"/>
    <n v="18"/>
    <n v="5708.1683333333331"/>
    <n v="5085.7777777777774"/>
    <n v="190.32397408207345"/>
    <x v="0"/>
    <s v="Average"/>
    <s v="Very High"/>
  </r>
  <r>
    <n v="685"/>
    <x v="4"/>
    <n v="2008"/>
    <n v="55669"/>
    <x v="1"/>
    <x v="1"/>
    <x v="2"/>
    <n v="3717"/>
    <n v="190.2"/>
    <n v="18.34"/>
    <n v="6"/>
    <n v="33178.92"/>
    <n v="16"/>
    <n v="2073.6824999999999"/>
    <n v="3479.3125"/>
    <n v="51.170298627925746"/>
    <x v="0"/>
    <s v="Average"/>
    <s v="High"/>
  </r>
  <r>
    <n v="686"/>
    <x v="7"/>
    <n v="2006"/>
    <n v="74184"/>
    <x v="0"/>
    <x v="1"/>
    <x v="0"/>
    <n v="3152"/>
    <n v="216.8"/>
    <n v="19.91"/>
    <n v="5"/>
    <n v="60507.16"/>
    <n v="18"/>
    <n v="3361.508888888889"/>
    <n v="4121.333333333333"/>
    <n v="68.781725888324871"/>
    <x v="0"/>
    <s v="Average"/>
    <s v="Very High"/>
  </r>
  <r>
    <n v="687"/>
    <x v="6"/>
    <n v="2019"/>
    <n v="184017"/>
    <x v="1"/>
    <x v="1"/>
    <x v="1"/>
    <n v="1967"/>
    <n v="110.1"/>
    <n v="14.15"/>
    <n v="2"/>
    <n v="117136.7"/>
    <n v="5"/>
    <n v="23427.34"/>
    <n v="36803.4"/>
    <n v="55.973563802745289"/>
    <x v="1"/>
    <s v="Low"/>
    <s v="Medium"/>
  </r>
  <r>
    <n v="688"/>
    <x v="6"/>
    <n v="2006"/>
    <n v="18140"/>
    <x v="3"/>
    <x v="0"/>
    <x v="2"/>
    <n v="910"/>
    <n v="407.1"/>
    <n v="25.18"/>
    <n v="6"/>
    <n v="41989.279999999999"/>
    <n v="18"/>
    <n v="2332.7377777777779"/>
    <n v="1007.7777777777778"/>
    <n v="447.36263736263737"/>
    <x v="0"/>
    <s v="Excellent"/>
    <s v="Very High"/>
  </r>
  <r>
    <n v="689"/>
    <x v="5"/>
    <n v="2008"/>
    <n v="131468"/>
    <x v="3"/>
    <x v="1"/>
    <x v="2"/>
    <n v="4455"/>
    <n v="62.3"/>
    <n v="18.079999999999998"/>
    <n v="7"/>
    <n v="72620.42"/>
    <n v="16"/>
    <n v="4538.7762499999999"/>
    <n v="8216.75"/>
    <n v="13.98428731762065"/>
    <x v="0"/>
    <s v="Average"/>
    <s v="Low"/>
  </r>
  <r>
    <n v="690"/>
    <x v="7"/>
    <n v="2010"/>
    <n v="88457"/>
    <x v="0"/>
    <x v="1"/>
    <x v="1"/>
    <n v="4593"/>
    <n v="374.7"/>
    <n v="7.92"/>
    <n v="5"/>
    <n v="13552.9"/>
    <n v="14"/>
    <n v="968.06428571428569"/>
    <n v="6318.3571428571431"/>
    <n v="81.580666231221429"/>
    <x v="0"/>
    <s v="Low"/>
    <s v="Very High"/>
  </r>
  <r>
    <n v="691"/>
    <x v="8"/>
    <n v="2011"/>
    <n v="19357"/>
    <x v="0"/>
    <x v="0"/>
    <x v="0"/>
    <n v="2555"/>
    <n v="527"/>
    <n v="8.23"/>
    <n v="2"/>
    <n v="73903.759999999995"/>
    <n v="13"/>
    <n v="5684.9046153846148"/>
    <n v="1489"/>
    <n v="206.26223091976516"/>
    <x v="0"/>
    <s v="Low"/>
    <s v="Very High"/>
  </r>
  <r>
    <n v="692"/>
    <x v="6"/>
    <n v="2014"/>
    <n v="116672"/>
    <x v="0"/>
    <x v="1"/>
    <x v="1"/>
    <n v="2377"/>
    <n v="538.9"/>
    <n v="18.420000000000002"/>
    <n v="2"/>
    <n v="13486.92"/>
    <n v="10"/>
    <n v="1348.692"/>
    <n v="11667.2"/>
    <n v="226.71434581405134"/>
    <x v="2"/>
    <s v="Average"/>
    <s v="Very High"/>
  </r>
  <r>
    <n v="693"/>
    <x v="3"/>
    <n v="2023"/>
    <n v="73673"/>
    <x v="1"/>
    <x v="1"/>
    <x v="1"/>
    <n v="2096"/>
    <n v="291.5"/>
    <n v="28.41"/>
    <n v="2"/>
    <n v="115230.55"/>
    <n v="1"/>
    <n v="115230.55"/>
    <n v="73673"/>
    <n v="139.07442748091603"/>
    <x v="3"/>
    <s v="Excellent"/>
    <s v="Very High"/>
  </r>
  <r>
    <n v="694"/>
    <x v="9"/>
    <n v="2023"/>
    <n v="126673"/>
    <x v="0"/>
    <x v="0"/>
    <x v="1"/>
    <n v="4574"/>
    <n v="297.2"/>
    <n v="12.71"/>
    <n v="5"/>
    <n v="86732.53"/>
    <n v="1"/>
    <n v="86732.53"/>
    <n v="126673"/>
    <n v="64.975951027546998"/>
    <x v="3"/>
    <s v="Low"/>
    <s v="Very High"/>
  </r>
  <r>
    <n v="695"/>
    <x v="8"/>
    <n v="2016"/>
    <n v="70633"/>
    <x v="3"/>
    <x v="1"/>
    <x v="2"/>
    <n v="3020"/>
    <n v="83.1"/>
    <n v="26.74"/>
    <n v="6"/>
    <n v="95214.7"/>
    <n v="8"/>
    <n v="11901.8375"/>
    <n v="8829.125"/>
    <n v="27.516556291390728"/>
    <x v="2"/>
    <s v="Excellent"/>
    <s v="Low"/>
  </r>
  <r>
    <n v="696"/>
    <x v="0"/>
    <n v="2007"/>
    <n v="101111"/>
    <x v="3"/>
    <x v="0"/>
    <x v="0"/>
    <n v="1772"/>
    <n v="415.6"/>
    <n v="24.1"/>
    <n v="2"/>
    <n v="85380.21"/>
    <n v="17"/>
    <n v="5022.3652941176479"/>
    <n v="5947.7058823529414"/>
    <n v="234.53724604966141"/>
    <x v="0"/>
    <s v="Good"/>
    <s v="Very High"/>
  </r>
  <r>
    <n v="697"/>
    <x v="3"/>
    <n v="2017"/>
    <n v="83258"/>
    <x v="2"/>
    <x v="0"/>
    <x v="0"/>
    <n v="1830"/>
    <n v="499.9"/>
    <n v="11.2"/>
    <n v="7"/>
    <n v="71998.3"/>
    <n v="7"/>
    <n v="10285.471428571429"/>
    <n v="11894"/>
    <n v="273.16939890710381"/>
    <x v="1"/>
    <s v="Low"/>
    <s v="Very High"/>
  </r>
  <r>
    <n v="698"/>
    <x v="3"/>
    <n v="2022"/>
    <n v="148996"/>
    <x v="1"/>
    <x v="0"/>
    <x v="1"/>
    <n v="3393"/>
    <n v="177"/>
    <n v="5.91"/>
    <n v="2"/>
    <n v="55639.8"/>
    <n v="2"/>
    <n v="27819.9"/>
    <n v="74498"/>
    <n v="52.166224580017683"/>
    <x v="3"/>
    <s v="Low"/>
    <s v="High"/>
  </r>
  <r>
    <n v="699"/>
    <x v="7"/>
    <n v="2012"/>
    <n v="74286"/>
    <x v="2"/>
    <x v="0"/>
    <x v="2"/>
    <n v="4792"/>
    <n v="275.89999999999998"/>
    <n v="7.55"/>
    <n v="6"/>
    <n v="103429.69"/>
    <n v="12"/>
    <n v="8619.1408333333329"/>
    <n v="6190.5"/>
    <n v="57.575125208681129"/>
    <x v="2"/>
    <s v="Low"/>
    <s v="Very High"/>
  </r>
  <r>
    <n v="700"/>
    <x v="5"/>
    <n v="2019"/>
    <n v="98269"/>
    <x v="3"/>
    <x v="1"/>
    <x v="1"/>
    <n v="1713"/>
    <n v="509.8"/>
    <n v="23.21"/>
    <n v="5"/>
    <n v="114949.77"/>
    <n v="5"/>
    <n v="22989.954000000002"/>
    <n v="19653.8"/>
    <n v="297.60653823701108"/>
    <x v="1"/>
    <s v="Good"/>
    <s v="Very High"/>
  </r>
  <r>
    <n v="701"/>
    <x v="0"/>
    <n v="2005"/>
    <n v="79071"/>
    <x v="2"/>
    <x v="0"/>
    <x v="2"/>
    <n v="2981"/>
    <n v="531.20000000000005"/>
    <n v="9.99"/>
    <n v="2"/>
    <n v="61387.23"/>
    <n v="19"/>
    <n v="3230.9068421052634"/>
    <n v="4161.6315789473683"/>
    <n v="178.19523649781954"/>
    <x v="0"/>
    <s v="Low"/>
    <s v="Very High"/>
  </r>
  <r>
    <n v="702"/>
    <x v="6"/>
    <n v="2007"/>
    <n v="193398"/>
    <x v="3"/>
    <x v="0"/>
    <x v="2"/>
    <n v="3997"/>
    <n v="176.2"/>
    <n v="14.28"/>
    <n v="2"/>
    <n v="111989.6"/>
    <n v="17"/>
    <n v="6587.623529411765"/>
    <n v="11376.35294117647"/>
    <n v="44.083062296722538"/>
    <x v="0"/>
    <s v="Low"/>
    <s v="High"/>
  </r>
  <r>
    <n v="703"/>
    <x v="7"/>
    <n v="2012"/>
    <n v="35651"/>
    <x v="2"/>
    <x v="1"/>
    <x v="2"/>
    <n v="2262"/>
    <n v="348.3"/>
    <n v="17.54"/>
    <n v="7"/>
    <n v="71249.95"/>
    <n v="12"/>
    <n v="5937.4958333333334"/>
    <n v="2970.9166666666665"/>
    <n v="153.9787798408488"/>
    <x v="2"/>
    <s v="Average"/>
    <s v="Very High"/>
  </r>
  <r>
    <n v="704"/>
    <x v="6"/>
    <n v="2008"/>
    <n v="75202"/>
    <x v="0"/>
    <x v="0"/>
    <x v="2"/>
    <n v="3178"/>
    <n v="147.80000000000001"/>
    <n v="23.14"/>
    <n v="7"/>
    <n v="65990.95"/>
    <n v="16"/>
    <n v="4124.4343749999998"/>
    <n v="4700.125"/>
    <n v="46.507237256135937"/>
    <x v="0"/>
    <s v="Good"/>
    <s v="Medium"/>
  </r>
  <r>
    <n v="705"/>
    <x v="7"/>
    <n v="2020"/>
    <n v="53777"/>
    <x v="2"/>
    <x v="0"/>
    <x v="0"/>
    <n v="4254"/>
    <n v="97.1"/>
    <n v="7.83"/>
    <n v="2"/>
    <n v="56174.48"/>
    <n v="4"/>
    <n v="14043.62"/>
    <n v="13444.25"/>
    <n v="22.825575928537848"/>
    <x v="1"/>
    <s v="Low"/>
    <s v="Low"/>
  </r>
  <r>
    <n v="706"/>
    <x v="7"/>
    <n v="2014"/>
    <n v="153066"/>
    <x v="0"/>
    <x v="0"/>
    <x v="2"/>
    <n v="4353"/>
    <n v="550.20000000000005"/>
    <n v="15.16"/>
    <n v="2"/>
    <n v="27486.67"/>
    <n v="10"/>
    <n v="2748.6669999999999"/>
    <n v="15306.6"/>
    <n v="126.39558924879395"/>
    <x v="2"/>
    <s v="Average"/>
    <s v="Very High"/>
  </r>
  <r>
    <n v="707"/>
    <x v="7"/>
    <n v="2016"/>
    <n v="72263"/>
    <x v="0"/>
    <x v="0"/>
    <x v="2"/>
    <n v="2107"/>
    <n v="499.5"/>
    <n v="17.13"/>
    <n v="7"/>
    <n v="3435.2"/>
    <n v="8"/>
    <n v="429.4"/>
    <n v="9032.875"/>
    <n v="237.06691979117227"/>
    <x v="2"/>
    <s v="Average"/>
    <s v="Very High"/>
  </r>
  <r>
    <n v="708"/>
    <x v="5"/>
    <n v="2018"/>
    <n v="195706"/>
    <x v="1"/>
    <x v="1"/>
    <x v="1"/>
    <n v="1989"/>
    <n v="465.6"/>
    <n v="18.52"/>
    <n v="6"/>
    <n v="31256.23"/>
    <n v="6"/>
    <n v="5209.3716666666669"/>
    <n v="32617.666666666668"/>
    <n v="234.08748114630467"/>
    <x v="1"/>
    <s v="Average"/>
    <s v="Very High"/>
  </r>
  <r>
    <n v="709"/>
    <x v="7"/>
    <n v="2018"/>
    <n v="105158"/>
    <x v="0"/>
    <x v="0"/>
    <x v="1"/>
    <n v="1487"/>
    <n v="67.3"/>
    <n v="25.46"/>
    <n v="4"/>
    <n v="62637.61"/>
    <n v="6"/>
    <n v="10439.601666666667"/>
    <n v="17526.333333333332"/>
    <n v="45.258910558170811"/>
    <x v="1"/>
    <s v="Excellent"/>
    <s v="Low"/>
  </r>
  <r>
    <n v="710"/>
    <x v="1"/>
    <n v="2006"/>
    <n v="15800"/>
    <x v="0"/>
    <x v="1"/>
    <x v="0"/>
    <n v="2007"/>
    <n v="512.5"/>
    <n v="9.2899999999999991"/>
    <n v="4"/>
    <n v="47455.31"/>
    <n v="18"/>
    <n v="2636.4061111111109"/>
    <n v="877.77777777777783"/>
    <n v="255.35625311410064"/>
    <x v="0"/>
    <s v="Low"/>
    <s v="Very High"/>
  </r>
  <r>
    <n v="711"/>
    <x v="9"/>
    <n v="2009"/>
    <n v="42823"/>
    <x v="2"/>
    <x v="1"/>
    <x v="1"/>
    <n v="2694"/>
    <n v="285.3"/>
    <n v="25.2"/>
    <n v="2"/>
    <n v="55472.77"/>
    <n v="15"/>
    <n v="3698.1846666666665"/>
    <n v="2854.8666666666668"/>
    <n v="105.90200445434299"/>
    <x v="0"/>
    <s v="Excellent"/>
    <s v="Very High"/>
  </r>
  <r>
    <n v="712"/>
    <x v="6"/>
    <n v="2009"/>
    <n v="68878"/>
    <x v="3"/>
    <x v="0"/>
    <x v="2"/>
    <n v="2611"/>
    <n v="231.7"/>
    <n v="22.32"/>
    <n v="7"/>
    <n v="117735.84"/>
    <n v="15"/>
    <n v="7849.0559999999996"/>
    <n v="4591.8666666666668"/>
    <n v="88.739946380697035"/>
    <x v="0"/>
    <s v="Good"/>
    <s v="Very High"/>
  </r>
  <r>
    <n v="713"/>
    <x v="8"/>
    <n v="2010"/>
    <n v="23708"/>
    <x v="1"/>
    <x v="0"/>
    <x v="1"/>
    <n v="3983"/>
    <n v="346"/>
    <n v="18.899999999999999"/>
    <n v="5"/>
    <n v="43981.87"/>
    <n v="14"/>
    <n v="3141.562142857143"/>
    <n v="1693.4285714285713"/>
    <n v="86.869194074817969"/>
    <x v="0"/>
    <s v="Average"/>
    <s v="Very High"/>
  </r>
  <r>
    <n v="714"/>
    <x v="2"/>
    <n v="2017"/>
    <n v="148891"/>
    <x v="0"/>
    <x v="0"/>
    <x v="0"/>
    <n v="4597"/>
    <n v="91.2"/>
    <n v="22.49"/>
    <n v="5"/>
    <n v="55905.4"/>
    <n v="7"/>
    <n v="7986.4857142857145"/>
    <n v="21270.142857142859"/>
    <n v="19.839025451381335"/>
    <x v="1"/>
    <s v="Good"/>
    <s v="Low"/>
  </r>
  <r>
    <n v="715"/>
    <x v="0"/>
    <n v="2013"/>
    <n v="68870"/>
    <x v="1"/>
    <x v="0"/>
    <x v="1"/>
    <n v="2444"/>
    <n v="463.7"/>
    <n v="15.3"/>
    <n v="4"/>
    <n v="18621.32"/>
    <n v="11"/>
    <n v="1692.8472727272726"/>
    <n v="6260.909090909091"/>
    <n v="189.72995090016366"/>
    <x v="2"/>
    <s v="Average"/>
    <s v="Very High"/>
  </r>
  <r>
    <n v="716"/>
    <x v="4"/>
    <n v="2019"/>
    <n v="14283"/>
    <x v="2"/>
    <x v="1"/>
    <x v="1"/>
    <n v="4768"/>
    <n v="366.2"/>
    <n v="8.4600000000000009"/>
    <n v="6"/>
    <n v="8611.0499999999993"/>
    <n v="5"/>
    <n v="1722.2099999999998"/>
    <n v="2856.6"/>
    <n v="76.803691275167793"/>
    <x v="1"/>
    <s v="Low"/>
    <s v="Very High"/>
  </r>
  <r>
    <n v="717"/>
    <x v="5"/>
    <n v="2018"/>
    <n v="166645"/>
    <x v="0"/>
    <x v="1"/>
    <x v="0"/>
    <n v="3516"/>
    <n v="144.5"/>
    <n v="21.64"/>
    <n v="4"/>
    <n v="93722.91"/>
    <n v="6"/>
    <n v="15620.485000000001"/>
    <n v="27774.166666666668"/>
    <n v="41.097838452787258"/>
    <x v="1"/>
    <s v="Good"/>
    <s v="Medium"/>
  </r>
  <r>
    <n v="718"/>
    <x v="8"/>
    <n v="2011"/>
    <n v="83707"/>
    <x v="2"/>
    <x v="1"/>
    <x v="0"/>
    <n v="990"/>
    <n v="145.4"/>
    <n v="18.12"/>
    <n v="2"/>
    <n v="69769.929999999993"/>
    <n v="13"/>
    <n v="5366.9176923076921"/>
    <n v="6439"/>
    <n v="146.86868686868686"/>
    <x v="0"/>
    <s v="Average"/>
    <s v="Medium"/>
  </r>
  <r>
    <n v="719"/>
    <x v="3"/>
    <n v="2024"/>
    <n v="167005"/>
    <x v="1"/>
    <x v="0"/>
    <x v="2"/>
    <n v="2135"/>
    <n v="143.19999999999999"/>
    <n v="20.98"/>
    <n v="6"/>
    <n v="92002.46"/>
    <n v="0"/>
    <n v="92002.46"/>
    <n v="167005"/>
    <n v="67.072599531615921"/>
    <x v="3"/>
    <s v="Good"/>
    <s v="Medium"/>
  </r>
  <r>
    <n v="720"/>
    <x v="1"/>
    <n v="2006"/>
    <n v="10774"/>
    <x v="2"/>
    <x v="1"/>
    <x v="1"/>
    <n v="3906"/>
    <n v="71.900000000000006"/>
    <n v="13.45"/>
    <n v="5"/>
    <n v="20533.95"/>
    <n v="18"/>
    <n v="1140.7750000000001"/>
    <n v="598.55555555555554"/>
    <n v="18.407578084997439"/>
    <x v="0"/>
    <s v="Low"/>
    <s v="Low"/>
  </r>
  <r>
    <n v="721"/>
    <x v="4"/>
    <n v="2011"/>
    <n v="147055"/>
    <x v="1"/>
    <x v="0"/>
    <x v="2"/>
    <n v="1178"/>
    <n v="369.2"/>
    <n v="27.67"/>
    <n v="7"/>
    <n v="69903.97"/>
    <n v="13"/>
    <n v="5377.2284615384615"/>
    <n v="11311.923076923076"/>
    <n v="313.41256366723263"/>
    <x v="0"/>
    <s v="Excellent"/>
    <s v="Very High"/>
  </r>
  <r>
    <n v="722"/>
    <x v="2"/>
    <n v="2010"/>
    <n v="101468"/>
    <x v="2"/>
    <x v="0"/>
    <x v="1"/>
    <n v="4629"/>
    <n v="510.6"/>
    <n v="19.68"/>
    <n v="7"/>
    <n v="32676.17"/>
    <n v="14"/>
    <n v="2334.0121428571429"/>
    <n v="7247.7142857142853"/>
    <n v="110.30460142579392"/>
    <x v="0"/>
    <s v="Average"/>
    <s v="Very High"/>
  </r>
  <r>
    <n v="723"/>
    <x v="8"/>
    <n v="2021"/>
    <n v="101334"/>
    <x v="1"/>
    <x v="0"/>
    <x v="1"/>
    <n v="1415"/>
    <n v="49.8"/>
    <n v="7.14"/>
    <n v="2"/>
    <n v="29683.23"/>
    <n v="3"/>
    <n v="9894.41"/>
    <n v="33778"/>
    <n v="35.194346289752644"/>
    <x v="3"/>
    <s v="Low"/>
    <s v="Low"/>
  </r>
  <r>
    <n v="724"/>
    <x v="4"/>
    <n v="2006"/>
    <n v="23133"/>
    <x v="3"/>
    <x v="0"/>
    <x v="2"/>
    <n v="3130"/>
    <n v="67.400000000000006"/>
    <n v="16.25"/>
    <n v="4"/>
    <n v="4348.54"/>
    <n v="18"/>
    <n v="241.58555555555554"/>
    <n v="1285.1666666666667"/>
    <n v="21.533546325878596"/>
    <x v="0"/>
    <s v="Average"/>
    <s v="Low"/>
  </r>
  <r>
    <n v="725"/>
    <x v="8"/>
    <n v="2007"/>
    <n v="151011"/>
    <x v="2"/>
    <x v="0"/>
    <x v="1"/>
    <n v="2554"/>
    <n v="360.8"/>
    <n v="23.91"/>
    <n v="2"/>
    <n v="18249.86"/>
    <n v="17"/>
    <n v="1073.5211764705882"/>
    <n v="8883"/>
    <n v="141.26859827721222"/>
    <x v="0"/>
    <s v="Good"/>
    <s v="Very High"/>
  </r>
  <r>
    <n v="726"/>
    <x v="1"/>
    <n v="2009"/>
    <n v="5781"/>
    <x v="2"/>
    <x v="1"/>
    <x v="1"/>
    <n v="1263"/>
    <n v="498.9"/>
    <n v="24.85"/>
    <n v="7"/>
    <n v="39184.370000000003"/>
    <n v="15"/>
    <n v="2612.2913333333336"/>
    <n v="385.4"/>
    <n v="395.01187648456056"/>
    <x v="0"/>
    <s v="Good"/>
    <s v="Very High"/>
  </r>
  <r>
    <n v="727"/>
    <x v="2"/>
    <n v="2009"/>
    <n v="119586"/>
    <x v="3"/>
    <x v="1"/>
    <x v="1"/>
    <n v="1766"/>
    <n v="223"/>
    <n v="17.36"/>
    <n v="5"/>
    <n v="16674.810000000001"/>
    <n v="15"/>
    <n v="1111.654"/>
    <n v="7972.4"/>
    <n v="126.27406568516422"/>
    <x v="0"/>
    <s v="Average"/>
    <s v="Very High"/>
  </r>
  <r>
    <n v="728"/>
    <x v="3"/>
    <n v="2005"/>
    <n v="192772"/>
    <x v="3"/>
    <x v="0"/>
    <x v="0"/>
    <n v="3958"/>
    <n v="235.8"/>
    <n v="27.37"/>
    <n v="7"/>
    <n v="118345.44"/>
    <n v="19"/>
    <n v="6228.7073684210527"/>
    <n v="10145.894736842105"/>
    <n v="59.575543203638205"/>
    <x v="0"/>
    <s v="Excellent"/>
    <s v="Very High"/>
  </r>
  <r>
    <n v="729"/>
    <x v="7"/>
    <n v="2012"/>
    <n v="32624"/>
    <x v="2"/>
    <x v="1"/>
    <x v="2"/>
    <n v="4424"/>
    <n v="374"/>
    <n v="11.69"/>
    <n v="6"/>
    <n v="39110.019999999997"/>
    <n v="12"/>
    <n v="3259.1683333333331"/>
    <n v="2718.6666666666665"/>
    <n v="84.538878842676297"/>
    <x v="2"/>
    <s v="Low"/>
    <s v="Very High"/>
  </r>
  <r>
    <n v="730"/>
    <x v="6"/>
    <n v="2016"/>
    <n v="11823"/>
    <x v="3"/>
    <x v="0"/>
    <x v="0"/>
    <n v="1489"/>
    <n v="193.6"/>
    <n v="15.26"/>
    <n v="7"/>
    <n v="18247.900000000001"/>
    <n v="8"/>
    <n v="2280.9875000000002"/>
    <n v="1477.875"/>
    <n v="130.02014775016789"/>
    <x v="2"/>
    <s v="Average"/>
    <s v="High"/>
  </r>
  <r>
    <n v="731"/>
    <x v="3"/>
    <n v="2008"/>
    <n v="23489"/>
    <x v="0"/>
    <x v="0"/>
    <x v="2"/>
    <n v="3422"/>
    <n v="54.9"/>
    <n v="27.46"/>
    <n v="7"/>
    <n v="26292.63"/>
    <n v="16"/>
    <n v="1643.2893750000001"/>
    <n v="1468.0625"/>
    <n v="16.043249561659845"/>
    <x v="0"/>
    <s v="Excellent"/>
    <s v="Low"/>
  </r>
  <r>
    <n v="732"/>
    <x v="7"/>
    <n v="2017"/>
    <n v="176033"/>
    <x v="1"/>
    <x v="0"/>
    <x v="2"/>
    <n v="3012"/>
    <n v="451.7"/>
    <n v="27.41"/>
    <n v="6"/>
    <n v="71761.279999999999"/>
    <n v="7"/>
    <n v="10251.611428571428"/>
    <n v="25147.571428571428"/>
    <n v="149.96679946879149"/>
    <x v="1"/>
    <s v="Excellent"/>
    <s v="Very High"/>
  </r>
  <r>
    <n v="733"/>
    <x v="5"/>
    <n v="2019"/>
    <n v="34118"/>
    <x v="1"/>
    <x v="1"/>
    <x v="1"/>
    <n v="1182"/>
    <n v="390.4"/>
    <n v="22.14"/>
    <n v="4"/>
    <n v="10493.09"/>
    <n v="5"/>
    <n v="2098.6179999999999"/>
    <n v="6823.6"/>
    <n v="330.28764805414551"/>
    <x v="1"/>
    <s v="Good"/>
    <s v="Very High"/>
  </r>
  <r>
    <n v="734"/>
    <x v="9"/>
    <n v="2015"/>
    <n v="105417"/>
    <x v="1"/>
    <x v="0"/>
    <x v="2"/>
    <n v="3056"/>
    <n v="365.2"/>
    <n v="26.47"/>
    <n v="7"/>
    <n v="103904.79"/>
    <n v="9"/>
    <n v="11544.976666666666"/>
    <n v="11713"/>
    <n v="119.50261780104711"/>
    <x v="2"/>
    <s v="Excellent"/>
    <s v="Very High"/>
  </r>
  <r>
    <n v="735"/>
    <x v="0"/>
    <n v="2014"/>
    <n v="86816"/>
    <x v="0"/>
    <x v="0"/>
    <x v="0"/>
    <n v="4610"/>
    <n v="455.3"/>
    <n v="7.22"/>
    <n v="2"/>
    <n v="115495.46"/>
    <n v="10"/>
    <n v="11549.546"/>
    <n v="8681.6"/>
    <n v="98.76355748373102"/>
    <x v="2"/>
    <s v="Low"/>
    <s v="Very High"/>
  </r>
  <r>
    <n v="736"/>
    <x v="0"/>
    <n v="2007"/>
    <n v="158335"/>
    <x v="3"/>
    <x v="1"/>
    <x v="0"/>
    <n v="4303"/>
    <n v="418.1"/>
    <n v="26.62"/>
    <n v="7"/>
    <n v="31869.45"/>
    <n v="17"/>
    <n v="1874.6735294117648"/>
    <n v="9313.823529411764"/>
    <n v="97.164768765977229"/>
    <x v="0"/>
    <s v="Excellent"/>
    <s v="Very High"/>
  </r>
  <r>
    <n v="737"/>
    <x v="6"/>
    <n v="2018"/>
    <n v="18565"/>
    <x v="3"/>
    <x v="1"/>
    <x v="0"/>
    <n v="2212"/>
    <n v="155.30000000000001"/>
    <n v="13.02"/>
    <n v="2"/>
    <n v="55661.15"/>
    <n v="6"/>
    <n v="9276.8583333333336"/>
    <n v="3094.1666666666665"/>
    <n v="70.207956600361669"/>
    <x v="1"/>
    <s v="Low"/>
    <s v="High"/>
  </r>
  <r>
    <n v="738"/>
    <x v="2"/>
    <n v="2020"/>
    <n v="156426"/>
    <x v="2"/>
    <x v="1"/>
    <x v="2"/>
    <n v="2383"/>
    <n v="237.4"/>
    <n v="9.4600000000000009"/>
    <n v="6"/>
    <n v="5589.73"/>
    <n v="4"/>
    <n v="1397.4324999999999"/>
    <n v="39106.5"/>
    <n v="99.622324800671421"/>
    <x v="1"/>
    <s v="Low"/>
    <s v="Very High"/>
  </r>
  <r>
    <n v="739"/>
    <x v="1"/>
    <n v="2014"/>
    <n v="179023"/>
    <x v="3"/>
    <x v="0"/>
    <x v="0"/>
    <n v="1171"/>
    <n v="110.6"/>
    <n v="10.98"/>
    <n v="7"/>
    <n v="77963.100000000006"/>
    <n v="10"/>
    <n v="7796.31"/>
    <n v="17902.3"/>
    <n v="94.449188727583248"/>
    <x v="2"/>
    <s v="Low"/>
    <s v="Medium"/>
  </r>
  <r>
    <n v="740"/>
    <x v="2"/>
    <n v="2014"/>
    <n v="96179"/>
    <x v="2"/>
    <x v="0"/>
    <x v="2"/>
    <n v="1410"/>
    <n v="112.7"/>
    <n v="15.45"/>
    <n v="6"/>
    <n v="51429.35"/>
    <n v="10"/>
    <n v="5142.9349999999995"/>
    <n v="9617.9"/>
    <n v="79.929078014184398"/>
    <x v="2"/>
    <s v="Average"/>
    <s v="Medium"/>
  </r>
  <r>
    <n v="741"/>
    <x v="1"/>
    <n v="2016"/>
    <n v="28648"/>
    <x v="0"/>
    <x v="1"/>
    <x v="0"/>
    <n v="915"/>
    <n v="418.7"/>
    <n v="11.28"/>
    <n v="6"/>
    <n v="34596.839999999997"/>
    <n v="8"/>
    <n v="4324.6049999999996"/>
    <n v="3581"/>
    <n v="457.5956284153005"/>
    <x v="2"/>
    <s v="Low"/>
    <s v="Very High"/>
  </r>
  <r>
    <n v="742"/>
    <x v="2"/>
    <n v="2013"/>
    <n v="186801"/>
    <x v="1"/>
    <x v="0"/>
    <x v="0"/>
    <n v="1246"/>
    <n v="520.79999999999995"/>
    <n v="13.01"/>
    <n v="4"/>
    <n v="27199.94"/>
    <n v="11"/>
    <n v="2472.721818181818"/>
    <n v="16981.909090909092"/>
    <n v="417.97752808988758"/>
    <x v="2"/>
    <s v="Low"/>
    <s v="Very High"/>
  </r>
  <r>
    <n v="743"/>
    <x v="9"/>
    <n v="2005"/>
    <n v="46971"/>
    <x v="1"/>
    <x v="1"/>
    <x v="2"/>
    <n v="2191"/>
    <n v="579.1"/>
    <n v="8.3699999999999992"/>
    <n v="7"/>
    <n v="79520.7"/>
    <n v="19"/>
    <n v="4185.3"/>
    <n v="2472.1578947368421"/>
    <n v="264.30853491556371"/>
    <x v="0"/>
    <s v="Low"/>
    <s v="Very High"/>
  </r>
  <r>
    <n v="744"/>
    <x v="5"/>
    <n v="2009"/>
    <n v="23658"/>
    <x v="1"/>
    <x v="1"/>
    <x v="0"/>
    <n v="4124"/>
    <n v="391.9"/>
    <n v="12.4"/>
    <n v="2"/>
    <n v="51697.39"/>
    <n v="15"/>
    <n v="3446.4926666666665"/>
    <n v="1577.2"/>
    <n v="95.029097963142576"/>
    <x v="0"/>
    <s v="Low"/>
    <s v="Very High"/>
  </r>
  <r>
    <n v="745"/>
    <x v="5"/>
    <n v="2024"/>
    <n v="26253"/>
    <x v="3"/>
    <x v="0"/>
    <x v="1"/>
    <n v="2140"/>
    <n v="143.1"/>
    <n v="19.309999999999999"/>
    <n v="2"/>
    <n v="24020.14"/>
    <n v="0"/>
    <n v="24020.14"/>
    <n v="26253"/>
    <n v="66.869158878504663"/>
    <x v="3"/>
    <s v="Average"/>
    <s v="Medium"/>
  </r>
  <r>
    <n v="746"/>
    <x v="7"/>
    <n v="2012"/>
    <n v="184635"/>
    <x v="2"/>
    <x v="0"/>
    <x v="2"/>
    <n v="3739"/>
    <n v="99.2"/>
    <n v="16.05"/>
    <n v="7"/>
    <n v="83625.759999999995"/>
    <n v="12"/>
    <n v="6968.8133333333326"/>
    <n v="15386.25"/>
    <n v="26.531158063653386"/>
    <x v="2"/>
    <s v="Average"/>
    <s v="Low"/>
  </r>
  <r>
    <n v="747"/>
    <x v="4"/>
    <n v="2015"/>
    <n v="162462"/>
    <x v="2"/>
    <x v="1"/>
    <x v="2"/>
    <n v="4499"/>
    <n v="495.2"/>
    <n v="13.67"/>
    <n v="4"/>
    <n v="69113.460000000006"/>
    <n v="9"/>
    <n v="7679.2733333333344"/>
    <n v="18051.333333333332"/>
    <n v="110.06890420093355"/>
    <x v="2"/>
    <s v="Low"/>
    <s v="Very High"/>
  </r>
  <r>
    <n v="748"/>
    <x v="5"/>
    <n v="2016"/>
    <n v="93664"/>
    <x v="0"/>
    <x v="1"/>
    <x v="2"/>
    <n v="1873"/>
    <n v="364.1"/>
    <n v="23.66"/>
    <n v="4"/>
    <n v="103464.63"/>
    <n v="8"/>
    <n v="12933.078750000001"/>
    <n v="11708"/>
    <n v="194.39402028830753"/>
    <x v="2"/>
    <s v="Good"/>
    <s v="Very High"/>
  </r>
  <r>
    <n v="749"/>
    <x v="5"/>
    <n v="2005"/>
    <n v="187650"/>
    <x v="3"/>
    <x v="1"/>
    <x v="1"/>
    <n v="4369"/>
    <n v="386.2"/>
    <n v="27.34"/>
    <n v="4"/>
    <n v="16744.68"/>
    <n v="19"/>
    <n v="881.29894736842107"/>
    <n v="9876.3157894736851"/>
    <n v="88.39551384756237"/>
    <x v="0"/>
    <s v="Excellent"/>
    <s v="Very High"/>
  </r>
  <r>
    <n v="750"/>
    <x v="3"/>
    <n v="2024"/>
    <n v="108850"/>
    <x v="0"/>
    <x v="1"/>
    <x v="2"/>
    <n v="3950"/>
    <n v="477.6"/>
    <n v="23.92"/>
    <n v="2"/>
    <n v="94922.99"/>
    <n v="0"/>
    <n v="94922.99"/>
    <n v="108850"/>
    <n v="120.9113924050633"/>
    <x v="3"/>
    <s v="Good"/>
    <s v="Very High"/>
  </r>
  <r>
    <n v="751"/>
    <x v="3"/>
    <n v="2015"/>
    <n v="168730"/>
    <x v="2"/>
    <x v="0"/>
    <x v="0"/>
    <n v="2405"/>
    <n v="433.8"/>
    <n v="13.3"/>
    <n v="6"/>
    <n v="81801.460000000006"/>
    <n v="9"/>
    <n v="9089.0511111111118"/>
    <n v="18747.777777777777"/>
    <n v="180.37422037422039"/>
    <x v="2"/>
    <s v="Low"/>
    <s v="Very High"/>
  </r>
  <r>
    <n v="752"/>
    <x v="7"/>
    <n v="2009"/>
    <n v="142924"/>
    <x v="2"/>
    <x v="1"/>
    <x v="0"/>
    <n v="3094"/>
    <n v="507.3"/>
    <n v="23.61"/>
    <n v="4"/>
    <n v="16456.28"/>
    <n v="15"/>
    <n v="1097.0853333333332"/>
    <n v="9528.2666666666664"/>
    <n v="163.96250808015515"/>
    <x v="0"/>
    <s v="Good"/>
    <s v="Very High"/>
  </r>
  <r>
    <n v="753"/>
    <x v="4"/>
    <n v="2019"/>
    <n v="138623"/>
    <x v="1"/>
    <x v="1"/>
    <x v="0"/>
    <n v="4462"/>
    <n v="71.5"/>
    <n v="8.8000000000000007"/>
    <n v="2"/>
    <n v="84294.03"/>
    <n v="5"/>
    <n v="16858.806"/>
    <n v="27724.6"/>
    <n v="16.024204392649036"/>
    <x v="1"/>
    <s v="Low"/>
    <s v="Low"/>
  </r>
  <r>
    <n v="754"/>
    <x v="6"/>
    <n v="2009"/>
    <n v="76947"/>
    <x v="3"/>
    <x v="1"/>
    <x v="2"/>
    <n v="1783"/>
    <n v="458.6"/>
    <n v="8.26"/>
    <n v="2"/>
    <n v="54661.03"/>
    <n v="15"/>
    <n v="3644.0686666666666"/>
    <n v="5129.8"/>
    <n v="257.20695457094786"/>
    <x v="0"/>
    <s v="Low"/>
    <s v="Very High"/>
  </r>
  <r>
    <n v="755"/>
    <x v="3"/>
    <n v="2016"/>
    <n v="66001"/>
    <x v="2"/>
    <x v="0"/>
    <x v="0"/>
    <n v="1151"/>
    <n v="516.5"/>
    <n v="13.64"/>
    <n v="6"/>
    <n v="113563.22"/>
    <n v="8"/>
    <n v="14195.4025"/>
    <n v="8250.125"/>
    <n v="448.74022589052998"/>
    <x v="2"/>
    <s v="Low"/>
    <s v="Very High"/>
  </r>
  <r>
    <n v="756"/>
    <x v="6"/>
    <n v="2009"/>
    <n v="185231"/>
    <x v="1"/>
    <x v="0"/>
    <x v="2"/>
    <n v="2524"/>
    <n v="200.2"/>
    <n v="25.19"/>
    <n v="7"/>
    <n v="19568.53"/>
    <n v="15"/>
    <n v="1304.5686666666666"/>
    <n v="12348.733333333334"/>
    <n v="79.318541996830419"/>
    <x v="0"/>
    <s v="Excellent"/>
    <s v="Very High"/>
  </r>
  <r>
    <n v="757"/>
    <x v="8"/>
    <n v="2021"/>
    <n v="127775"/>
    <x v="3"/>
    <x v="1"/>
    <x v="0"/>
    <n v="2751"/>
    <n v="398.7"/>
    <n v="11.16"/>
    <n v="7"/>
    <n v="78211.509999999995"/>
    <n v="3"/>
    <n v="26070.50333333333"/>
    <n v="42591.666666666664"/>
    <n v="144.92911668484189"/>
    <x v="3"/>
    <s v="Low"/>
    <s v="Very High"/>
  </r>
  <r>
    <n v="758"/>
    <x v="3"/>
    <n v="2021"/>
    <n v="187779"/>
    <x v="0"/>
    <x v="0"/>
    <x v="1"/>
    <n v="2079"/>
    <n v="215.9"/>
    <n v="6.58"/>
    <n v="4"/>
    <n v="47691.67"/>
    <n v="3"/>
    <n v="15897.223333333333"/>
    <n v="62593"/>
    <n v="103.84800384800384"/>
    <x v="3"/>
    <s v="Low"/>
    <s v="Very High"/>
  </r>
  <r>
    <n v="759"/>
    <x v="9"/>
    <n v="2016"/>
    <n v="38243"/>
    <x v="3"/>
    <x v="0"/>
    <x v="1"/>
    <n v="2707"/>
    <n v="576.5"/>
    <n v="8.2899999999999991"/>
    <n v="4"/>
    <n v="114947.32"/>
    <n v="8"/>
    <n v="14368.415000000001"/>
    <n v="4780.375"/>
    <n v="212.96638345031403"/>
    <x v="2"/>
    <s v="Low"/>
    <s v="Very High"/>
  </r>
  <r>
    <n v="760"/>
    <x v="4"/>
    <n v="2019"/>
    <n v="157872"/>
    <x v="3"/>
    <x v="0"/>
    <x v="1"/>
    <n v="1824"/>
    <n v="58.7"/>
    <n v="26.47"/>
    <n v="6"/>
    <n v="41607.06"/>
    <n v="5"/>
    <n v="8321.4120000000003"/>
    <n v="31574.400000000001"/>
    <n v="32.182017543859651"/>
    <x v="1"/>
    <s v="Excellent"/>
    <s v="Low"/>
  </r>
  <r>
    <n v="761"/>
    <x v="7"/>
    <n v="2019"/>
    <n v="80939"/>
    <x v="2"/>
    <x v="1"/>
    <x v="1"/>
    <n v="1345"/>
    <n v="364.7"/>
    <n v="20.84"/>
    <n v="4"/>
    <n v="115575.75"/>
    <n v="5"/>
    <n v="23115.15"/>
    <n v="16187.8"/>
    <n v="271.15241635687732"/>
    <x v="1"/>
    <s v="Good"/>
    <s v="Very High"/>
  </r>
  <r>
    <n v="762"/>
    <x v="8"/>
    <n v="2010"/>
    <n v="62828"/>
    <x v="2"/>
    <x v="1"/>
    <x v="2"/>
    <n v="4974"/>
    <n v="133.19999999999999"/>
    <n v="11.33"/>
    <n v="6"/>
    <n v="108473.84"/>
    <n v="14"/>
    <n v="7748.1314285714279"/>
    <n v="4487.7142857142853"/>
    <n v="26.779252110977076"/>
    <x v="0"/>
    <s v="Low"/>
    <s v="Medium"/>
  </r>
  <r>
    <n v="763"/>
    <x v="4"/>
    <n v="2016"/>
    <n v="143311"/>
    <x v="3"/>
    <x v="0"/>
    <x v="0"/>
    <n v="3181"/>
    <n v="438.8"/>
    <n v="18.88"/>
    <n v="2"/>
    <n v="34634.839999999997"/>
    <n v="8"/>
    <n v="4329.3549999999996"/>
    <n v="17913.875"/>
    <n v="137.94404275385099"/>
    <x v="2"/>
    <s v="Average"/>
    <s v="Very High"/>
  </r>
  <r>
    <n v="764"/>
    <x v="9"/>
    <n v="2024"/>
    <n v="11710"/>
    <x v="2"/>
    <x v="1"/>
    <x v="1"/>
    <n v="1688"/>
    <n v="138.5"/>
    <n v="18.190000000000001"/>
    <n v="4"/>
    <n v="97014.39"/>
    <n v="0"/>
    <n v="97014.39"/>
    <n v="11710"/>
    <n v="82.049763033175353"/>
    <x v="3"/>
    <s v="Average"/>
    <s v="Medium"/>
  </r>
  <r>
    <n v="765"/>
    <x v="4"/>
    <n v="2022"/>
    <n v="157456"/>
    <x v="2"/>
    <x v="1"/>
    <x v="2"/>
    <n v="1905"/>
    <n v="171.8"/>
    <n v="21.39"/>
    <n v="2"/>
    <n v="119485.69"/>
    <n v="2"/>
    <n v="59742.845000000001"/>
    <n v="78728"/>
    <n v="90.183727034120736"/>
    <x v="3"/>
    <s v="Good"/>
    <s v="High"/>
  </r>
  <r>
    <n v="766"/>
    <x v="9"/>
    <n v="2018"/>
    <n v="157110"/>
    <x v="2"/>
    <x v="0"/>
    <x v="1"/>
    <n v="3349"/>
    <n v="316.8"/>
    <n v="10.83"/>
    <n v="5"/>
    <n v="32561.57"/>
    <n v="6"/>
    <n v="5426.9283333333333"/>
    <n v="26185"/>
    <n v="94.595401612421611"/>
    <x v="1"/>
    <s v="Low"/>
    <s v="Very High"/>
  </r>
  <r>
    <n v="767"/>
    <x v="9"/>
    <n v="2006"/>
    <n v="176918"/>
    <x v="1"/>
    <x v="0"/>
    <x v="1"/>
    <n v="2790"/>
    <n v="552.29999999999995"/>
    <n v="26.61"/>
    <n v="6"/>
    <n v="54102.93"/>
    <n v="18"/>
    <n v="3005.7183333333332"/>
    <n v="9828.7777777777774"/>
    <n v="197.95698924731181"/>
    <x v="0"/>
    <s v="Excellent"/>
    <s v="Very High"/>
  </r>
  <r>
    <n v="768"/>
    <x v="6"/>
    <n v="2013"/>
    <n v="42991"/>
    <x v="1"/>
    <x v="1"/>
    <x v="2"/>
    <n v="4798"/>
    <n v="158.6"/>
    <n v="12.73"/>
    <n v="5"/>
    <n v="63861.15"/>
    <n v="11"/>
    <n v="5805.5590909090906"/>
    <n v="3908.2727272727275"/>
    <n v="33.0554397665694"/>
    <x v="2"/>
    <s v="Low"/>
    <s v="High"/>
  </r>
  <r>
    <n v="769"/>
    <x v="2"/>
    <n v="2009"/>
    <n v="143043"/>
    <x v="3"/>
    <x v="0"/>
    <x v="2"/>
    <n v="4575"/>
    <n v="120.8"/>
    <n v="22.35"/>
    <n v="4"/>
    <n v="37506.94"/>
    <n v="15"/>
    <n v="2500.4626666666668"/>
    <n v="9536.2000000000007"/>
    <n v="26.404371584699451"/>
    <x v="0"/>
    <s v="Good"/>
    <s v="Medium"/>
  </r>
  <r>
    <n v="770"/>
    <x v="8"/>
    <n v="2024"/>
    <n v="165211"/>
    <x v="2"/>
    <x v="1"/>
    <x v="0"/>
    <n v="3612"/>
    <n v="465"/>
    <n v="5.4"/>
    <n v="2"/>
    <n v="4785.99"/>
    <n v="0"/>
    <n v="4785.99"/>
    <n v="165211"/>
    <n v="128.73754152823921"/>
    <x v="3"/>
    <s v="Low"/>
    <s v="Very High"/>
  </r>
  <r>
    <n v="771"/>
    <x v="4"/>
    <n v="2005"/>
    <n v="90445"/>
    <x v="1"/>
    <x v="1"/>
    <x v="0"/>
    <n v="1720"/>
    <n v="320.3"/>
    <n v="14.32"/>
    <n v="4"/>
    <n v="28755.119999999999"/>
    <n v="19"/>
    <n v="1513.4273684210525"/>
    <n v="4760.2631578947367"/>
    <n v="186.22093023255815"/>
    <x v="0"/>
    <s v="Low"/>
    <s v="Very High"/>
  </r>
  <r>
    <n v="772"/>
    <x v="1"/>
    <n v="2007"/>
    <n v="85257"/>
    <x v="3"/>
    <x v="0"/>
    <x v="1"/>
    <n v="2861"/>
    <n v="550.6"/>
    <n v="13.79"/>
    <n v="5"/>
    <n v="35986.620000000003"/>
    <n v="17"/>
    <n v="2116.86"/>
    <n v="5015.1176470588234"/>
    <n v="192.45019224047536"/>
    <x v="0"/>
    <s v="Low"/>
    <s v="Very High"/>
  </r>
  <r>
    <n v="773"/>
    <x v="8"/>
    <n v="2010"/>
    <n v="42711"/>
    <x v="2"/>
    <x v="1"/>
    <x v="1"/>
    <n v="4439"/>
    <n v="122.1"/>
    <n v="18.59"/>
    <n v="4"/>
    <n v="54901.17"/>
    <n v="14"/>
    <n v="3921.5121428571429"/>
    <n v="3050.7857142857142"/>
    <n v="27.506195088984004"/>
    <x v="0"/>
    <s v="Average"/>
    <s v="Medium"/>
  </r>
  <r>
    <n v="774"/>
    <x v="2"/>
    <n v="2009"/>
    <n v="11530"/>
    <x v="0"/>
    <x v="1"/>
    <x v="0"/>
    <n v="3965"/>
    <n v="401.7"/>
    <n v="6.82"/>
    <n v="7"/>
    <n v="23018.99"/>
    <n v="15"/>
    <n v="1534.5993333333333"/>
    <n v="768.66666666666663"/>
    <n v="101.31147540983606"/>
    <x v="0"/>
    <s v="Low"/>
    <s v="Very High"/>
  </r>
  <r>
    <n v="775"/>
    <x v="8"/>
    <n v="2009"/>
    <n v="16116"/>
    <x v="2"/>
    <x v="0"/>
    <x v="0"/>
    <n v="3444"/>
    <n v="170.4"/>
    <n v="24.75"/>
    <n v="5"/>
    <n v="105170.76"/>
    <n v="15"/>
    <n v="7011.384"/>
    <n v="1074.4000000000001"/>
    <n v="49.477351916376307"/>
    <x v="0"/>
    <s v="Good"/>
    <s v="High"/>
  </r>
  <r>
    <n v="776"/>
    <x v="5"/>
    <n v="2005"/>
    <n v="70794"/>
    <x v="2"/>
    <x v="0"/>
    <x v="2"/>
    <n v="1845"/>
    <n v="127.8"/>
    <n v="10.44"/>
    <n v="4"/>
    <n v="85474.6"/>
    <n v="19"/>
    <n v="4498.6631578947372"/>
    <n v="3726"/>
    <n v="69.268292682926827"/>
    <x v="0"/>
    <s v="Low"/>
    <s v="Medium"/>
  </r>
  <r>
    <n v="777"/>
    <x v="1"/>
    <n v="2021"/>
    <n v="136354"/>
    <x v="1"/>
    <x v="0"/>
    <x v="0"/>
    <n v="4356"/>
    <n v="422.7"/>
    <n v="21.93"/>
    <n v="2"/>
    <n v="12968.46"/>
    <n v="3"/>
    <n v="4322.82"/>
    <n v="45451.333333333336"/>
    <n v="97.03856749311295"/>
    <x v="3"/>
    <s v="Good"/>
    <s v="Very High"/>
  </r>
  <r>
    <n v="778"/>
    <x v="2"/>
    <n v="2023"/>
    <n v="137970"/>
    <x v="3"/>
    <x v="1"/>
    <x v="0"/>
    <n v="3481"/>
    <n v="372.5"/>
    <n v="25.08"/>
    <n v="4"/>
    <n v="79060.820000000007"/>
    <n v="1"/>
    <n v="79060.820000000007"/>
    <n v="137970"/>
    <n v="107.00948003447286"/>
    <x v="3"/>
    <s v="Excellent"/>
    <s v="Very High"/>
  </r>
  <r>
    <n v="779"/>
    <x v="6"/>
    <n v="2018"/>
    <n v="9135"/>
    <x v="3"/>
    <x v="0"/>
    <x v="1"/>
    <n v="3999"/>
    <n v="462.7"/>
    <n v="19.05"/>
    <n v="2"/>
    <n v="79477.81"/>
    <n v="6"/>
    <n v="13246.301666666666"/>
    <n v="1522.5"/>
    <n v="115.70392598149537"/>
    <x v="1"/>
    <s v="Average"/>
    <s v="Very High"/>
  </r>
  <r>
    <n v="780"/>
    <x v="4"/>
    <n v="2016"/>
    <n v="142701"/>
    <x v="1"/>
    <x v="0"/>
    <x v="0"/>
    <n v="1738"/>
    <n v="213.3"/>
    <n v="23.52"/>
    <n v="7"/>
    <n v="114877.88"/>
    <n v="8"/>
    <n v="14359.735000000001"/>
    <n v="17837.625"/>
    <n v="122.72727272727273"/>
    <x v="2"/>
    <s v="Good"/>
    <s v="Very High"/>
  </r>
  <r>
    <n v="781"/>
    <x v="0"/>
    <n v="2014"/>
    <n v="114472"/>
    <x v="2"/>
    <x v="0"/>
    <x v="1"/>
    <n v="1241"/>
    <n v="290.89999999999998"/>
    <n v="21.55"/>
    <n v="4"/>
    <n v="3353.44"/>
    <n v="10"/>
    <n v="335.34399999999999"/>
    <n v="11447.2"/>
    <n v="234.4077356970185"/>
    <x v="2"/>
    <s v="Good"/>
    <s v="Very High"/>
  </r>
  <r>
    <n v="782"/>
    <x v="2"/>
    <n v="2024"/>
    <n v="130147"/>
    <x v="0"/>
    <x v="0"/>
    <x v="0"/>
    <n v="3350"/>
    <n v="267.10000000000002"/>
    <n v="13.89"/>
    <n v="7"/>
    <n v="32008.1"/>
    <n v="0"/>
    <n v="32008.1"/>
    <n v="130147"/>
    <n v="79.731343283582092"/>
    <x v="3"/>
    <s v="Low"/>
    <s v="Very High"/>
  </r>
  <r>
    <n v="783"/>
    <x v="7"/>
    <n v="2022"/>
    <n v="94087"/>
    <x v="2"/>
    <x v="1"/>
    <x v="2"/>
    <n v="1396"/>
    <n v="591.1"/>
    <n v="25.22"/>
    <n v="5"/>
    <n v="111551.6"/>
    <n v="2"/>
    <n v="55775.8"/>
    <n v="47043.5"/>
    <n v="423.42406876790835"/>
    <x v="3"/>
    <s v="Excellent"/>
    <s v="Very High"/>
  </r>
  <r>
    <n v="784"/>
    <x v="4"/>
    <n v="2015"/>
    <n v="38380"/>
    <x v="2"/>
    <x v="1"/>
    <x v="0"/>
    <n v="2305"/>
    <n v="203.7"/>
    <n v="12.37"/>
    <n v="2"/>
    <n v="112059.67"/>
    <n v="9"/>
    <n v="12451.074444444444"/>
    <n v="4264.4444444444443"/>
    <n v="88.373101952277651"/>
    <x v="2"/>
    <s v="Low"/>
    <s v="Very High"/>
  </r>
  <r>
    <n v="785"/>
    <x v="2"/>
    <n v="2006"/>
    <n v="134951"/>
    <x v="0"/>
    <x v="0"/>
    <x v="0"/>
    <n v="1661"/>
    <n v="205.1"/>
    <n v="19.28"/>
    <n v="5"/>
    <n v="87308.61"/>
    <n v="18"/>
    <n v="4850.4783333333335"/>
    <n v="7497.2777777777774"/>
    <n v="123.47983142685129"/>
    <x v="0"/>
    <s v="Average"/>
    <s v="Very High"/>
  </r>
  <r>
    <n v="786"/>
    <x v="5"/>
    <n v="2022"/>
    <n v="22071"/>
    <x v="1"/>
    <x v="1"/>
    <x v="0"/>
    <n v="3440"/>
    <n v="238.5"/>
    <n v="23.63"/>
    <n v="2"/>
    <n v="92594.31"/>
    <n v="2"/>
    <n v="46297.154999999999"/>
    <n v="11035.5"/>
    <n v="69.331395348837205"/>
    <x v="3"/>
    <s v="Good"/>
    <s v="Very High"/>
  </r>
  <r>
    <n v="787"/>
    <x v="0"/>
    <n v="2011"/>
    <n v="25074"/>
    <x v="3"/>
    <x v="0"/>
    <x v="1"/>
    <n v="4531"/>
    <n v="356.2"/>
    <n v="14.47"/>
    <n v="7"/>
    <n v="13703.51"/>
    <n v="13"/>
    <n v="1054.1161538461538"/>
    <n v="1928.7692307692307"/>
    <n v="78.613992496137726"/>
    <x v="0"/>
    <s v="Low"/>
    <s v="Very High"/>
  </r>
  <r>
    <n v="788"/>
    <x v="5"/>
    <n v="2019"/>
    <n v="72843"/>
    <x v="1"/>
    <x v="0"/>
    <x v="2"/>
    <n v="2351"/>
    <n v="181.3"/>
    <n v="12.57"/>
    <n v="6"/>
    <n v="63123.47"/>
    <n v="5"/>
    <n v="12624.694"/>
    <n v="14568.6"/>
    <n v="77.116120799659726"/>
    <x v="1"/>
    <s v="Low"/>
    <s v="High"/>
  </r>
  <r>
    <n v="789"/>
    <x v="0"/>
    <n v="2015"/>
    <n v="44901"/>
    <x v="1"/>
    <x v="1"/>
    <x v="0"/>
    <n v="4036"/>
    <n v="552.6"/>
    <n v="16.48"/>
    <n v="4"/>
    <n v="30095.21"/>
    <n v="9"/>
    <n v="3343.9122222222222"/>
    <n v="4989"/>
    <n v="136.91774033696731"/>
    <x v="2"/>
    <s v="Average"/>
    <s v="Very High"/>
  </r>
  <r>
    <n v="790"/>
    <x v="7"/>
    <n v="2022"/>
    <n v="16205"/>
    <x v="2"/>
    <x v="1"/>
    <x v="1"/>
    <n v="2536"/>
    <n v="188.8"/>
    <n v="25.45"/>
    <n v="7"/>
    <n v="24202.51"/>
    <n v="2"/>
    <n v="12101.254999999999"/>
    <n v="8102.5"/>
    <n v="74.447949526813886"/>
    <x v="3"/>
    <s v="Excellent"/>
    <s v="High"/>
  </r>
  <r>
    <n v="791"/>
    <x v="4"/>
    <n v="2016"/>
    <n v="191733"/>
    <x v="3"/>
    <x v="0"/>
    <x v="2"/>
    <n v="2249"/>
    <n v="541.70000000000005"/>
    <n v="28.25"/>
    <n v="2"/>
    <n v="97805.49"/>
    <n v="8"/>
    <n v="12225.686250000001"/>
    <n v="23966.625"/>
    <n v="240.86260560248999"/>
    <x v="2"/>
    <s v="Excellent"/>
    <s v="Very High"/>
  </r>
  <r>
    <n v="792"/>
    <x v="6"/>
    <n v="2010"/>
    <n v="129661"/>
    <x v="3"/>
    <x v="0"/>
    <x v="1"/>
    <n v="1064"/>
    <n v="97.9"/>
    <n v="18.63"/>
    <n v="2"/>
    <n v="18799.46"/>
    <n v="14"/>
    <n v="1342.8185714285714"/>
    <n v="9261.5"/>
    <n v="92.011278195488728"/>
    <x v="0"/>
    <s v="Average"/>
    <s v="Low"/>
  </r>
  <r>
    <n v="793"/>
    <x v="5"/>
    <n v="2024"/>
    <n v="10906"/>
    <x v="1"/>
    <x v="1"/>
    <x v="1"/>
    <n v="3459"/>
    <n v="407.7"/>
    <n v="21.54"/>
    <n v="2"/>
    <n v="57832.24"/>
    <n v="0"/>
    <n v="57832.24"/>
    <n v="10906"/>
    <n v="117.86643538594969"/>
    <x v="3"/>
    <s v="Good"/>
    <s v="Very High"/>
  </r>
  <r>
    <n v="794"/>
    <x v="5"/>
    <n v="2017"/>
    <n v="138663"/>
    <x v="0"/>
    <x v="0"/>
    <x v="2"/>
    <n v="3521"/>
    <n v="547.9"/>
    <n v="27.58"/>
    <n v="2"/>
    <n v="112813.65"/>
    <n v="7"/>
    <n v="16116.235714285713"/>
    <n v="19809"/>
    <n v="155.60920193126952"/>
    <x v="1"/>
    <s v="Excellent"/>
    <s v="Very High"/>
  </r>
  <r>
    <n v="795"/>
    <x v="9"/>
    <n v="2024"/>
    <n v="130576"/>
    <x v="1"/>
    <x v="1"/>
    <x v="0"/>
    <n v="2262"/>
    <n v="134.5"/>
    <n v="7.46"/>
    <n v="4"/>
    <n v="24742.35"/>
    <n v="0"/>
    <n v="24742.35"/>
    <n v="130576"/>
    <n v="59.460654288240498"/>
    <x v="3"/>
    <s v="Low"/>
    <s v="Medium"/>
  </r>
  <r>
    <n v="796"/>
    <x v="0"/>
    <n v="2020"/>
    <n v="67987"/>
    <x v="0"/>
    <x v="0"/>
    <x v="1"/>
    <n v="2245"/>
    <n v="582.29999999999995"/>
    <n v="10.8"/>
    <n v="5"/>
    <n v="117425.23"/>
    <n v="4"/>
    <n v="29356.307499999999"/>
    <n v="16996.75"/>
    <n v="259.37639198218261"/>
    <x v="1"/>
    <s v="Low"/>
    <s v="Very High"/>
  </r>
  <r>
    <n v="797"/>
    <x v="3"/>
    <n v="2022"/>
    <n v="199442"/>
    <x v="3"/>
    <x v="0"/>
    <x v="1"/>
    <n v="3098"/>
    <n v="293.60000000000002"/>
    <n v="22.72"/>
    <n v="6"/>
    <n v="119331.69"/>
    <n v="2"/>
    <n v="59665.845000000001"/>
    <n v="99721"/>
    <n v="94.770819883796008"/>
    <x v="3"/>
    <s v="Good"/>
    <s v="Very High"/>
  </r>
  <r>
    <n v="798"/>
    <x v="4"/>
    <n v="2014"/>
    <n v="85685"/>
    <x v="1"/>
    <x v="1"/>
    <x v="0"/>
    <n v="3725"/>
    <n v="569.6"/>
    <n v="25.59"/>
    <n v="4"/>
    <n v="68007.210000000006"/>
    <n v="10"/>
    <n v="6800.7210000000005"/>
    <n v="8568.5"/>
    <n v="152.91275167785236"/>
    <x v="2"/>
    <s v="Excellent"/>
    <s v="Very High"/>
  </r>
  <r>
    <n v="799"/>
    <x v="0"/>
    <n v="2012"/>
    <n v="115454"/>
    <x v="2"/>
    <x v="1"/>
    <x v="0"/>
    <n v="2432"/>
    <n v="419"/>
    <n v="26.43"/>
    <n v="2"/>
    <n v="22906.7"/>
    <n v="12"/>
    <n v="1908.8916666666667"/>
    <n v="9621.1666666666661"/>
    <n v="172.28618421052633"/>
    <x v="2"/>
    <s v="Excellent"/>
    <s v="Very High"/>
  </r>
  <r>
    <n v="800"/>
    <x v="9"/>
    <n v="2022"/>
    <n v="110487"/>
    <x v="1"/>
    <x v="1"/>
    <x v="2"/>
    <n v="3174"/>
    <n v="208.9"/>
    <n v="15.38"/>
    <n v="4"/>
    <n v="39984.269999999997"/>
    <n v="2"/>
    <n v="19992.134999999998"/>
    <n v="55243.5"/>
    <n v="65.816005040957791"/>
    <x v="3"/>
    <s v="Average"/>
    <s v="Very High"/>
  </r>
  <r>
    <n v="801"/>
    <x v="8"/>
    <n v="2005"/>
    <n v="59400"/>
    <x v="3"/>
    <x v="1"/>
    <x v="2"/>
    <n v="1312"/>
    <n v="145.4"/>
    <n v="7.23"/>
    <n v="7"/>
    <n v="52665.66"/>
    <n v="19"/>
    <n v="2771.8768421052632"/>
    <n v="3126.3157894736842"/>
    <n v="110.82317073170732"/>
    <x v="0"/>
    <s v="Low"/>
    <s v="Medium"/>
  </r>
  <r>
    <n v="802"/>
    <x v="0"/>
    <n v="2012"/>
    <n v="161222"/>
    <x v="2"/>
    <x v="1"/>
    <x v="2"/>
    <n v="1015"/>
    <n v="210.1"/>
    <n v="15.94"/>
    <n v="2"/>
    <n v="39190.93"/>
    <n v="12"/>
    <n v="3265.9108333333334"/>
    <n v="13435.166666666666"/>
    <n v="206.99507389162562"/>
    <x v="2"/>
    <s v="Average"/>
    <s v="Very High"/>
  </r>
  <r>
    <n v="803"/>
    <x v="6"/>
    <n v="2010"/>
    <n v="36852"/>
    <x v="2"/>
    <x v="1"/>
    <x v="0"/>
    <n v="4131"/>
    <n v="92.1"/>
    <n v="10.77"/>
    <n v="6"/>
    <n v="35834.36"/>
    <n v="14"/>
    <n v="2559.5971428571429"/>
    <n v="2632.2857142857142"/>
    <n v="22.294843863471311"/>
    <x v="0"/>
    <s v="Low"/>
    <s v="Low"/>
  </r>
  <r>
    <n v="804"/>
    <x v="4"/>
    <n v="2009"/>
    <n v="178942"/>
    <x v="0"/>
    <x v="1"/>
    <x v="1"/>
    <n v="2972"/>
    <n v="120.6"/>
    <n v="12.28"/>
    <n v="2"/>
    <n v="116750.88"/>
    <n v="15"/>
    <n v="7783.3920000000007"/>
    <n v="11929.466666666667"/>
    <n v="40.578734858681024"/>
    <x v="0"/>
    <s v="Low"/>
    <s v="Medium"/>
  </r>
  <r>
    <n v="805"/>
    <x v="9"/>
    <n v="2019"/>
    <n v="57756"/>
    <x v="2"/>
    <x v="0"/>
    <x v="1"/>
    <n v="3953"/>
    <n v="98.6"/>
    <n v="24.31"/>
    <n v="6"/>
    <n v="20943.68"/>
    <n v="5"/>
    <n v="4188.7359999999999"/>
    <n v="11551.2"/>
    <n v="24.943081204148747"/>
    <x v="1"/>
    <s v="Good"/>
    <s v="Low"/>
  </r>
  <r>
    <n v="806"/>
    <x v="8"/>
    <n v="2019"/>
    <n v="120357"/>
    <x v="2"/>
    <x v="0"/>
    <x v="2"/>
    <n v="2506"/>
    <n v="276.8"/>
    <n v="6.89"/>
    <n v="6"/>
    <n v="88799.37"/>
    <n v="5"/>
    <n v="17759.874"/>
    <n v="24071.4"/>
    <n v="110.45490822027136"/>
    <x v="1"/>
    <s v="Low"/>
    <s v="Very High"/>
  </r>
  <r>
    <n v="807"/>
    <x v="1"/>
    <n v="2006"/>
    <n v="124052"/>
    <x v="1"/>
    <x v="0"/>
    <x v="0"/>
    <n v="2906"/>
    <n v="485.5"/>
    <n v="25.69"/>
    <n v="5"/>
    <n v="3048"/>
    <n v="18"/>
    <n v="169.33333333333334"/>
    <n v="6891.7777777777774"/>
    <n v="167.06813489332416"/>
    <x v="0"/>
    <s v="Excellent"/>
    <s v="Very High"/>
  </r>
  <r>
    <n v="808"/>
    <x v="9"/>
    <n v="2005"/>
    <n v="61481"/>
    <x v="3"/>
    <x v="1"/>
    <x v="1"/>
    <n v="2367"/>
    <n v="119.2"/>
    <n v="15.69"/>
    <n v="5"/>
    <n v="72753.37"/>
    <n v="19"/>
    <n v="3829.124736842105"/>
    <n v="3235.8421052631579"/>
    <n v="50.359104351499788"/>
    <x v="0"/>
    <s v="Average"/>
    <s v="Medium"/>
  </r>
  <r>
    <n v="809"/>
    <x v="1"/>
    <n v="2015"/>
    <n v="6283"/>
    <x v="0"/>
    <x v="1"/>
    <x v="2"/>
    <n v="3008"/>
    <n v="113"/>
    <n v="19.899999999999999"/>
    <n v="4"/>
    <n v="110165.33"/>
    <n v="9"/>
    <n v="12240.592222222222"/>
    <n v="698.11111111111109"/>
    <n v="37.566489361702125"/>
    <x v="2"/>
    <s v="Average"/>
    <s v="Medium"/>
  </r>
  <r>
    <n v="810"/>
    <x v="4"/>
    <n v="2014"/>
    <n v="38691"/>
    <x v="1"/>
    <x v="1"/>
    <x v="1"/>
    <n v="3131"/>
    <n v="400.3"/>
    <n v="7.24"/>
    <n v="4"/>
    <n v="36688.29"/>
    <n v="10"/>
    <n v="3668.8290000000002"/>
    <n v="3869.1"/>
    <n v="127.85052698818271"/>
    <x v="2"/>
    <s v="Low"/>
    <s v="Very High"/>
  </r>
  <r>
    <n v="811"/>
    <x v="5"/>
    <n v="2022"/>
    <n v="137197"/>
    <x v="2"/>
    <x v="0"/>
    <x v="1"/>
    <n v="2953"/>
    <n v="150.4"/>
    <n v="13.43"/>
    <n v="6"/>
    <n v="24706.54"/>
    <n v="2"/>
    <n v="12353.27"/>
    <n v="68598.5"/>
    <n v="50.931256349475113"/>
    <x v="3"/>
    <s v="Low"/>
    <s v="High"/>
  </r>
  <r>
    <n v="812"/>
    <x v="9"/>
    <n v="2022"/>
    <n v="31170"/>
    <x v="2"/>
    <x v="1"/>
    <x v="0"/>
    <n v="1928"/>
    <n v="94.7"/>
    <n v="7.24"/>
    <n v="2"/>
    <n v="79246.539999999994"/>
    <n v="2"/>
    <n v="39623.269999999997"/>
    <n v="15585"/>
    <n v="49.11825726141079"/>
    <x v="3"/>
    <s v="Low"/>
    <s v="Low"/>
  </r>
  <r>
    <n v="813"/>
    <x v="7"/>
    <n v="2021"/>
    <n v="13438"/>
    <x v="0"/>
    <x v="1"/>
    <x v="0"/>
    <n v="4310"/>
    <n v="133.4"/>
    <n v="29.04"/>
    <n v="7"/>
    <n v="86374.36"/>
    <n v="3"/>
    <n v="28791.453333333335"/>
    <n v="4479.333333333333"/>
    <n v="30.951276102088173"/>
    <x v="3"/>
    <s v="Excellent"/>
    <s v="Medium"/>
  </r>
  <r>
    <n v="814"/>
    <x v="1"/>
    <n v="2012"/>
    <n v="25095"/>
    <x v="3"/>
    <x v="0"/>
    <x v="1"/>
    <n v="4453"/>
    <n v="557.29999999999995"/>
    <n v="25.18"/>
    <n v="7"/>
    <n v="83499.570000000007"/>
    <n v="12"/>
    <n v="6958.2975000000006"/>
    <n v="2091.25"/>
    <n v="125.15158320233549"/>
    <x v="2"/>
    <s v="Excellent"/>
    <s v="Very High"/>
  </r>
  <r>
    <n v="815"/>
    <x v="6"/>
    <n v="2019"/>
    <n v="152226"/>
    <x v="0"/>
    <x v="1"/>
    <x v="2"/>
    <n v="3165"/>
    <n v="500"/>
    <n v="16.489999999999998"/>
    <n v="2"/>
    <n v="40360.07"/>
    <n v="5"/>
    <n v="8072.0140000000001"/>
    <n v="30445.200000000001"/>
    <n v="157.9778830963665"/>
    <x v="1"/>
    <s v="Average"/>
    <s v="Very High"/>
  </r>
  <r>
    <n v="816"/>
    <x v="7"/>
    <n v="2012"/>
    <n v="144076"/>
    <x v="1"/>
    <x v="0"/>
    <x v="0"/>
    <n v="3721"/>
    <n v="238.3"/>
    <n v="10.59"/>
    <n v="2"/>
    <n v="32507.68"/>
    <n v="12"/>
    <n v="2708.9733333333334"/>
    <n v="12006.333333333334"/>
    <n v="64.041924213920993"/>
    <x v="2"/>
    <s v="Low"/>
    <s v="Very High"/>
  </r>
  <r>
    <n v="817"/>
    <x v="2"/>
    <n v="2021"/>
    <n v="14752"/>
    <x v="0"/>
    <x v="0"/>
    <x v="1"/>
    <n v="1879"/>
    <n v="407.3"/>
    <n v="28.34"/>
    <n v="5"/>
    <n v="114842.5"/>
    <n v="3"/>
    <n v="38280.833333333336"/>
    <n v="4917.333333333333"/>
    <n v="216.76423629590209"/>
    <x v="3"/>
    <s v="Excellent"/>
    <s v="Very High"/>
  </r>
  <r>
    <n v="818"/>
    <x v="2"/>
    <n v="2016"/>
    <n v="60426"/>
    <x v="2"/>
    <x v="1"/>
    <x v="0"/>
    <n v="4311"/>
    <n v="340.9"/>
    <n v="13.61"/>
    <n v="7"/>
    <n v="111026.04"/>
    <n v="8"/>
    <n v="13878.254999999999"/>
    <n v="7553.25"/>
    <n v="79.076780329389933"/>
    <x v="2"/>
    <s v="Low"/>
    <s v="Very High"/>
  </r>
  <r>
    <n v="819"/>
    <x v="8"/>
    <n v="2012"/>
    <n v="31819"/>
    <x v="1"/>
    <x v="1"/>
    <x v="0"/>
    <n v="3541"/>
    <n v="419.2"/>
    <n v="9.02"/>
    <n v="6"/>
    <n v="56506.04"/>
    <n v="12"/>
    <n v="4708.836666666667"/>
    <n v="2651.5833333333335"/>
    <n v="118.38463710816154"/>
    <x v="2"/>
    <s v="Low"/>
    <s v="Very High"/>
  </r>
  <r>
    <n v="820"/>
    <x v="5"/>
    <n v="2018"/>
    <n v="97051"/>
    <x v="2"/>
    <x v="1"/>
    <x v="0"/>
    <n v="3820"/>
    <n v="422.3"/>
    <n v="19.079999999999998"/>
    <n v="4"/>
    <n v="102004.68"/>
    <n v="6"/>
    <n v="17000.78"/>
    <n v="16175.166666666666"/>
    <n v="110.54973821989529"/>
    <x v="1"/>
    <s v="Average"/>
    <s v="Very High"/>
  </r>
  <r>
    <n v="821"/>
    <x v="4"/>
    <n v="2008"/>
    <n v="160289"/>
    <x v="3"/>
    <x v="0"/>
    <x v="1"/>
    <n v="1028"/>
    <n v="392.1"/>
    <n v="28.59"/>
    <n v="5"/>
    <n v="55921.85"/>
    <n v="16"/>
    <n v="3495.1156249999999"/>
    <n v="10018.0625"/>
    <n v="381.42023346303506"/>
    <x v="0"/>
    <s v="Excellent"/>
    <s v="Very High"/>
  </r>
  <r>
    <n v="822"/>
    <x v="9"/>
    <n v="2005"/>
    <n v="37994"/>
    <x v="2"/>
    <x v="0"/>
    <x v="2"/>
    <n v="970"/>
    <n v="189"/>
    <n v="5.0999999999999996"/>
    <n v="7"/>
    <n v="52653.52"/>
    <n v="19"/>
    <n v="2771.237894736842"/>
    <n v="1999.6842105263158"/>
    <n v="194.84536082474227"/>
    <x v="0"/>
    <s v="Low"/>
    <s v="High"/>
  </r>
  <r>
    <n v="823"/>
    <x v="3"/>
    <n v="2005"/>
    <n v="151108"/>
    <x v="2"/>
    <x v="0"/>
    <x v="2"/>
    <n v="1094"/>
    <n v="61.8"/>
    <n v="10.95"/>
    <n v="2"/>
    <n v="21341.26"/>
    <n v="19"/>
    <n v="1123.2242105263158"/>
    <n v="7953.0526315789475"/>
    <n v="56.489945155393045"/>
    <x v="0"/>
    <s v="Low"/>
    <s v="Low"/>
  </r>
  <r>
    <n v="824"/>
    <x v="6"/>
    <n v="2023"/>
    <n v="102756"/>
    <x v="0"/>
    <x v="1"/>
    <x v="2"/>
    <n v="1225"/>
    <n v="295.10000000000002"/>
    <n v="28.46"/>
    <n v="7"/>
    <n v="52889.51"/>
    <n v="1"/>
    <n v="52889.51"/>
    <n v="102756"/>
    <n v="240.89795918367346"/>
    <x v="3"/>
    <s v="Excellent"/>
    <s v="Very High"/>
  </r>
  <r>
    <n v="825"/>
    <x v="1"/>
    <n v="2020"/>
    <n v="185488"/>
    <x v="2"/>
    <x v="1"/>
    <x v="0"/>
    <n v="1718"/>
    <n v="538.9"/>
    <n v="9.2799999999999994"/>
    <n v="6"/>
    <n v="65877.78"/>
    <n v="4"/>
    <n v="16469.445"/>
    <n v="46372"/>
    <n v="313.67869615832365"/>
    <x v="1"/>
    <s v="Low"/>
    <s v="Very High"/>
  </r>
  <r>
    <n v="826"/>
    <x v="4"/>
    <n v="2018"/>
    <n v="145659"/>
    <x v="1"/>
    <x v="1"/>
    <x v="1"/>
    <n v="4053"/>
    <n v="358.9"/>
    <n v="7.83"/>
    <n v="5"/>
    <n v="5633.01"/>
    <n v="6"/>
    <n v="938.83500000000004"/>
    <n v="24276.5"/>
    <n v="88.551690106094242"/>
    <x v="1"/>
    <s v="Low"/>
    <s v="Very High"/>
  </r>
  <r>
    <n v="827"/>
    <x v="7"/>
    <n v="2020"/>
    <n v="100665"/>
    <x v="1"/>
    <x v="1"/>
    <x v="0"/>
    <n v="1298"/>
    <n v="506.1"/>
    <n v="19.25"/>
    <n v="2"/>
    <n v="54961.22"/>
    <n v="4"/>
    <n v="13740.305"/>
    <n v="25166.25"/>
    <n v="389.90755007704161"/>
    <x v="1"/>
    <s v="Average"/>
    <s v="Very High"/>
  </r>
  <r>
    <n v="828"/>
    <x v="2"/>
    <n v="2009"/>
    <n v="136717"/>
    <x v="3"/>
    <x v="0"/>
    <x v="2"/>
    <n v="3609"/>
    <n v="595.29999999999995"/>
    <n v="26.55"/>
    <n v="6"/>
    <n v="94418.68"/>
    <n v="15"/>
    <n v="6294.5786666666663"/>
    <n v="9114.4666666666672"/>
    <n v="164.94873926295372"/>
    <x v="0"/>
    <s v="Excellent"/>
    <s v="Very High"/>
  </r>
  <r>
    <n v="829"/>
    <x v="6"/>
    <n v="2013"/>
    <n v="167002"/>
    <x v="1"/>
    <x v="0"/>
    <x v="2"/>
    <n v="1625"/>
    <n v="131.6"/>
    <n v="16.93"/>
    <n v="4"/>
    <n v="82565.39"/>
    <n v="11"/>
    <n v="7505.9445454545457"/>
    <n v="15182"/>
    <n v="80.984615384615381"/>
    <x v="2"/>
    <s v="Average"/>
    <s v="Medium"/>
  </r>
  <r>
    <n v="830"/>
    <x v="3"/>
    <n v="2006"/>
    <n v="86835"/>
    <x v="0"/>
    <x v="0"/>
    <x v="1"/>
    <n v="4579"/>
    <n v="427.4"/>
    <n v="29.86"/>
    <n v="5"/>
    <n v="77313.37"/>
    <n v="18"/>
    <n v="4295.1872222222219"/>
    <n v="4824.166666666667"/>
    <n v="93.339157021183667"/>
    <x v="0"/>
    <s v="Excellent"/>
    <s v="Very High"/>
  </r>
  <r>
    <n v="831"/>
    <x v="9"/>
    <n v="2022"/>
    <n v="127232"/>
    <x v="3"/>
    <x v="0"/>
    <x v="0"/>
    <n v="2658"/>
    <n v="417.6"/>
    <n v="21.98"/>
    <n v="6"/>
    <n v="109417.99"/>
    <n v="2"/>
    <n v="54708.995000000003"/>
    <n v="63616"/>
    <n v="157.11060948081266"/>
    <x v="3"/>
    <s v="Good"/>
    <s v="Very High"/>
  </r>
  <r>
    <n v="832"/>
    <x v="8"/>
    <n v="2010"/>
    <n v="166162"/>
    <x v="1"/>
    <x v="1"/>
    <x v="2"/>
    <n v="2918"/>
    <n v="588.79999999999995"/>
    <n v="6.85"/>
    <n v="6"/>
    <n v="5109.75"/>
    <n v="14"/>
    <n v="364.98214285714283"/>
    <n v="11868.714285714286"/>
    <n v="201.78204249485947"/>
    <x v="0"/>
    <s v="Low"/>
    <s v="Very High"/>
  </r>
  <r>
    <n v="833"/>
    <x v="3"/>
    <n v="2013"/>
    <n v="188214"/>
    <x v="0"/>
    <x v="1"/>
    <x v="1"/>
    <n v="945"/>
    <n v="591.9"/>
    <n v="29.82"/>
    <n v="2"/>
    <n v="68174.570000000007"/>
    <n v="11"/>
    <n v="6197.6881818181828"/>
    <n v="17110.363636363636"/>
    <n v="626.34920634920638"/>
    <x v="2"/>
    <s v="Excellent"/>
    <s v="Very High"/>
  </r>
  <r>
    <n v="834"/>
    <x v="6"/>
    <n v="2005"/>
    <n v="162547"/>
    <x v="1"/>
    <x v="1"/>
    <x v="0"/>
    <n v="4377"/>
    <n v="424.5"/>
    <n v="15.2"/>
    <n v="4"/>
    <n v="95119.82"/>
    <n v="19"/>
    <n v="5006.306315789474"/>
    <n v="8555.105263157895"/>
    <n v="96.984235777930095"/>
    <x v="0"/>
    <s v="Average"/>
    <s v="Very High"/>
  </r>
  <r>
    <n v="835"/>
    <x v="3"/>
    <n v="2013"/>
    <n v="154960"/>
    <x v="1"/>
    <x v="0"/>
    <x v="0"/>
    <n v="992"/>
    <n v="176.4"/>
    <n v="12.19"/>
    <n v="6"/>
    <n v="66336.240000000005"/>
    <n v="11"/>
    <n v="6030.5672727272731"/>
    <n v="14087.272727272728"/>
    <n v="177.82258064516131"/>
    <x v="2"/>
    <s v="Low"/>
    <s v="High"/>
  </r>
  <r>
    <n v="836"/>
    <x v="6"/>
    <n v="2020"/>
    <n v="48732"/>
    <x v="2"/>
    <x v="0"/>
    <x v="2"/>
    <n v="4688"/>
    <n v="487.2"/>
    <n v="18.95"/>
    <n v="5"/>
    <n v="40895.78"/>
    <n v="4"/>
    <n v="10223.945"/>
    <n v="12183"/>
    <n v="103.92491467576792"/>
    <x v="1"/>
    <s v="Average"/>
    <s v="Very High"/>
  </r>
  <r>
    <n v="837"/>
    <x v="6"/>
    <n v="2017"/>
    <n v="51305"/>
    <x v="1"/>
    <x v="1"/>
    <x v="2"/>
    <n v="851"/>
    <n v="99.9"/>
    <n v="12.61"/>
    <n v="6"/>
    <n v="18941.32"/>
    <n v="7"/>
    <n v="2705.9028571428571"/>
    <n v="7329.2857142857147"/>
    <n v="117.39130434782609"/>
    <x v="1"/>
    <s v="Low"/>
    <s v="Low"/>
  </r>
  <r>
    <n v="838"/>
    <x v="0"/>
    <n v="2013"/>
    <n v="182109"/>
    <x v="1"/>
    <x v="1"/>
    <x v="0"/>
    <n v="3210"/>
    <n v="477.2"/>
    <n v="7.16"/>
    <n v="7"/>
    <n v="106844.88"/>
    <n v="11"/>
    <n v="9713.1709090909098"/>
    <n v="16555.363636363636"/>
    <n v="148.66043613707166"/>
    <x v="2"/>
    <s v="Low"/>
    <s v="Very High"/>
  </r>
  <r>
    <n v="839"/>
    <x v="1"/>
    <n v="2017"/>
    <n v="14346"/>
    <x v="0"/>
    <x v="0"/>
    <x v="0"/>
    <n v="2620"/>
    <n v="549.70000000000005"/>
    <n v="5.04"/>
    <n v="5"/>
    <n v="58079.199999999997"/>
    <n v="7"/>
    <n v="8297.028571428571"/>
    <n v="2049.4285714285716"/>
    <n v="209.80916030534351"/>
    <x v="1"/>
    <s v="Low"/>
    <s v="Very High"/>
  </r>
  <r>
    <n v="840"/>
    <x v="2"/>
    <n v="2013"/>
    <n v="5587"/>
    <x v="0"/>
    <x v="1"/>
    <x v="2"/>
    <n v="3764"/>
    <n v="254.4"/>
    <n v="16.239999999999998"/>
    <n v="5"/>
    <n v="105739.48"/>
    <n v="11"/>
    <n v="9612.68"/>
    <n v="507.90909090909093"/>
    <n v="67.587672688629127"/>
    <x v="2"/>
    <s v="Average"/>
    <s v="Very High"/>
  </r>
  <r>
    <n v="841"/>
    <x v="0"/>
    <n v="2015"/>
    <n v="17763"/>
    <x v="2"/>
    <x v="0"/>
    <x v="0"/>
    <n v="3321"/>
    <n v="393.2"/>
    <n v="25.92"/>
    <n v="6"/>
    <n v="71544.7"/>
    <n v="9"/>
    <n v="7949.4111111111106"/>
    <n v="1973.6666666666667"/>
    <n v="118.39807286961758"/>
    <x v="2"/>
    <s v="Excellent"/>
    <s v="Very High"/>
  </r>
  <r>
    <n v="842"/>
    <x v="9"/>
    <n v="2008"/>
    <n v="195237"/>
    <x v="1"/>
    <x v="0"/>
    <x v="2"/>
    <n v="2669"/>
    <n v="280.89999999999998"/>
    <n v="19.309999999999999"/>
    <n v="2"/>
    <n v="81880.479999999996"/>
    <n v="16"/>
    <n v="5117.53"/>
    <n v="12202.3125"/>
    <n v="105.24541026601723"/>
    <x v="0"/>
    <s v="Average"/>
    <s v="Very High"/>
  </r>
  <r>
    <n v="843"/>
    <x v="0"/>
    <n v="2006"/>
    <n v="74615"/>
    <x v="2"/>
    <x v="0"/>
    <x v="0"/>
    <n v="3368"/>
    <n v="285.10000000000002"/>
    <n v="29.98"/>
    <n v="5"/>
    <n v="97098.559999999998"/>
    <n v="18"/>
    <n v="5394.3644444444444"/>
    <n v="4145.2777777777774"/>
    <n v="84.649643705463191"/>
    <x v="0"/>
    <s v="Excellent"/>
    <s v="Very High"/>
  </r>
  <r>
    <n v="844"/>
    <x v="5"/>
    <n v="2010"/>
    <n v="172188"/>
    <x v="1"/>
    <x v="1"/>
    <x v="2"/>
    <n v="2667"/>
    <n v="213.8"/>
    <n v="12.17"/>
    <n v="7"/>
    <n v="80121.2"/>
    <n v="14"/>
    <n v="5722.9428571428571"/>
    <n v="12299.142857142857"/>
    <n v="80.164979377577808"/>
    <x v="0"/>
    <s v="Low"/>
    <s v="Very High"/>
  </r>
  <r>
    <n v="845"/>
    <x v="5"/>
    <n v="2018"/>
    <n v="125987"/>
    <x v="3"/>
    <x v="1"/>
    <x v="1"/>
    <n v="3538"/>
    <n v="466.8"/>
    <n v="12.01"/>
    <n v="2"/>
    <n v="49572.42"/>
    <n v="6"/>
    <n v="8262.07"/>
    <n v="20997.833333333332"/>
    <n v="131.93894855850763"/>
    <x v="1"/>
    <s v="Low"/>
    <s v="Very High"/>
  </r>
  <r>
    <n v="846"/>
    <x v="2"/>
    <n v="2008"/>
    <n v="96353"/>
    <x v="3"/>
    <x v="0"/>
    <x v="2"/>
    <n v="4069"/>
    <n v="564.29999999999995"/>
    <n v="8.99"/>
    <n v="2"/>
    <n v="63095.11"/>
    <n v="16"/>
    <n v="3943.444375"/>
    <n v="6022.0625"/>
    <n v="138.68272302777095"/>
    <x v="0"/>
    <s v="Low"/>
    <s v="Very High"/>
  </r>
  <r>
    <n v="847"/>
    <x v="3"/>
    <n v="2010"/>
    <n v="100648"/>
    <x v="2"/>
    <x v="1"/>
    <x v="2"/>
    <n v="3999"/>
    <n v="566.79999999999995"/>
    <n v="9.1"/>
    <n v="2"/>
    <n v="96956.33"/>
    <n v="14"/>
    <n v="6925.4521428571434"/>
    <n v="7189.1428571428569"/>
    <n v="141.7354338584646"/>
    <x v="0"/>
    <s v="Low"/>
    <s v="Very High"/>
  </r>
  <r>
    <n v="848"/>
    <x v="1"/>
    <n v="2023"/>
    <n v="30556"/>
    <x v="2"/>
    <x v="0"/>
    <x v="1"/>
    <n v="3379"/>
    <n v="137.9"/>
    <n v="12.13"/>
    <n v="5"/>
    <n v="46717.08"/>
    <n v="1"/>
    <n v="46717.08"/>
    <n v="30556"/>
    <n v="40.810890796093517"/>
    <x v="3"/>
    <s v="Low"/>
    <s v="Medium"/>
  </r>
  <r>
    <n v="849"/>
    <x v="2"/>
    <n v="2010"/>
    <n v="64042"/>
    <x v="2"/>
    <x v="0"/>
    <x v="0"/>
    <n v="4805"/>
    <n v="529.9"/>
    <n v="24.82"/>
    <n v="2"/>
    <n v="48410.21"/>
    <n v="14"/>
    <n v="3457.872142857143"/>
    <n v="4574.4285714285716"/>
    <n v="110.28095733610822"/>
    <x v="0"/>
    <s v="Good"/>
    <s v="Very High"/>
  </r>
  <r>
    <n v="850"/>
    <x v="6"/>
    <n v="2006"/>
    <n v="23099"/>
    <x v="0"/>
    <x v="0"/>
    <x v="1"/>
    <n v="1040"/>
    <n v="453"/>
    <n v="27.64"/>
    <n v="6"/>
    <n v="14195.74"/>
    <n v="18"/>
    <n v="788.65222222222224"/>
    <n v="1283.2777777777778"/>
    <n v="435.57692307692304"/>
    <x v="0"/>
    <s v="Excellent"/>
    <s v="Very High"/>
  </r>
  <r>
    <n v="851"/>
    <x v="7"/>
    <n v="2022"/>
    <n v="114089"/>
    <x v="0"/>
    <x v="0"/>
    <x v="2"/>
    <n v="4240"/>
    <n v="181.6"/>
    <n v="29.38"/>
    <n v="2"/>
    <n v="110006.38"/>
    <n v="2"/>
    <n v="55003.19"/>
    <n v="57044.5"/>
    <n v="42.830188679245282"/>
    <x v="3"/>
    <s v="Excellent"/>
    <s v="High"/>
  </r>
  <r>
    <n v="852"/>
    <x v="1"/>
    <n v="2017"/>
    <n v="181168"/>
    <x v="0"/>
    <x v="1"/>
    <x v="0"/>
    <n v="2207"/>
    <n v="77.7"/>
    <n v="10.81"/>
    <n v="7"/>
    <n v="13651.25"/>
    <n v="7"/>
    <n v="1950.1785714285713"/>
    <n v="25881.142857142859"/>
    <n v="35.206162211146356"/>
    <x v="1"/>
    <s v="Low"/>
    <s v="Low"/>
  </r>
  <r>
    <n v="853"/>
    <x v="1"/>
    <n v="2013"/>
    <n v="149302"/>
    <x v="2"/>
    <x v="0"/>
    <x v="1"/>
    <n v="4302"/>
    <n v="190.1"/>
    <n v="27.03"/>
    <n v="4"/>
    <n v="78840.47"/>
    <n v="11"/>
    <n v="7167.3154545454545"/>
    <n v="13572.90909090909"/>
    <n v="44.188749418874941"/>
    <x v="2"/>
    <s v="Excellent"/>
    <s v="High"/>
  </r>
  <r>
    <n v="854"/>
    <x v="6"/>
    <n v="2023"/>
    <n v="165081"/>
    <x v="1"/>
    <x v="0"/>
    <x v="0"/>
    <n v="4838"/>
    <n v="550.79999999999995"/>
    <n v="13.21"/>
    <n v="7"/>
    <n v="51343.75"/>
    <n v="1"/>
    <n v="51343.75"/>
    <n v="165081"/>
    <n v="113.84869780901198"/>
    <x v="3"/>
    <s v="Low"/>
    <s v="Very High"/>
  </r>
  <r>
    <n v="855"/>
    <x v="6"/>
    <n v="2017"/>
    <n v="38866"/>
    <x v="3"/>
    <x v="1"/>
    <x v="0"/>
    <n v="882"/>
    <n v="394.6"/>
    <n v="7.82"/>
    <n v="5"/>
    <n v="50457.47"/>
    <n v="7"/>
    <n v="7208.21"/>
    <n v="5552.2857142857147"/>
    <n v="447.39229024943313"/>
    <x v="1"/>
    <s v="Low"/>
    <s v="Very High"/>
  </r>
  <r>
    <n v="856"/>
    <x v="8"/>
    <n v="2015"/>
    <n v="110400"/>
    <x v="2"/>
    <x v="0"/>
    <x v="1"/>
    <n v="4568"/>
    <n v="443.8"/>
    <n v="26.75"/>
    <n v="2"/>
    <n v="82507.56"/>
    <n v="9"/>
    <n v="9167.5066666666662"/>
    <n v="12266.666666666666"/>
    <n v="97.154115586690025"/>
    <x v="2"/>
    <s v="Excellent"/>
    <s v="Very High"/>
  </r>
  <r>
    <n v="857"/>
    <x v="2"/>
    <n v="2005"/>
    <n v="89246"/>
    <x v="0"/>
    <x v="0"/>
    <x v="0"/>
    <n v="1750"/>
    <n v="184"/>
    <n v="20.9"/>
    <n v="2"/>
    <n v="10849.97"/>
    <n v="19"/>
    <n v="571.05105263157895"/>
    <n v="4697.1578947368425"/>
    <n v="105.14285714285714"/>
    <x v="0"/>
    <s v="Good"/>
    <s v="High"/>
  </r>
  <r>
    <n v="858"/>
    <x v="6"/>
    <n v="2011"/>
    <n v="81975"/>
    <x v="0"/>
    <x v="1"/>
    <x v="1"/>
    <n v="1410"/>
    <n v="442.9"/>
    <n v="9.1199999999999992"/>
    <n v="6"/>
    <n v="72463.58"/>
    <n v="13"/>
    <n v="5574.1215384615389"/>
    <n v="6305.7692307692305"/>
    <n v="314.11347517730496"/>
    <x v="0"/>
    <s v="Low"/>
    <s v="Very High"/>
  </r>
  <r>
    <n v="859"/>
    <x v="5"/>
    <n v="2019"/>
    <n v="177927"/>
    <x v="2"/>
    <x v="1"/>
    <x v="2"/>
    <n v="4405"/>
    <n v="55.7"/>
    <n v="15.75"/>
    <n v="2"/>
    <n v="93327.72"/>
    <n v="5"/>
    <n v="18665.544000000002"/>
    <n v="35585.4"/>
    <n v="12.64472190692395"/>
    <x v="1"/>
    <s v="Average"/>
    <s v="Low"/>
  </r>
  <r>
    <n v="860"/>
    <x v="9"/>
    <n v="2005"/>
    <n v="86557"/>
    <x v="2"/>
    <x v="1"/>
    <x v="0"/>
    <n v="4083"/>
    <n v="250.2"/>
    <n v="12.18"/>
    <n v="7"/>
    <n v="99900.89"/>
    <n v="19"/>
    <n v="5257.9415789473687"/>
    <n v="4555.6315789473683"/>
    <n v="61.278471711976479"/>
    <x v="0"/>
    <s v="Low"/>
    <s v="Very High"/>
  </r>
  <r>
    <n v="861"/>
    <x v="7"/>
    <n v="2016"/>
    <n v="142488"/>
    <x v="0"/>
    <x v="0"/>
    <x v="2"/>
    <n v="2973"/>
    <n v="391"/>
    <n v="23.42"/>
    <n v="5"/>
    <n v="22952.06"/>
    <n v="8"/>
    <n v="2869.0075000000002"/>
    <n v="17811"/>
    <n v="131.5169862092163"/>
    <x v="2"/>
    <s v="Good"/>
    <s v="Very High"/>
  </r>
  <r>
    <n v="862"/>
    <x v="2"/>
    <n v="2011"/>
    <n v="77516"/>
    <x v="1"/>
    <x v="1"/>
    <x v="2"/>
    <n v="4284"/>
    <n v="121.8"/>
    <n v="16.34"/>
    <n v="4"/>
    <n v="107998.03"/>
    <n v="13"/>
    <n v="8307.540769230769"/>
    <n v="5962.7692307692305"/>
    <n v="28.43137254901961"/>
    <x v="0"/>
    <s v="Average"/>
    <s v="Medium"/>
  </r>
  <r>
    <n v="863"/>
    <x v="4"/>
    <n v="2019"/>
    <n v="191987"/>
    <x v="0"/>
    <x v="1"/>
    <x v="0"/>
    <n v="2322"/>
    <n v="500.9"/>
    <n v="29.73"/>
    <n v="2"/>
    <n v="79769.09"/>
    <n v="5"/>
    <n v="15953.817999999999"/>
    <n v="38397.4"/>
    <n v="215.71920757967268"/>
    <x v="1"/>
    <s v="Excellent"/>
    <s v="Very High"/>
  </r>
  <r>
    <n v="864"/>
    <x v="5"/>
    <n v="2023"/>
    <n v="154130"/>
    <x v="0"/>
    <x v="0"/>
    <x v="1"/>
    <n v="3401"/>
    <n v="171.6"/>
    <n v="6.37"/>
    <n v="4"/>
    <n v="106177.01"/>
    <n v="1"/>
    <n v="106177.01"/>
    <n v="154130"/>
    <n v="50.455748309320789"/>
    <x v="3"/>
    <s v="Low"/>
    <s v="High"/>
  </r>
  <r>
    <n v="865"/>
    <x v="3"/>
    <n v="2005"/>
    <n v="176790"/>
    <x v="2"/>
    <x v="0"/>
    <x v="0"/>
    <n v="3457"/>
    <n v="405.3"/>
    <n v="13.88"/>
    <n v="2"/>
    <n v="59777.84"/>
    <n v="19"/>
    <n v="3146.2021052631576"/>
    <n v="9304.7368421052633"/>
    <n v="117.24038183396009"/>
    <x v="0"/>
    <s v="Low"/>
    <s v="Very High"/>
  </r>
  <r>
    <n v="866"/>
    <x v="6"/>
    <n v="2021"/>
    <n v="37602"/>
    <x v="1"/>
    <x v="0"/>
    <x v="2"/>
    <n v="2959"/>
    <n v="266.89999999999998"/>
    <n v="17.05"/>
    <n v="5"/>
    <n v="66417.899999999994"/>
    <n v="3"/>
    <n v="22139.3"/>
    <n v="12534"/>
    <n v="90.199391686380523"/>
    <x v="3"/>
    <s v="Average"/>
    <s v="Very High"/>
  </r>
  <r>
    <n v="867"/>
    <x v="4"/>
    <n v="2021"/>
    <n v="194139"/>
    <x v="0"/>
    <x v="0"/>
    <x v="2"/>
    <n v="3249"/>
    <n v="373.8"/>
    <n v="17.579999999999998"/>
    <n v="7"/>
    <n v="110527.48"/>
    <n v="3"/>
    <n v="36842.493333333332"/>
    <n v="64713"/>
    <n v="115.05078485687903"/>
    <x v="3"/>
    <s v="Average"/>
    <s v="Very High"/>
  </r>
  <r>
    <n v="868"/>
    <x v="6"/>
    <n v="2007"/>
    <n v="163588"/>
    <x v="0"/>
    <x v="0"/>
    <x v="1"/>
    <n v="4630"/>
    <n v="100.2"/>
    <n v="12.9"/>
    <n v="5"/>
    <n v="108289.42"/>
    <n v="17"/>
    <n v="6369.9658823529408"/>
    <n v="9622.823529411764"/>
    <n v="21.641468682505401"/>
    <x v="0"/>
    <s v="Low"/>
    <s v="Medium"/>
  </r>
  <r>
    <n v="869"/>
    <x v="1"/>
    <n v="2016"/>
    <n v="134295"/>
    <x v="3"/>
    <x v="1"/>
    <x v="0"/>
    <n v="921"/>
    <n v="49.5"/>
    <n v="23.23"/>
    <n v="4"/>
    <n v="55434.82"/>
    <n v="8"/>
    <n v="6929.3525"/>
    <n v="16786.875"/>
    <n v="53.745928338762212"/>
    <x v="2"/>
    <s v="Good"/>
    <s v="Low"/>
  </r>
  <r>
    <n v="870"/>
    <x v="5"/>
    <n v="2010"/>
    <n v="92969"/>
    <x v="2"/>
    <x v="1"/>
    <x v="2"/>
    <n v="2117"/>
    <n v="549.4"/>
    <n v="26.87"/>
    <n v="2"/>
    <n v="35106.28"/>
    <n v="14"/>
    <n v="2507.5914285714284"/>
    <n v="6640.6428571428569"/>
    <n v="259.51818611242322"/>
    <x v="0"/>
    <s v="Excellent"/>
    <s v="Very High"/>
  </r>
  <r>
    <n v="871"/>
    <x v="1"/>
    <n v="2015"/>
    <n v="137161"/>
    <x v="3"/>
    <x v="1"/>
    <x v="2"/>
    <n v="3318"/>
    <n v="191"/>
    <n v="28.47"/>
    <n v="4"/>
    <n v="49000.94"/>
    <n v="9"/>
    <n v="5444.5488888888895"/>
    <n v="15240.111111111111"/>
    <n v="57.564798071127186"/>
    <x v="2"/>
    <s v="Excellent"/>
    <s v="High"/>
  </r>
  <r>
    <n v="872"/>
    <x v="8"/>
    <n v="2007"/>
    <n v="173418"/>
    <x v="3"/>
    <x v="0"/>
    <x v="2"/>
    <n v="2030"/>
    <n v="499"/>
    <n v="25.13"/>
    <n v="7"/>
    <n v="48368.43"/>
    <n v="17"/>
    <n v="2845.2017647058824"/>
    <n v="10201.058823529413"/>
    <n v="245.81280788177341"/>
    <x v="0"/>
    <s v="Excellent"/>
    <s v="Very High"/>
  </r>
  <r>
    <n v="873"/>
    <x v="1"/>
    <n v="2012"/>
    <n v="146559"/>
    <x v="0"/>
    <x v="0"/>
    <x v="1"/>
    <n v="1933"/>
    <n v="599.6"/>
    <n v="26.26"/>
    <n v="5"/>
    <n v="36563.42"/>
    <n v="12"/>
    <n v="3046.9516666666664"/>
    <n v="12213.25"/>
    <n v="310.19141231246766"/>
    <x v="2"/>
    <s v="Excellent"/>
    <s v="Very High"/>
  </r>
  <r>
    <n v="874"/>
    <x v="8"/>
    <n v="2018"/>
    <n v="5155"/>
    <x v="2"/>
    <x v="0"/>
    <x v="2"/>
    <n v="2101"/>
    <n v="158.4"/>
    <n v="18.760000000000002"/>
    <n v="4"/>
    <n v="34423.81"/>
    <n v="6"/>
    <n v="5737.3016666666663"/>
    <n v="859.16666666666663"/>
    <n v="75.392670157068068"/>
    <x v="1"/>
    <s v="Average"/>
    <s v="High"/>
  </r>
  <r>
    <n v="875"/>
    <x v="8"/>
    <n v="2018"/>
    <n v="128950"/>
    <x v="1"/>
    <x v="1"/>
    <x v="2"/>
    <n v="4834"/>
    <n v="188.5"/>
    <n v="25.65"/>
    <n v="4"/>
    <n v="103744.36"/>
    <n v="6"/>
    <n v="17290.726666666666"/>
    <n v="21491.666666666668"/>
    <n v="38.994621431526689"/>
    <x v="1"/>
    <s v="Excellent"/>
    <s v="High"/>
  </r>
  <r>
    <n v="876"/>
    <x v="4"/>
    <n v="2014"/>
    <n v="72494"/>
    <x v="0"/>
    <x v="1"/>
    <x v="0"/>
    <n v="2710"/>
    <n v="411.2"/>
    <n v="12.59"/>
    <n v="7"/>
    <n v="11173.84"/>
    <n v="10"/>
    <n v="1117.384"/>
    <n v="7249.4"/>
    <n v="151.73431734317342"/>
    <x v="2"/>
    <s v="Low"/>
    <s v="Very High"/>
  </r>
  <r>
    <n v="877"/>
    <x v="6"/>
    <n v="2006"/>
    <n v="81229"/>
    <x v="1"/>
    <x v="0"/>
    <x v="0"/>
    <n v="2305"/>
    <n v="580.70000000000005"/>
    <n v="14.96"/>
    <n v="2"/>
    <n v="82280.509999999995"/>
    <n v="18"/>
    <n v="4571.1394444444441"/>
    <n v="4512.7222222222226"/>
    <n v="251.93058568329718"/>
    <x v="0"/>
    <s v="Low"/>
    <s v="Very High"/>
  </r>
  <r>
    <n v="878"/>
    <x v="3"/>
    <n v="2018"/>
    <n v="109648"/>
    <x v="1"/>
    <x v="1"/>
    <x v="2"/>
    <n v="3985"/>
    <n v="552.9"/>
    <n v="12.92"/>
    <n v="4"/>
    <n v="23219.95"/>
    <n v="6"/>
    <n v="3869.9916666666668"/>
    <n v="18274.666666666668"/>
    <n v="138.74529485570892"/>
    <x v="1"/>
    <s v="Low"/>
    <s v="Very High"/>
  </r>
  <r>
    <n v="879"/>
    <x v="1"/>
    <n v="2013"/>
    <n v="43547"/>
    <x v="2"/>
    <x v="0"/>
    <x v="2"/>
    <n v="2716"/>
    <n v="321.60000000000002"/>
    <n v="16.68"/>
    <n v="7"/>
    <n v="43307.19"/>
    <n v="11"/>
    <n v="3937.0172727272729"/>
    <n v="3958.818181818182"/>
    <n v="118.40942562592048"/>
    <x v="2"/>
    <s v="Average"/>
    <s v="Very High"/>
  </r>
  <r>
    <n v="880"/>
    <x v="5"/>
    <n v="2007"/>
    <n v="33795"/>
    <x v="3"/>
    <x v="1"/>
    <x v="0"/>
    <n v="4348"/>
    <n v="485.3"/>
    <n v="12.14"/>
    <n v="2"/>
    <n v="10200.530000000001"/>
    <n v="17"/>
    <n v="600.03117647058832"/>
    <n v="1987.9411764705883"/>
    <n v="111.61453541858326"/>
    <x v="0"/>
    <s v="Low"/>
    <s v="Very High"/>
  </r>
  <r>
    <n v="881"/>
    <x v="8"/>
    <n v="2012"/>
    <n v="191368"/>
    <x v="2"/>
    <x v="1"/>
    <x v="1"/>
    <n v="3557"/>
    <n v="116"/>
    <n v="29.04"/>
    <n v="2"/>
    <n v="34586.92"/>
    <n v="12"/>
    <n v="2882.2433333333333"/>
    <n v="15947.333333333334"/>
    <n v="32.61175147596289"/>
    <x v="2"/>
    <s v="Excellent"/>
    <s v="Medium"/>
  </r>
  <r>
    <n v="882"/>
    <x v="6"/>
    <n v="2020"/>
    <n v="26447"/>
    <x v="1"/>
    <x v="1"/>
    <x v="1"/>
    <n v="2756"/>
    <n v="587.4"/>
    <n v="12.82"/>
    <n v="5"/>
    <n v="92905.27"/>
    <n v="4"/>
    <n v="23226.317500000001"/>
    <n v="6611.75"/>
    <n v="213.13497822931785"/>
    <x v="1"/>
    <s v="Low"/>
    <s v="Very High"/>
  </r>
  <r>
    <n v="883"/>
    <x v="7"/>
    <n v="2006"/>
    <n v="172670"/>
    <x v="0"/>
    <x v="0"/>
    <x v="1"/>
    <n v="978"/>
    <n v="580"/>
    <n v="7.45"/>
    <n v="7"/>
    <n v="106546.79"/>
    <n v="18"/>
    <n v="5919.2661111111111"/>
    <n v="9592.7777777777774"/>
    <n v="593.04703476482621"/>
    <x v="0"/>
    <s v="Low"/>
    <s v="Very High"/>
  </r>
  <r>
    <n v="884"/>
    <x v="2"/>
    <n v="2010"/>
    <n v="177886"/>
    <x v="1"/>
    <x v="1"/>
    <x v="1"/>
    <n v="1696"/>
    <n v="131.69999999999999"/>
    <n v="18.170000000000002"/>
    <n v="2"/>
    <n v="28918.68"/>
    <n v="14"/>
    <n v="2065.62"/>
    <n v="12706.142857142857"/>
    <n v="77.653301886792448"/>
    <x v="0"/>
    <s v="Average"/>
    <s v="Medium"/>
  </r>
  <r>
    <n v="885"/>
    <x v="4"/>
    <n v="2016"/>
    <n v="92960"/>
    <x v="0"/>
    <x v="1"/>
    <x v="1"/>
    <n v="2351"/>
    <n v="207.7"/>
    <n v="6.43"/>
    <n v="5"/>
    <n v="57235.1"/>
    <n v="8"/>
    <n v="7154.3874999999998"/>
    <n v="11620"/>
    <n v="88.345384942577624"/>
    <x v="2"/>
    <s v="Low"/>
    <s v="Very High"/>
  </r>
  <r>
    <n v="886"/>
    <x v="3"/>
    <n v="2009"/>
    <n v="68278"/>
    <x v="0"/>
    <x v="0"/>
    <x v="1"/>
    <n v="1291"/>
    <n v="96.1"/>
    <n v="7.76"/>
    <n v="6"/>
    <n v="58027.91"/>
    <n v="15"/>
    <n v="3868.5273333333334"/>
    <n v="4551.8666666666668"/>
    <n v="74.438419829589463"/>
    <x v="0"/>
    <s v="Low"/>
    <s v="Low"/>
  </r>
  <r>
    <n v="887"/>
    <x v="0"/>
    <n v="2006"/>
    <n v="60077"/>
    <x v="2"/>
    <x v="1"/>
    <x v="1"/>
    <n v="860"/>
    <n v="192.2"/>
    <n v="10.48"/>
    <n v="7"/>
    <n v="105208.31"/>
    <n v="18"/>
    <n v="5844.9061111111114"/>
    <n v="3337.6111111111113"/>
    <n v="223.48837209302326"/>
    <x v="0"/>
    <s v="Low"/>
    <s v="High"/>
  </r>
  <r>
    <n v="888"/>
    <x v="4"/>
    <n v="2020"/>
    <n v="117782"/>
    <x v="1"/>
    <x v="0"/>
    <x v="1"/>
    <n v="1877"/>
    <n v="496.9"/>
    <n v="16.61"/>
    <n v="6"/>
    <n v="92247.49"/>
    <n v="4"/>
    <n v="23061.872500000001"/>
    <n v="29445.5"/>
    <n v="264.73095364944061"/>
    <x v="1"/>
    <s v="Average"/>
    <s v="Very High"/>
  </r>
  <r>
    <n v="889"/>
    <x v="7"/>
    <n v="2009"/>
    <n v="107932"/>
    <x v="3"/>
    <x v="0"/>
    <x v="0"/>
    <n v="3695"/>
    <n v="251.9"/>
    <n v="15.83"/>
    <n v="2"/>
    <n v="63030.03"/>
    <n v="15"/>
    <n v="4202.0019999999995"/>
    <n v="7195.4666666666662"/>
    <n v="68.173207036535857"/>
    <x v="0"/>
    <s v="Average"/>
    <s v="Very High"/>
  </r>
  <r>
    <n v="890"/>
    <x v="2"/>
    <n v="2019"/>
    <n v="145600"/>
    <x v="1"/>
    <x v="0"/>
    <x v="1"/>
    <n v="4960"/>
    <n v="89.5"/>
    <n v="24.99"/>
    <n v="7"/>
    <n v="81477.42"/>
    <n v="5"/>
    <n v="16295.484"/>
    <n v="29120"/>
    <n v="18.044354838709676"/>
    <x v="1"/>
    <s v="Good"/>
    <s v="Low"/>
  </r>
  <r>
    <n v="891"/>
    <x v="7"/>
    <n v="2016"/>
    <n v="186172"/>
    <x v="1"/>
    <x v="0"/>
    <x v="1"/>
    <n v="4483"/>
    <n v="231.6"/>
    <n v="23.49"/>
    <n v="5"/>
    <n v="102140.54"/>
    <n v="8"/>
    <n v="12767.567499999999"/>
    <n v="23271.5"/>
    <n v="51.661833593575736"/>
    <x v="2"/>
    <s v="Good"/>
    <s v="Very High"/>
  </r>
  <r>
    <n v="892"/>
    <x v="1"/>
    <n v="2008"/>
    <n v="114869"/>
    <x v="3"/>
    <x v="0"/>
    <x v="1"/>
    <n v="1385"/>
    <n v="589.6"/>
    <n v="15.66"/>
    <n v="2"/>
    <n v="4116.0600000000004"/>
    <n v="16"/>
    <n v="257.25375000000003"/>
    <n v="7179.3125"/>
    <n v="425.7039711191336"/>
    <x v="0"/>
    <s v="Average"/>
    <s v="Very High"/>
  </r>
  <r>
    <n v="893"/>
    <x v="8"/>
    <n v="2019"/>
    <n v="144251"/>
    <x v="2"/>
    <x v="1"/>
    <x v="2"/>
    <n v="4760"/>
    <n v="392.6"/>
    <n v="13.34"/>
    <n v="7"/>
    <n v="50138.13"/>
    <n v="5"/>
    <n v="10027.626"/>
    <n v="28850.2"/>
    <n v="82.478991596638664"/>
    <x v="1"/>
    <s v="Low"/>
    <s v="Very High"/>
  </r>
  <r>
    <n v="894"/>
    <x v="3"/>
    <n v="2015"/>
    <n v="53781"/>
    <x v="1"/>
    <x v="0"/>
    <x v="0"/>
    <n v="4570"/>
    <n v="273.10000000000002"/>
    <n v="12.91"/>
    <n v="7"/>
    <n v="109147.45"/>
    <n v="9"/>
    <n v="12127.494444444445"/>
    <n v="5975.666666666667"/>
    <n v="59.759299781181618"/>
    <x v="2"/>
    <s v="Low"/>
    <s v="Very High"/>
  </r>
  <r>
    <n v="895"/>
    <x v="9"/>
    <n v="2020"/>
    <n v="191339"/>
    <x v="1"/>
    <x v="0"/>
    <x v="0"/>
    <n v="1334"/>
    <n v="133.30000000000001"/>
    <n v="24.35"/>
    <n v="6"/>
    <n v="89616.62"/>
    <n v="4"/>
    <n v="22404.154999999999"/>
    <n v="47834.75"/>
    <n v="99.925037481259366"/>
    <x v="1"/>
    <s v="Good"/>
    <s v="Medium"/>
  </r>
  <r>
    <n v="896"/>
    <x v="8"/>
    <n v="2010"/>
    <n v="160024"/>
    <x v="0"/>
    <x v="0"/>
    <x v="0"/>
    <n v="4262"/>
    <n v="592.29999999999995"/>
    <n v="6.3"/>
    <n v="2"/>
    <n v="66512.44"/>
    <n v="14"/>
    <n v="4750.8885714285716"/>
    <n v="11430.285714285714"/>
    <n v="138.97231346785546"/>
    <x v="0"/>
    <s v="Low"/>
    <s v="Very High"/>
  </r>
  <r>
    <n v="897"/>
    <x v="9"/>
    <n v="2018"/>
    <n v="58798"/>
    <x v="1"/>
    <x v="0"/>
    <x v="1"/>
    <n v="4811"/>
    <n v="499.7"/>
    <n v="5.32"/>
    <n v="5"/>
    <n v="64968.41"/>
    <n v="6"/>
    <n v="10828.068333333335"/>
    <n v="9799.6666666666661"/>
    <n v="103.86614009561421"/>
    <x v="1"/>
    <s v="Low"/>
    <s v="Very High"/>
  </r>
  <r>
    <n v="898"/>
    <x v="2"/>
    <n v="2022"/>
    <n v="103696"/>
    <x v="3"/>
    <x v="1"/>
    <x v="1"/>
    <n v="4198"/>
    <n v="197.6"/>
    <n v="24.89"/>
    <n v="5"/>
    <n v="43689.1"/>
    <n v="2"/>
    <n v="21844.55"/>
    <n v="51848"/>
    <n v="47.070033349213908"/>
    <x v="3"/>
    <s v="Good"/>
    <s v="High"/>
  </r>
  <r>
    <n v="899"/>
    <x v="6"/>
    <n v="2016"/>
    <n v="55939"/>
    <x v="0"/>
    <x v="0"/>
    <x v="2"/>
    <n v="2955"/>
    <n v="79.2"/>
    <n v="16.93"/>
    <n v="2"/>
    <n v="63900.9"/>
    <n v="8"/>
    <n v="7987.6125000000002"/>
    <n v="6992.375"/>
    <n v="26.802030456852791"/>
    <x v="2"/>
    <s v="Average"/>
    <s v="Low"/>
  </r>
  <r>
    <n v="900"/>
    <x v="0"/>
    <n v="2015"/>
    <n v="34516"/>
    <x v="2"/>
    <x v="1"/>
    <x v="0"/>
    <n v="1804"/>
    <n v="71.7"/>
    <n v="8.27"/>
    <n v="2"/>
    <n v="79679.83"/>
    <n v="9"/>
    <n v="8853.3144444444442"/>
    <n v="3835.1111111111113"/>
    <n v="39.745011086474499"/>
    <x v="2"/>
    <s v="Low"/>
    <s v="Low"/>
  </r>
  <r>
    <n v="901"/>
    <x v="5"/>
    <n v="2017"/>
    <n v="192598"/>
    <x v="0"/>
    <x v="0"/>
    <x v="1"/>
    <n v="3299"/>
    <n v="107.4"/>
    <n v="10.89"/>
    <n v="4"/>
    <n v="51948.480000000003"/>
    <n v="7"/>
    <n v="7421.2114285714288"/>
    <n v="27514"/>
    <n v="32.555319793876933"/>
    <x v="1"/>
    <s v="Low"/>
    <s v="Medium"/>
  </r>
  <r>
    <n v="902"/>
    <x v="8"/>
    <n v="2015"/>
    <n v="146521"/>
    <x v="3"/>
    <x v="1"/>
    <x v="0"/>
    <n v="1126"/>
    <n v="365.2"/>
    <n v="28.31"/>
    <n v="6"/>
    <n v="86555.92"/>
    <n v="9"/>
    <n v="9617.3244444444445"/>
    <n v="16280.111111111111"/>
    <n v="324.33392539964478"/>
    <x v="2"/>
    <s v="Excellent"/>
    <s v="Very High"/>
  </r>
  <r>
    <n v="903"/>
    <x v="3"/>
    <n v="2020"/>
    <n v="55290"/>
    <x v="3"/>
    <x v="0"/>
    <x v="2"/>
    <n v="3506"/>
    <n v="560.1"/>
    <n v="26.49"/>
    <n v="2"/>
    <n v="103764.17"/>
    <n v="4"/>
    <n v="25941.0425"/>
    <n v="13822.5"/>
    <n v="159.75470621791217"/>
    <x v="1"/>
    <s v="Excellent"/>
    <s v="Very High"/>
  </r>
  <r>
    <n v="904"/>
    <x v="7"/>
    <n v="2019"/>
    <n v="131688"/>
    <x v="0"/>
    <x v="0"/>
    <x v="2"/>
    <n v="801"/>
    <n v="318.2"/>
    <n v="22.74"/>
    <n v="2"/>
    <n v="21098.13"/>
    <n v="5"/>
    <n v="4219.6260000000002"/>
    <n v="26337.599999999999"/>
    <n v="397.25343320848935"/>
    <x v="1"/>
    <s v="Good"/>
    <s v="Very High"/>
  </r>
  <r>
    <n v="905"/>
    <x v="3"/>
    <n v="2019"/>
    <n v="91661"/>
    <x v="2"/>
    <x v="1"/>
    <x v="2"/>
    <n v="1833"/>
    <n v="512"/>
    <n v="17.059999999999999"/>
    <n v="4"/>
    <n v="55831"/>
    <n v="5"/>
    <n v="11166.2"/>
    <n v="18332.2"/>
    <n v="279.32351336606655"/>
    <x v="1"/>
    <s v="Average"/>
    <s v="Very High"/>
  </r>
  <r>
    <n v="906"/>
    <x v="2"/>
    <n v="2008"/>
    <n v="77954"/>
    <x v="0"/>
    <x v="0"/>
    <x v="0"/>
    <n v="3281"/>
    <n v="289.7"/>
    <n v="18.010000000000002"/>
    <n v="4"/>
    <n v="50738.35"/>
    <n v="16"/>
    <n v="3171.1468749999999"/>
    <n v="4872.125"/>
    <n v="88.296251142944215"/>
    <x v="0"/>
    <s v="Average"/>
    <s v="Very High"/>
  </r>
  <r>
    <n v="907"/>
    <x v="9"/>
    <n v="2015"/>
    <n v="27746"/>
    <x v="2"/>
    <x v="1"/>
    <x v="1"/>
    <n v="924"/>
    <n v="436.8"/>
    <n v="29.38"/>
    <n v="7"/>
    <n v="83433.38"/>
    <n v="9"/>
    <n v="9270.3755555555563"/>
    <n v="3082.8888888888887"/>
    <n v="472.72727272727269"/>
    <x v="2"/>
    <s v="Excellent"/>
    <s v="Very High"/>
  </r>
  <r>
    <n v="908"/>
    <x v="7"/>
    <n v="2023"/>
    <n v="72990"/>
    <x v="0"/>
    <x v="0"/>
    <x v="1"/>
    <n v="1904"/>
    <n v="449.8"/>
    <n v="29.14"/>
    <n v="5"/>
    <n v="32234.49"/>
    <n v="1"/>
    <n v="32234.49"/>
    <n v="72990"/>
    <n v="236.23949579831935"/>
    <x v="3"/>
    <s v="Excellent"/>
    <s v="Very High"/>
  </r>
  <r>
    <n v="909"/>
    <x v="5"/>
    <n v="2019"/>
    <n v="63810"/>
    <x v="3"/>
    <x v="1"/>
    <x v="2"/>
    <n v="3499"/>
    <n v="137.4"/>
    <n v="10.38"/>
    <n v="6"/>
    <n v="77909.36"/>
    <n v="5"/>
    <n v="15581.871999999999"/>
    <n v="12762"/>
    <n v="39.268362389254072"/>
    <x v="1"/>
    <s v="Low"/>
    <s v="Medium"/>
  </r>
  <r>
    <n v="910"/>
    <x v="5"/>
    <n v="2008"/>
    <n v="123362"/>
    <x v="1"/>
    <x v="0"/>
    <x v="1"/>
    <n v="2661"/>
    <n v="242.3"/>
    <n v="25.28"/>
    <n v="7"/>
    <n v="105666.24000000001"/>
    <n v="16"/>
    <n v="6604.14"/>
    <n v="7710.125"/>
    <n v="91.055993987222848"/>
    <x v="0"/>
    <s v="Excellent"/>
    <s v="Very High"/>
  </r>
  <r>
    <n v="911"/>
    <x v="8"/>
    <n v="2017"/>
    <n v="151295"/>
    <x v="1"/>
    <x v="0"/>
    <x v="2"/>
    <n v="3720"/>
    <n v="396.9"/>
    <n v="9.93"/>
    <n v="2"/>
    <n v="51921.4"/>
    <n v="7"/>
    <n v="7417.3428571428576"/>
    <n v="21613.571428571428"/>
    <n v="106.69354838709677"/>
    <x v="1"/>
    <s v="Low"/>
    <s v="Very High"/>
  </r>
  <r>
    <n v="912"/>
    <x v="2"/>
    <n v="2023"/>
    <n v="138669"/>
    <x v="2"/>
    <x v="1"/>
    <x v="0"/>
    <n v="928"/>
    <n v="79.599999999999994"/>
    <n v="10.34"/>
    <n v="4"/>
    <n v="109588.84"/>
    <n v="1"/>
    <n v="109588.84"/>
    <n v="138669"/>
    <n v="85.775862068965509"/>
    <x v="3"/>
    <s v="Low"/>
    <s v="Low"/>
  </r>
  <r>
    <n v="913"/>
    <x v="6"/>
    <n v="2006"/>
    <n v="7659"/>
    <x v="2"/>
    <x v="0"/>
    <x v="2"/>
    <n v="1237"/>
    <n v="242.5"/>
    <n v="21.9"/>
    <n v="5"/>
    <n v="119200.16"/>
    <n v="18"/>
    <n v="6622.2311111111112"/>
    <n v="425.5"/>
    <n v="196.03880355699272"/>
    <x v="0"/>
    <s v="Good"/>
    <s v="Very High"/>
  </r>
  <r>
    <n v="914"/>
    <x v="2"/>
    <n v="2018"/>
    <n v="91516"/>
    <x v="2"/>
    <x v="0"/>
    <x v="0"/>
    <n v="3348"/>
    <n v="339.5"/>
    <n v="15.13"/>
    <n v="7"/>
    <n v="15412.77"/>
    <n v="6"/>
    <n v="2568.7950000000001"/>
    <n v="15252.666666666666"/>
    <n v="101.40382317801674"/>
    <x v="1"/>
    <s v="Average"/>
    <s v="Very High"/>
  </r>
  <r>
    <n v="915"/>
    <x v="9"/>
    <n v="2008"/>
    <n v="79567"/>
    <x v="3"/>
    <x v="0"/>
    <x v="2"/>
    <n v="3929"/>
    <n v="597.9"/>
    <n v="28.29"/>
    <n v="5"/>
    <n v="30267.22"/>
    <n v="16"/>
    <n v="1891.7012500000001"/>
    <n v="4972.9375"/>
    <n v="152.17612624077373"/>
    <x v="0"/>
    <s v="Excellent"/>
    <s v="Very High"/>
  </r>
  <r>
    <n v="916"/>
    <x v="3"/>
    <n v="2020"/>
    <n v="20037"/>
    <x v="0"/>
    <x v="0"/>
    <x v="1"/>
    <n v="2021"/>
    <n v="305.7"/>
    <n v="7.23"/>
    <n v="4"/>
    <n v="114194.43"/>
    <n v="4"/>
    <n v="28548.607499999998"/>
    <n v="5009.25"/>
    <n v="151.26175160811479"/>
    <x v="1"/>
    <s v="Low"/>
    <s v="Very High"/>
  </r>
  <r>
    <n v="917"/>
    <x v="5"/>
    <n v="2024"/>
    <n v="131498"/>
    <x v="3"/>
    <x v="0"/>
    <x v="1"/>
    <n v="1701"/>
    <n v="497"/>
    <n v="17.79"/>
    <n v="7"/>
    <n v="115124.34"/>
    <n v="0"/>
    <n v="115124.34"/>
    <n v="131498"/>
    <n v="292.18106995884773"/>
    <x v="3"/>
    <s v="Average"/>
    <s v="Very High"/>
  </r>
  <r>
    <n v="918"/>
    <x v="3"/>
    <n v="2018"/>
    <n v="182810"/>
    <x v="1"/>
    <x v="0"/>
    <x v="2"/>
    <n v="3968"/>
    <n v="282"/>
    <n v="27.96"/>
    <n v="7"/>
    <n v="14431.75"/>
    <n v="6"/>
    <n v="2405.2916666666665"/>
    <n v="30468.333333333332"/>
    <n v="71.068548387096769"/>
    <x v="1"/>
    <s v="Excellent"/>
    <s v="Very High"/>
  </r>
  <r>
    <n v="919"/>
    <x v="3"/>
    <n v="2019"/>
    <n v="17109"/>
    <x v="2"/>
    <x v="1"/>
    <x v="1"/>
    <n v="4718"/>
    <n v="486"/>
    <n v="27.6"/>
    <n v="5"/>
    <n v="4754.82"/>
    <n v="5"/>
    <n v="950.96399999999994"/>
    <n v="3421.8"/>
    <n v="103.00974989402289"/>
    <x v="1"/>
    <s v="Excellent"/>
    <s v="Very High"/>
  </r>
  <r>
    <n v="920"/>
    <x v="3"/>
    <n v="2007"/>
    <n v="27010"/>
    <x v="0"/>
    <x v="1"/>
    <x v="1"/>
    <n v="1867"/>
    <n v="373.4"/>
    <n v="8.91"/>
    <n v="4"/>
    <n v="21848.7"/>
    <n v="17"/>
    <n v="1285.2176470588236"/>
    <n v="1588.8235294117646"/>
    <n v="200"/>
    <x v="0"/>
    <s v="Low"/>
    <s v="Very High"/>
  </r>
  <r>
    <n v="921"/>
    <x v="5"/>
    <n v="2012"/>
    <n v="13787"/>
    <x v="1"/>
    <x v="1"/>
    <x v="1"/>
    <n v="826"/>
    <n v="536.5"/>
    <n v="14.17"/>
    <n v="2"/>
    <n v="119533.5"/>
    <n v="12"/>
    <n v="9961.125"/>
    <n v="1148.9166666666667"/>
    <n v="649.51573849878935"/>
    <x v="2"/>
    <s v="Low"/>
    <s v="Very High"/>
  </r>
  <r>
    <n v="922"/>
    <x v="4"/>
    <n v="2020"/>
    <n v="144544"/>
    <x v="1"/>
    <x v="0"/>
    <x v="0"/>
    <n v="1347"/>
    <n v="270.10000000000002"/>
    <n v="20.48"/>
    <n v="7"/>
    <n v="24059.96"/>
    <n v="4"/>
    <n v="6014.99"/>
    <n v="36136"/>
    <n v="200.51967334818116"/>
    <x v="1"/>
    <s v="Good"/>
    <s v="Very High"/>
  </r>
  <r>
    <n v="923"/>
    <x v="1"/>
    <n v="2014"/>
    <n v="159455"/>
    <x v="1"/>
    <x v="1"/>
    <x v="1"/>
    <n v="3468"/>
    <n v="378.4"/>
    <n v="8.98"/>
    <n v="2"/>
    <n v="61798.07"/>
    <n v="10"/>
    <n v="6179.8069999999998"/>
    <n v="15945.5"/>
    <n v="109.11188004613609"/>
    <x v="2"/>
    <s v="Low"/>
    <s v="Very High"/>
  </r>
  <r>
    <n v="924"/>
    <x v="9"/>
    <n v="2008"/>
    <n v="66709"/>
    <x v="3"/>
    <x v="0"/>
    <x v="0"/>
    <n v="1366"/>
    <n v="392.8"/>
    <n v="29.2"/>
    <n v="4"/>
    <n v="102264.87"/>
    <n v="16"/>
    <n v="6391.5543749999997"/>
    <n v="4169.3125"/>
    <n v="287.55490483162515"/>
    <x v="0"/>
    <s v="Excellent"/>
    <s v="Very High"/>
  </r>
  <r>
    <n v="925"/>
    <x v="4"/>
    <n v="2022"/>
    <n v="39518"/>
    <x v="2"/>
    <x v="0"/>
    <x v="2"/>
    <n v="1503"/>
    <n v="273.7"/>
    <n v="27.87"/>
    <n v="7"/>
    <n v="5386.99"/>
    <n v="2"/>
    <n v="2693.4949999999999"/>
    <n v="19759"/>
    <n v="182.1024617431803"/>
    <x v="3"/>
    <s v="Excellent"/>
    <s v="Very High"/>
  </r>
  <r>
    <n v="926"/>
    <x v="9"/>
    <n v="2006"/>
    <n v="58909"/>
    <x v="1"/>
    <x v="0"/>
    <x v="1"/>
    <n v="3940"/>
    <n v="120.8"/>
    <n v="9.17"/>
    <n v="7"/>
    <n v="73725.210000000006"/>
    <n v="18"/>
    <n v="4095.8450000000003"/>
    <n v="3272.7222222222222"/>
    <n v="30.659898477157359"/>
    <x v="0"/>
    <s v="Low"/>
    <s v="Medium"/>
  </r>
  <r>
    <n v="927"/>
    <x v="7"/>
    <n v="2021"/>
    <n v="23351"/>
    <x v="2"/>
    <x v="0"/>
    <x v="1"/>
    <n v="2390"/>
    <n v="92.4"/>
    <n v="8.0299999999999994"/>
    <n v="2"/>
    <n v="35411.980000000003"/>
    <n v="3"/>
    <n v="11803.993333333334"/>
    <n v="7783.666666666667"/>
    <n v="38.661087866108787"/>
    <x v="3"/>
    <s v="Low"/>
    <s v="Low"/>
  </r>
  <r>
    <n v="928"/>
    <x v="2"/>
    <n v="2017"/>
    <n v="189402"/>
    <x v="3"/>
    <x v="1"/>
    <x v="1"/>
    <n v="1605"/>
    <n v="49.3"/>
    <n v="7.14"/>
    <n v="6"/>
    <n v="103893.19"/>
    <n v="7"/>
    <n v="14841.884285714286"/>
    <n v="27057.428571428572"/>
    <n v="30.716510903426791"/>
    <x v="1"/>
    <s v="Low"/>
    <s v="Low"/>
  </r>
  <r>
    <n v="929"/>
    <x v="2"/>
    <n v="2008"/>
    <n v="20282"/>
    <x v="1"/>
    <x v="0"/>
    <x v="2"/>
    <n v="4591"/>
    <n v="529.20000000000005"/>
    <n v="27.74"/>
    <n v="2"/>
    <n v="36164.949999999997"/>
    <n v="16"/>
    <n v="2260.3093749999998"/>
    <n v="1267.625"/>
    <n v="115.26900457416686"/>
    <x v="0"/>
    <s v="Excellent"/>
    <s v="Very High"/>
  </r>
  <r>
    <n v="930"/>
    <x v="0"/>
    <n v="2015"/>
    <n v="157850"/>
    <x v="3"/>
    <x v="1"/>
    <x v="0"/>
    <n v="2157"/>
    <n v="172.4"/>
    <n v="9.84"/>
    <n v="2"/>
    <n v="83350.42"/>
    <n v="9"/>
    <n v="9261.1577777777784"/>
    <n v="17538.888888888891"/>
    <n v="79.92582290217895"/>
    <x v="2"/>
    <s v="Low"/>
    <s v="High"/>
  </r>
  <r>
    <n v="931"/>
    <x v="2"/>
    <n v="2011"/>
    <n v="160336"/>
    <x v="3"/>
    <x v="0"/>
    <x v="0"/>
    <n v="4025"/>
    <n v="158.4"/>
    <n v="15.41"/>
    <n v="6"/>
    <n v="81883.7"/>
    <n v="13"/>
    <n v="6298.7461538461539"/>
    <n v="12333.538461538461"/>
    <n v="39.354037267080741"/>
    <x v="0"/>
    <s v="Average"/>
    <s v="High"/>
  </r>
  <r>
    <n v="932"/>
    <x v="5"/>
    <n v="2016"/>
    <n v="195747"/>
    <x v="2"/>
    <x v="1"/>
    <x v="1"/>
    <n v="4418"/>
    <n v="452.2"/>
    <n v="16.22"/>
    <n v="4"/>
    <n v="28914.75"/>
    <n v="8"/>
    <n v="3614.34375"/>
    <n v="24468.375"/>
    <n v="102.35400633770936"/>
    <x v="2"/>
    <s v="Average"/>
    <s v="Very High"/>
  </r>
  <r>
    <n v="933"/>
    <x v="6"/>
    <n v="2014"/>
    <n v="10075"/>
    <x v="1"/>
    <x v="1"/>
    <x v="2"/>
    <n v="2926"/>
    <n v="219.2"/>
    <n v="19.98"/>
    <n v="4"/>
    <n v="7071.51"/>
    <n v="10"/>
    <n v="707.15100000000007"/>
    <n v="1007.5"/>
    <n v="74.914559125085432"/>
    <x v="2"/>
    <s v="Average"/>
    <s v="Very High"/>
  </r>
  <r>
    <n v="934"/>
    <x v="8"/>
    <n v="2011"/>
    <n v="184526"/>
    <x v="3"/>
    <x v="1"/>
    <x v="2"/>
    <n v="3260"/>
    <n v="323.39999999999998"/>
    <n v="6.79"/>
    <n v="7"/>
    <n v="50882.2"/>
    <n v="13"/>
    <n v="3914.0153846153844"/>
    <n v="14194.307692307691"/>
    <n v="99.202453987730067"/>
    <x v="0"/>
    <s v="Low"/>
    <s v="Very High"/>
  </r>
  <r>
    <n v="935"/>
    <x v="0"/>
    <n v="2017"/>
    <n v="33365"/>
    <x v="1"/>
    <x v="1"/>
    <x v="2"/>
    <n v="1345"/>
    <n v="131"/>
    <n v="10.67"/>
    <n v="5"/>
    <n v="36835.599999999999"/>
    <n v="7"/>
    <n v="5262.2285714285708"/>
    <n v="4766.4285714285716"/>
    <n v="97.39776951672863"/>
    <x v="1"/>
    <s v="Low"/>
    <s v="Medium"/>
  </r>
  <r>
    <n v="936"/>
    <x v="8"/>
    <n v="2011"/>
    <n v="184272"/>
    <x v="2"/>
    <x v="1"/>
    <x v="2"/>
    <n v="3528"/>
    <n v="577.5"/>
    <n v="28.29"/>
    <n v="5"/>
    <n v="97650.4"/>
    <n v="13"/>
    <n v="7511.5692307692307"/>
    <n v="14174.76923076923"/>
    <n v="163.69047619047618"/>
    <x v="0"/>
    <s v="Excellent"/>
    <s v="Very High"/>
  </r>
  <r>
    <n v="937"/>
    <x v="9"/>
    <n v="2021"/>
    <n v="16002"/>
    <x v="3"/>
    <x v="1"/>
    <x v="2"/>
    <n v="4534"/>
    <n v="516.9"/>
    <n v="27.71"/>
    <n v="7"/>
    <n v="96642.61"/>
    <n v="3"/>
    <n v="32214.203333333335"/>
    <n v="5334"/>
    <n v="114.00529333921482"/>
    <x v="3"/>
    <s v="Excellent"/>
    <s v="Very High"/>
  </r>
  <r>
    <n v="938"/>
    <x v="8"/>
    <n v="2014"/>
    <n v="18947"/>
    <x v="2"/>
    <x v="0"/>
    <x v="0"/>
    <n v="3362"/>
    <n v="523.70000000000005"/>
    <n v="24.53"/>
    <n v="5"/>
    <n v="56471.8"/>
    <n v="10"/>
    <n v="5647.18"/>
    <n v="1894.7"/>
    <n v="155.77037477691852"/>
    <x v="2"/>
    <s v="Good"/>
    <s v="Very High"/>
  </r>
  <r>
    <n v="939"/>
    <x v="8"/>
    <n v="2014"/>
    <n v="99840"/>
    <x v="1"/>
    <x v="1"/>
    <x v="0"/>
    <n v="2879"/>
    <n v="267.8"/>
    <n v="5.49"/>
    <n v="2"/>
    <n v="73961.929999999993"/>
    <n v="10"/>
    <n v="7396.1929999999993"/>
    <n v="9984"/>
    <n v="93.018409169850642"/>
    <x v="2"/>
    <s v="Low"/>
    <s v="Very High"/>
  </r>
  <r>
    <n v="940"/>
    <x v="0"/>
    <n v="2008"/>
    <n v="121219"/>
    <x v="1"/>
    <x v="0"/>
    <x v="0"/>
    <n v="3441"/>
    <n v="466.9"/>
    <n v="13.18"/>
    <n v="2"/>
    <n v="73698.36"/>
    <n v="16"/>
    <n v="4606.1475"/>
    <n v="7576.1875"/>
    <n v="135.68730020342923"/>
    <x v="0"/>
    <s v="Low"/>
    <s v="Very High"/>
  </r>
  <r>
    <n v="941"/>
    <x v="7"/>
    <n v="2024"/>
    <n v="83610"/>
    <x v="2"/>
    <x v="1"/>
    <x v="1"/>
    <n v="3914"/>
    <n v="120.6"/>
    <n v="20.7"/>
    <n v="6"/>
    <n v="99777.5"/>
    <n v="0"/>
    <n v="99777.5"/>
    <n v="83610"/>
    <n v="30.812468063362285"/>
    <x v="3"/>
    <s v="Good"/>
    <s v="Medium"/>
  </r>
  <r>
    <n v="942"/>
    <x v="3"/>
    <n v="2008"/>
    <n v="57142"/>
    <x v="0"/>
    <x v="0"/>
    <x v="2"/>
    <n v="2726"/>
    <n v="44.8"/>
    <n v="11.88"/>
    <n v="6"/>
    <n v="52725.279999999999"/>
    <n v="16"/>
    <n v="3295.33"/>
    <n v="3571.375"/>
    <n v="16.434336023477623"/>
    <x v="0"/>
    <s v="Low"/>
    <s v="Low"/>
  </r>
  <r>
    <n v="943"/>
    <x v="2"/>
    <n v="2011"/>
    <n v="61307"/>
    <x v="3"/>
    <x v="1"/>
    <x v="1"/>
    <n v="1416"/>
    <n v="51.2"/>
    <n v="27.74"/>
    <n v="7"/>
    <n v="35227.26"/>
    <n v="13"/>
    <n v="2709.7892307692309"/>
    <n v="4715.9230769230771"/>
    <n v="36.158192090395481"/>
    <x v="0"/>
    <s v="Excellent"/>
    <s v="Low"/>
  </r>
  <r>
    <n v="944"/>
    <x v="2"/>
    <n v="2005"/>
    <n v="140565"/>
    <x v="1"/>
    <x v="1"/>
    <x v="2"/>
    <n v="4444"/>
    <n v="368.5"/>
    <n v="20.85"/>
    <n v="7"/>
    <n v="34009.089999999997"/>
    <n v="19"/>
    <n v="1789.9521052631578"/>
    <n v="7398.1578947368425"/>
    <n v="82.920792079207928"/>
    <x v="0"/>
    <s v="Good"/>
    <s v="Very High"/>
  </r>
  <r>
    <n v="945"/>
    <x v="5"/>
    <n v="2016"/>
    <n v="55085"/>
    <x v="1"/>
    <x v="0"/>
    <x v="0"/>
    <n v="2003"/>
    <n v="295"/>
    <n v="6.8"/>
    <n v="7"/>
    <n v="65734.5"/>
    <n v="8"/>
    <n v="8216.8125"/>
    <n v="6885.625"/>
    <n v="147.2790813779331"/>
    <x v="2"/>
    <s v="Low"/>
    <s v="Very High"/>
  </r>
  <r>
    <n v="946"/>
    <x v="0"/>
    <n v="2017"/>
    <n v="39228"/>
    <x v="3"/>
    <x v="1"/>
    <x v="1"/>
    <n v="2559"/>
    <n v="330.1"/>
    <n v="27.73"/>
    <n v="2"/>
    <n v="55550.34"/>
    <n v="7"/>
    <n v="7935.7628571428568"/>
    <n v="5604"/>
    <n v="128.9957014458773"/>
    <x v="1"/>
    <s v="Excellent"/>
    <s v="Very High"/>
  </r>
  <r>
    <n v="947"/>
    <x v="5"/>
    <n v="2014"/>
    <n v="187947"/>
    <x v="2"/>
    <x v="1"/>
    <x v="0"/>
    <n v="3365"/>
    <n v="44.2"/>
    <n v="28.94"/>
    <n v="5"/>
    <n v="54494.13"/>
    <n v="10"/>
    <n v="5449.4129999999996"/>
    <n v="18794.7"/>
    <n v="13.13521545319465"/>
    <x v="2"/>
    <s v="Excellent"/>
    <s v="Low"/>
  </r>
  <r>
    <n v="948"/>
    <x v="6"/>
    <n v="2019"/>
    <n v="167727"/>
    <x v="2"/>
    <x v="1"/>
    <x v="2"/>
    <n v="3974"/>
    <n v="276.7"/>
    <n v="6.94"/>
    <n v="7"/>
    <n v="13663.07"/>
    <n v="5"/>
    <n v="2732.614"/>
    <n v="33545.4"/>
    <n v="69.627579265223943"/>
    <x v="1"/>
    <s v="Low"/>
    <s v="Very High"/>
  </r>
  <r>
    <n v="949"/>
    <x v="6"/>
    <n v="2017"/>
    <n v="48472"/>
    <x v="2"/>
    <x v="0"/>
    <x v="2"/>
    <n v="3881"/>
    <n v="442.1"/>
    <n v="18.309999999999999"/>
    <n v="7"/>
    <n v="87076.64"/>
    <n v="7"/>
    <n v="12439.52"/>
    <n v="6924.5714285714284"/>
    <n v="113.91393970626129"/>
    <x v="1"/>
    <s v="Average"/>
    <s v="Very High"/>
  </r>
  <r>
    <n v="950"/>
    <x v="5"/>
    <n v="2013"/>
    <n v="54437"/>
    <x v="0"/>
    <x v="1"/>
    <x v="2"/>
    <n v="3430"/>
    <n v="287.89999999999998"/>
    <n v="12.58"/>
    <n v="2"/>
    <n v="28007.19"/>
    <n v="11"/>
    <n v="2546.1081818181815"/>
    <n v="4948.818181818182"/>
    <n v="83.935860058309032"/>
    <x v="2"/>
    <s v="Low"/>
    <s v="Very High"/>
  </r>
  <r>
    <n v="951"/>
    <x v="0"/>
    <n v="2013"/>
    <n v="185488"/>
    <x v="0"/>
    <x v="0"/>
    <x v="0"/>
    <n v="3961"/>
    <n v="450"/>
    <n v="14.82"/>
    <n v="2"/>
    <n v="26043.57"/>
    <n v="11"/>
    <n v="2367.5972727272729"/>
    <n v="16862.545454545456"/>
    <n v="113.60767482958849"/>
    <x v="2"/>
    <s v="Low"/>
    <s v="Very High"/>
  </r>
  <r>
    <n v="952"/>
    <x v="5"/>
    <n v="2019"/>
    <n v="64711"/>
    <x v="1"/>
    <x v="1"/>
    <x v="2"/>
    <n v="1469"/>
    <n v="170.5"/>
    <n v="9.49"/>
    <n v="2"/>
    <n v="51292.72"/>
    <n v="5"/>
    <n v="10258.544"/>
    <n v="12942.2"/>
    <n v="116.0653505786249"/>
    <x v="1"/>
    <s v="Low"/>
    <s v="High"/>
  </r>
  <r>
    <n v="953"/>
    <x v="2"/>
    <n v="2014"/>
    <n v="142888"/>
    <x v="2"/>
    <x v="1"/>
    <x v="0"/>
    <n v="3968"/>
    <n v="495.4"/>
    <n v="19.45"/>
    <n v="5"/>
    <n v="29650.07"/>
    <n v="10"/>
    <n v="2965.0070000000001"/>
    <n v="14288.8"/>
    <n v="124.84879032258064"/>
    <x v="2"/>
    <s v="Average"/>
    <s v="Very High"/>
  </r>
  <r>
    <n v="954"/>
    <x v="4"/>
    <n v="2014"/>
    <n v="82175"/>
    <x v="3"/>
    <x v="0"/>
    <x v="1"/>
    <n v="2921"/>
    <n v="369.5"/>
    <n v="28.95"/>
    <n v="7"/>
    <n v="71311.42"/>
    <n v="10"/>
    <n v="7131.1419999999998"/>
    <n v="8217.5"/>
    <n v="126.49777473467991"/>
    <x v="2"/>
    <s v="Excellent"/>
    <s v="Very High"/>
  </r>
  <r>
    <n v="955"/>
    <x v="1"/>
    <n v="2012"/>
    <n v="69307"/>
    <x v="1"/>
    <x v="1"/>
    <x v="2"/>
    <n v="4878"/>
    <n v="158"/>
    <n v="17.579999999999998"/>
    <n v="4"/>
    <n v="46461.21"/>
    <n v="12"/>
    <n v="3871.7674999999999"/>
    <n v="5775.583333333333"/>
    <n v="32.390323903239029"/>
    <x v="2"/>
    <s v="Average"/>
    <s v="High"/>
  </r>
  <r>
    <n v="956"/>
    <x v="8"/>
    <n v="2020"/>
    <n v="51733"/>
    <x v="3"/>
    <x v="1"/>
    <x v="2"/>
    <n v="4951"/>
    <n v="172.6"/>
    <n v="7.07"/>
    <n v="4"/>
    <n v="55522.67"/>
    <n v="4"/>
    <n v="13880.6675"/>
    <n v="12933.25"/>
    <n v="34.861644112300546"/>
    <x v="1"/>
    <s v="Low"/>
    <s v="High"/>
  </r>
  <r>
    <n v="957"/>
    <x v="1"/>
    <n v="2021"/>
    <n v="133202"/>
    <x v="1"/>
    <x v="0"/>
    <x v="2"/>
    <n v="1519"/>
    <n v="391.7"/>
    <n v="20.5"/>
    <n v="7"/>
    <n v="65848.81"/>
    <n v="3"/>
    <n v="21949.603333333333"/>
    <n v="44400.666666666664"/>
    <n v="257.86701777485189"/>
    <x v="3"/>
    <s v="Good"/>
    <s v="Very High"/>
  </r>
  <r>
    <n v="958"/>
    <x v="0"/>
    <n v="2009"/>
    <n v="100028"/>
    <x v="0"/>
    <x v="1"/>
    <x v="1"/>
    <n v="3400"/>
    <n v="504.8"/>
    <n v="13.51"/>
    <n v="7"/>
    <n v="26813.66"/>
    <n v="15"/>
    <n v="1787.5773333333334"/>
    <n v="6668.5333333333338"/>
    <n v="148.47058823529412"/>
    <x v="0"/>
    <s v="Low"/>
    <s v="Very High"/>
  </r>
  <r>
    <n v="959"/>
    <x v="1"/>
    <n v="2008"/>
    <n v="147312"/>
    <x v="1"/>
    <x v="0"/>
    <x v="2"/>
    <n v="4398"/>
    <n v="272.8"/>
    <n v="26.4"/>
    <n v="7"/>
    <n v="21222.94"/>
    <n v="16"/>
    <n v="1326.4337499999999"/>
    <n v="9207"/>
    <n v="62.028194633924521"/>
    <x v="0"/>
    <s v="Excellent"/>
    <s v="Very High"/>
  </r>
  <r>
    <n v="960"/>
    <x v="6"/>
    <n v="2022"/>
    <n v="97493"/>
    <x v="0"/>
    <x v="0"/>
    <x v="0"/>
    <n v="1466"/>
    <n v="184.6"/>
    <n v="15.87"/>
    <n v="7"/>
    <n v="106009.36"/>
    <n v="2"/>
    <n v="53004.68"/>
    <n v="48746.5"/>
    <n v="125.92087312414733"/>
    <x v="3"/>
    <s v="Average"/>
    <s v="High"/>
  </r>
  <r>
    <n v="961"/>
    <x v="9"/>
    <n v="2023"/>
    <n v="130149"/>
    <x v="1"/>
    <x v="0"/>
    <x v="0"/>
    <n v="1083"/>
    <n v="525.5"/>
    <n v="9.82"/>
    <n v="5"/>
    <n v="53745.67"/>
    <n v="1"/>
    <n v="53745.67"/>
    <n v="130149"/>
    <n v="485.22622345337027"/>
    <x v="3"/>
    <s v="Low"/>
    <s v="Very High"/>
  </r>
  <r>
    <n v="962"/>
    <x v="8"/>
    <n v="2008"/>
    <n v="168834"/>
    <x v="2"/>
    <x v="1"/>
    <x v="2"/>
    <n v="4703"/>
    <n v="414.8"/>
    <n v="9.7799999999999994"/>
    <n v="4"/>
    <n v="51214.95"/>
    <n v="16"/>
    <n v="3200.9343749999998"/>
    <n v="10552.125"/>
    <n v="88.199021900914303"/>
    <x v="0"/>
    <s v="Low"/>
    <s v="Very High"/>
  </r>
  <r>
    <n v="963"/>
    <x v="3"/>
    <n v="2011"/>
    <n v="13259"/>
    <x v="3"/>
    <x v="0"/>
    <x v="2"/>
    <n v="4365"/>
    <n v="290.89999999999998"/>
    <n v="24.22"/>
    <n v="6"/>
    <n v="7166.62"/>
    <n v="13"/>
    <n v="551.27846153846156"/>
    <n v="1019.9230769230769"/>
    <n v="66.643757159221067"/>
    <x v="0"/>
    <s v="Good"/>
    <s v="Very High"/>
  </r>
  <r>
    <n v="964"/>
    <x v="0"/>
    <n v="2014"/>
    <n v="186211"/>
    <x v="2"/>
    <x v="0"/>
    <x v="1"/>
    <n v="3034"/>
    <n v="313.2"/>
    <n v="11.64"/>
    <n v="4"/>
    <n v="61263.23"/>
    <n v="10"/>
    <n v="6126.3230000000003"/>
    <n v="18621.099999999999"/>
    <n v="103.23005932762031"/>
    <x v="2"/>
    <s v="Low"/>
    <s v="Very High"/>
  </r>
  <r>
    <n v="965"/>
    <x v="8"/>
    <n v="2022"/>
    <n v="133775"/>
    <x v="1"/>
    <x v="1"/>
    <x v="1"/>
    <n v="2265"/>
    <n v="154.4"/>
    <n v="24.18"/>
    <n v="4"/>
    <n v="67837.86"/>
    <n v="2"/>
    <n v="33918.93"/>
    <n v="66887.5"/>
    <n v="68.167770419426049"/>
    <x v="3"/>
    <s v="Good"/>
    <s v="High"/>
  </r>
  <r>
    <n v="966"/>
    <x v="1"/>
    <n v="2023"/>
    <n v="19849"/>
    <x v="1"/>
    <x v="0"/>
    <x v="1"/>
    <n v="929"/>
    <n v="391"/>
    <n v="10.15"/>
    <n v="2"/>
    <n v="68384.38"/>
    <n v="1"/>
    <n v="68384.38"/>
    <n v="19849"/>
    <n v="420.88266953713668"/>
    <x v="3"/>
    <s v="Low"/>
    <s v="Very High"/>
  </r>
  <r>
    <n v="967"/>
    <x v="6"/>
    <n v="2008"/>
    <n v="86768"/>
    <x v="1"/>
    <x v="1"/>
    <x v="2"/>
    <n v="2860"/>
    <n v="240.9"/>
    <n v="13.04"/>
    <n v="7"/>
    <n v="85722.65"/>
    <n v="16"/>
    <n v="5357.6656249999996"/>
    <n v="5423"/>
    <n v="84.230769230769241"/>
    <x v="0"/>
    <s v="Low"/>
    <s v="Very High"/>
  </r>
  <r>
    <n v="968"/>
    <x v="7"/>
    <n v="2014"/>
    <n v="111108"/>
    <x v="0"/>
    <x v="1"/>
    <x v="1"/>
    <n v="4472"/>
    <n v="597.6"/>
    <n v="16.64"/>
    <n v="7"/>
    <n v="23765.37"/>
    <n v="10"/>
    <n v="2376.5369999999998"/>
    <n v="11110.8"/>
    <n v="133.63148479427548"/>
    <x v="2"/>
    <s v="Average"/>
    <s v="Very High"/>
  </r>
  <r>
    <n v="969"/>
    <x v="4"/>
    <n v="2005"/>
    <n v="94709"/>
    <x v="3"/>
    <x v="1"/>
    <x v="1"/>
    <n v="3294"/>
    <n v="308.89999999999998"/>
    <n v="28.58"/>
    <n v="7"/>
    <n v="32510.11"/>
    <n v="19"/>
    <n v="1711.0584210526315"/>
    <n v="4984.6842105263158"/>
    <n v="93.776563448694588"/>
    <x v="0"/>
    <s v="Excellent"/>
    <s v="Very High"/>
  </r>
  <r>
    <n v="970"/>
    <x v="3"/>
    <n v="2022"/>
    <n v="59869"/>
    <x v="3"/>
    <x v="1"/>
    <x v="0"/>
    <n v="1792"/>
    <n v="312.10000000000002"/>
    <n v="28.29"/>
    <n v="2"/>
    <n v="97855.46"/>
    <n v="2"/>
    <n v="48927.73"/>
    <n v="29934.5"/>
    <n v="174.16294642857144"/>
    <x v="3"/>
    <s v="Excellent"/>
    <s v="Very High"/>
  </r>
  <r>
    <n v="971"/>
    <x v="4"/>
    <n v="2009"/>
    <n v="131888"/>
    <x v="1"/>
    <x v="0"/>
    <x v="1"/>
    <n v="2921"/>
    <n v="356.9"/>
    <n v="10.17"/>
    <n v="5"/>
    <n v="113818.96"/>
    <n v="15"/>
    <n v="7587.9306666666671"/>
    <n v="8792.5333333333328"/>
    <n v="122.18418349880179"/>
    <x v="0"/>
    <s v="Low"/>
    <s v="Very High"/>
  </r>
  <r>
    <n v="972"/>
    <x v="8"/>
    <n v="2019"/>
    <n v="68095"/>
    <x v="1"/>
    <x v="0"/>
    <x v="0"/>
    <n v="3384"/>
    <n v="553.4"/>
    <n v="13.96"/>
    <n v="5"/>
    <n v="18904.13"/>
    <n v="5"/>
    <n v="3780.826"/>
    <n v="13619"/>
    <n v="163.53427895981088"/>
    <x v="1"/>
    <s v="Low"/>
    <s v="Very High"/>
  </r>
  <r>
    <n v="973"/>
    <x v="6"/>
    <n v="2021"/>
    <n v="122886"/>
    <x v="0"/>
    <x v="0"/>
    <x v="0"/>
    <n v="4996"/>
    <n v="488.5"/>
    <n v="8.73"/>
    <n v="6"/>
    <n v="61225"/>
    <n v="3"/>
    <n v="20408.333333333332"/>
    <n v="40962"/>
    <n v="97.77822257806244"/>
    <x v="3"/>
    <s v="Low"/>
    <s v="Very High"/>
  </r>
  <r>
    <n v="974"/>
    <x v="6"/>
    <n v="2007"/>
    <n v="75910"/>
    <x v="2"/>
    <x v="0"/>
    <x v="1"/>
    <n v="3023"/>
    <n v="292.60000000000002"/>
    <n v="17.75"/>
    <n v="5"/>
    <n v="28058.62"/>
    <n v="17"/>
    <n v="1650.5070588235294"/>
    <n v="4465.2941176470586"/>
    <n v="96.791266953357592"/>
    <x v="0"/>
    <s v="Average"/>
    <s v="Very High"/>
  </r>
  <r>
    <n v="975"/>
    <x v="1"/>
    <n v="2016"/>
    <n v="28567"/>
    <x v="2"/>
    <x v="0"/>
    <x v="0"/>
    <n v="3988"/>
    <n v="442.5"/>
    <n v="16.510000000000002"/>
    <n v="5"/>
    <n v="10028.56"/>
    <n v="8"/>
    <n v="1253.57"/>
    <n v="3570.875"/>
    <n v="110.95787362086259"/>
    <x v="2"/>
    <s v="Average"/>
    <s v="Very High"/>
  </r>
  <r>
    <n v="976"/>
    <x v="2"/>
    <n v="2006"/>
    <n v="40292"/>
    <x v="3"/>
    <x v="1"/>
    <x v="2"/>
    <n v="4037"/>
    <n v="368.3"/>
    <n v="27.52"/>
    <n v="7"/>
    <n v="41083.89"/>
    <n v="18"/>
    <n v="2282.4383333333335"/>
    <n v="2238.4444444444443"/>
    <n v="91.231112212038653"/>
    <x v="0"/>
    <s v="Excellent"/>
    <s v="Very High"/>
  </r>
  <r>
    <n v="977"/>
    <x v="1"/>
    <n v="2005"/>
    <n v="79813"/>
    <x v="0"/>
    <x v="0"/>
    <x v="2"/>
    <n v="4936"/>
    <n v="315.7"/>
    <n v="28.25"/>
    <n v="4"/>
    <n v="19811.45"/>
    <n v="19"/>
    <n v="1042.707894736842"/>
    <n v="4200.6842105263158"/>
    <n v="63.958670988654781"/>
    <x v="0"/>
    <s v="Excellent"/>
    <s v="Very High"/>
  </r>
  <r>
    <n v="978"/>
    <x v="2"/>
    <n v="2021"/>
    <n v="102136"/>
    <x v="1"/>
    <x v="0"/>
    <x v="1"/>
    <n v="1143"/>
    <n v="147.69999999999999"/>
    <n v="14.59"/>
    <n v="5"/>
    <n v="86062.17"/>
    <n v="3"/>
    <n v="28687.39"/>
    <n v="34045.333333333336"/>
    <n v="129.22134733158353"/>
    <x v="3"/>
    <s v="Low"/>
    <s v="Medium"/>
  </r>
  <r>
    <n v="979"/>
    <x v="2"/>
    <n v="2020"/>
    <n v="56631"/>
    <x v="3"/>
    <x v="0"/>
    <x v="2"/>
    <n v="3076"/>
    <n v="299.8"/>
    <n v="17.29"/>
    <n v="5"/>
    <n v="65445.87"/>
    <n v="4"/>
    <n v="16361.467500000001"/>
    <n v="14157.75"/>
    <n v="97.464239271781537"/>
    <x v="1"/>
    <s v="Average"/>
    <s v="Very High"/>
  </r>
  <r>
    <n v="980"/>
    <x v="3"/>
    <n v="2009"/>
    <n v="14885"/>
    <x v="0"/>
    <x v="1"/>
    <x v="0"/>
    <n v="4001"/>
    <n v="177.7"/>
    <n v="27.41"/>
    <n v="2"/>
    <n v="19828.63"/>
    <n v="15"/>
    <n v="1321.9086666666667"/>
    <n v="992.33333333333337"/>
    <n v="44.413896525868523"/>
    <x v="0"/>
    <s v="Excellent"/>
    <s v="High"/>
  </r>
  <r>
    <n v="981"/>
    <x v="1"/>
    <n v="2019"/>
    <n v="195731"/>
    <x v="2"/>
    <x v="1"/>
    <x v="2"/>
    <n v="1688"/>
    <n v="552.29999999999995"/>
    <n v="25.17"/>
    <n v="6"/>
    <n v="4081.27"/>
    <n v="5"/>
    <n v="816.25400000000002"/>
    <n v="39146.199999999997"/>
    <n v="327.19194312796208"/>
    <x v="1"/>
    <s v="Excellent"/>
    <s v="Very High"/>
  </r>
  <r>
    <n v="982"/>
    <x v="7"/>
    <n v="2007"/>
    <n v="190378"/>
    <x v="0"/>
    <x v="0"/>
    <x v="1"/>
    <n v="2843"/>
    <n v="227.8"/>
    <n v="5.09"/>
    <n v="2"/>
    <n v="97554.37"/>
    <n v="17"/>
    <n v="5738.4923529411763"/>
    <n v="11198.705882352941"/>
    <n v="80.126626802673243"/>
    <x v="0"/>
    <s v="Low"/>
    <s v="Very High"/>
  </r>
  <r>
    <n v="983"/>
    <x v="5"/>
    <n v="2011"/>
    <n v="71314"/>
    <x v="2"/>
    <x v="1"/>
    <x v="1"/>
    <n v="2141"/>
    <n v="573.29999999999995"/>
    <n v="13"/>
    <n v="7"/>
    <n v="23614.75"/>
    <n v="13"/>
    <n v="1816.5192307692307"/>
    <n v="5485.6923076923076"/>
    <n v="267.77206912657635"/>
    <x v="0"/>
    <s v="Low"/>
    <s v="Very High"/>
  </r>
  <r>
    <n v="984"/>
    <x v="5"/>
    <n v="2015"/>
    <n v="70087"/>
    <x v="0"/>
    <x v="0"/>
    <x v="0"/>
    <n v="4520"/>
    <n v="338.5"/>
    <n v="15.54"/>
    <n v="4"/>
    <n v="73927.350000000006"/>
    <n v="9"/>
    <n v="8214.1500000000015"/>
    <n v="7787.4444444444443"/>
    <n v="74.889380530973455"/>
    <x v="2"/>
    <s v="Average"/>
    <s v="Very High"/>
  </r>
  <r>
    <n v="985"/>
    <x v="1"/>
    <n v="2014"/>
    <n v="165237"/>
    <x v="3"/>
    <x v="0"/>
    <x v="1"/>
    <n v="3683"/>
    <n v="393.7"/>
    <n v="10.74"/>
    <n v="6"/>
    <n v="42419.86"/>
    <n v="10"/>
    <n v="4241.9859999999999"/>
    <n v="16523.7"/>
    <n v="106.89655172413794"/>
    <x v="2"/>
    <s v="Low"/>
    <s v="Very High"/>
  </r>
  <r>
    <n v="986"/>
    <x v="1"/>
    <n v="2013"/>
    <n v="195001"/>
    <x v="2"/>
    <x v="1"/>
    <x v="2"/>
    <n v="3215"/>
    <n v="344"/>
    <n v="9.99"/>
    <n v="2"/>
    <n v="71501.850000000006"/>
    <n v="11"/>
    <n v="6500.1681818181823"/>
    <n v="17727.363636363636"/>
    <n v="106.99844479004666"/>
    <x v="2"/>
    <s v="Low"/>
    <s v="Very High"/>
  </r>
  <r>
    <n v="987"/>
    <x v="4"/>
    <n v="2018"/>
    <n v="100998"/>
    <x v="3"/>
    <x v="1"/>
    <x v="1"/>
    <n v="1917"/>
    <n v="112.5"/>
    <n v="5.94"/>
    <n v="5"/>
    <n v="39931.47"/>
    <n v="6"/>
    <n v="6655.2449999999999"/>
    <n v="16833"/>
    <n v="58.685446009389672"/>
    <x v="1"/>
    <s v="Low"/>
    <s v="Medium"/>
  </r>
  <r>
    <n v="988"/>
    <x v="3"/>
    <n v="2017"/>
    <n v="54812"/>
    <x v="3"/>
    <x v="0"/>
    <x v="0"/>
    <n v="3801"/>
    <n v="250.5"/>
    <n v="21.08"/>
    <n v="5"/>
    <n v="13171.93"/>
    <n v="7"/>
    <n v="1881.7042857142858"/>
    <n v="7830.2857142857147"/>
    <n v="65.903709550118393"/>
    <x v="1"/>
    <s v="Good"/>
    <s v="Very High"/>
  </r>
  <r>
    <n v="989"/>
    <x v="1"/>
    <n v="2006"/>
    <n v="186572"/>
    <x v="2"/>
    <x v="0"/>
    <x v="1"/>
    <n v="2538"/>
    <n v="95.5"/>
    <n v="11.56"/>
    <n v="6"/>
    <n v="29085.15"/>
    <n v="18"/>
    <n v="1615.8416666666667"/>
    <n v="10365.111111111111"/>
    <n v="37.628053585500396"/>
    <x v="0"/>
    <s v="Low"/>
    <s v="Low"/>
  </r>
  <r>
    <n v="990"/>
    <x v="4"/>
    <n v="2007"/>
    <n v="63643"/>
    <x v="2"/>
    <x v="1"/>
    <x v="2"/>
    <n v="2164"/>
    <n v="388.9"/>
    <n v="6.31"/>
    <n v="5"/>
    <n v="25002.85"/>
    <n v="17"/>
    <n v="1470.7558823529412"/>
    <n v="3743.705882352941"/>
    <n v="179.71349353049905"/>
    <x v="0"/>
    <s v="Low"/>
    <s v="Very High"/>
  </r>
  <r>
    <n v="991"/>
    <x v="2"/>
    <n v="2011"/>
    <n v="49900"/>
    <x v="1"/>
    <x v="0"/>
    <x v="0"/>
    <n v="3508"/>
    <n v="290.2"/>
    <n v="10.77"/>
    <n v="2"/>
    <n v="53078.26"/>
    <n v="13"/>
    <n v="4082.9430769230771"/>
    <n v="3838.4615384615386"/>
    <n v="82.725199543899649"/>
    <x v="0"/>
    <s v="Low"/>
    <s v="Very High"/>
  </r>
  <r>
    <n v="992"/>
    <x v="6"/>
    <n v="2022"/>
    <n v="179018"/>
    <x v="1"/>
    <x v="1"/>
    <x v="2"/>
    <n v="1724"/>
    <n v="475.7"/>
    <n v="25.05"/>
    <n v="2"/>
    <n v="80019.199999999997"/>
    <n v="2"/>
    <n v="40009.599999999999"/>
    <n v="89509"/>
    <n v="275.92807424593968"/>
    <x v="3"/>
    <s v="Excellent"/>
    <s v="Very High"/>
  </r>
  <r>
    <n v="993"/>
    <x v="6"/>
    <n v="2007"/>
    <n v="143923"/>
    <x v="1"/>
    <x v="0"/>
    <x v="0"/>
    <n v="951"/>
    <n v="163.5"/>
    <n v="26.29"/>
    <n v="5"/>
    <n v="33865.31"/>
    <n v="17"/>
    <n v="1992.0770588235293"/>
    <n v="8466.0588235294126"/>
    <n v="171.92429022082021"/>
    <x v="0"/>
    <s v="Excellent"/>
    <s v="High"/>
  </r>
  <r>
    <n v="994"/>
    <x v="2"/>
    <n v="2014"/>
    <n v="21288"/>
    <x v="3"/>
    <x v="1"/>
    <x v="1"/>
    <n v="1385"/>
    <n v="132.19999999999999"/>
    <n v="17.079999999999998"/>
    <n v="5"/>
    <n v="4412.18"/>
    <n v="10"/>
    <n v="441.21800000000002"/>
    <n v="2128.8000000000002"/>
    <n v="95.451263537906129"/>
    <x v="2"/>
    <s v="Average"/>
    <s v="Medium"/>
  </r>
  <r>
    <n v="995"/>
    <x v="0"/>
    <n v="2011"/>
    <n v="77692"/>
    <x v="3"/>
    <x v="0"/>
    <x v="0"/>
    <n v="1712"/>
    <n v="267.5"/>
    <n v="15.4"/>
    <n v="7"/>
    <n v="63715.67"/>
    <n v="13"/>
    <n v="4901.2053846153849"/>
    <n v="5976.3076923076924"/>
    <n v="156.25"/>
    <x v="0"/>
    <s v="Average"/>
    <s v="Very High"/>
  </r>
  <r>
    <n v="996"/>
    <x v="4"/>
    <n v="2013"/>
    <n v="143440"/>
    <x v="1"/>
    <x v="0"/>
    <x v="0"/>
    <n v="3121"/>
    <n v="558.9"/>
    <n v="29.45"/>
    <n v="4"/>
    <n v="73873.86"/>
    <n v="11"/>
    <n v="6715.8054545454543"/>
    <n v="13040"/>
    <n v="179.07721884011534"/>
    <x v="2"/>
    <s v="Excellent"/>
    <s v="Very High"/>
  </r>
  <r>
    <n v="997"/>
    <x v="4"/>
    <n v="2021"/>
    <n v="90436"/>
    <x v="3"/>
    <x v="1"/>
    <x v="1"/>
    <n v="1295"/>
    <n v="437.8"/>
    <n v="10.01"/>
    <n v="6"/>
    <n v="115655.85"/>
    <n v="3"/>
    <n v="38551.950000000004"/>
    <n v="30145.333333333332"/>
    <n v="338.06949806949808"/>
    <x v="3"/>
    <s v="Low"/>
    <s v="Very High"/>
  </r>
  <r>
    <n v="998"/>
    <x v="2"/>
    <n v="2015"/>
    <n v="51403"/>
    <x v="3"/>
    <x v="0"/>
    <x v="2"/>
    <n v="4595"/>
    <n v="274.60000000000002"/>
    <n v="10.38"/>
    <n v="2"/>
    <n v="71968.08"/>
    <n v="9"/>
    <n v="7996.4533333333338"/>
    <n v="5711.4444444444443"/>
    <n v="59.760609357997829"/>
    <x v="2"/>
    <s v="Low"/>
    <s v="Very High"/>
  </r>
  <r>
    <n v="999"/>
    <x v="7"/>
    <n v="2011"/>
    <n v="96170"/>
    <x v="2"/>
    <x v="0"/>
    <x v="1"/>
    <n v="2948"/>
    <n v="329.7"/>
    <n v="12.3"/>
    <n v="6"/>
    <n v="58127.19"/>
    <n v="13"/>
    <n v="4471.3223076923077"/>
    <n v="7397.6923076923076"/>
    <n v="111.83853459972863"/>
    <x v="0"/>
    <s v="Low"/>
    <s v="Very High"/>
  </r>
  <r>
    <n v="1000"/>
    <x v="9"/>
    <n v="2018"/>
    <n v="14168"/>
    <x v="2"/>
    <x v="1"/>
    <x v="0"/>
    <n v="1356"/>
    <n v="87.2"/>
    <n v="9.32"/>
    <n v="7"/>
    <n v="70087.990000000005"/>
    <n v="6"/>
    <n v="11681.331666666667"/>
    <n v="2361.3333333333335"/>
    <n v="64.306784660766965"/>
    <x v="1"/>
    <s v="Low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E2577-FCF2-4948-A80C-8448E7BA79EE}" name="&quot;Price by Ownership History&quot;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D51" firstHeaderRow="0" firstDataRow="1" firstDataCol="1"/>
  <pivotFields count="19">
    <pivotField dataField="1"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2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ar_ID" fld="0" subtotal="count" baseField="0" baseItem="0"/>
    <dataField name="Average of Price_USD" fld="11" subtotal="average" baseField="0" baseItem="0" numFmtId="164"/>
    <dataField name="Average of Kilometers_Driven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B1AB4-2FE6-4132-ACAF-665F2DCD3F5D}" name="&quot;Top 10 Most Listed Brands&quot;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3:B44" firstHeaderRow="1" firstDataRow="1" firstDataCol="1"/>
  <pivotFields count="19">
    <pivotField dataField="1" showAll="0"/>
    <pivotField axis="axisRow" showAll="0" measureFilter="1" sortType="descending">
      <items count="11">
        <item x="0"/>
        <item x="1"/>
        <item x="5"/>
        <item x="7"/>
        <item x="6"/>
        <item x="2"/>
        <item x="3"/>
        <item x="9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8"/>
    </i>
    <i>
      <x v="2"/>
    </i>
    <i>
      <x v="6"/>
    </i>
    <i>
      <x v="9"/>
    </i>
    <i>
      <x v="5"/>
    </i>
    <i>
      <x v="4"/>
    </i>
    <i>
      <x/>
    </i>
    <i>
      <x v="1"/>
    </i>
    <i>
      <x v="7"/>
    </i>
    <i>
      <x v="3"/>
    </i>
    <i t="grand">
      <x/>
    </i>
  </rowItems>
  <colItems count="1">
    <i/>
  </colItems>
  <dataFields count="1">
    <dataField name="Count of Car_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0CB03-1569-464B-8B6F-FCE6AE315378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D30" firstHeaderRow="0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numFmtId="164" showAll="0"/>
    <pivotField showAll="0"/>
    <pivotField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ar_ID" fld="0" subtotal="count" baseField="0" baseItem="0"/>
    <dataField name="Average of Price_USD" fld="11" subtotal="average" baseField="0" baseItem="0" numFmtId="164"/>
    <dataField name="Average of KM_Per_Year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5E27F-E175-4F99-B404-3E553BCBEEB7}" name="&quot;Average Price: Fuel Type vs Transmission&quot;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D21" firstHeaderRow="1" firstDataRow="2" firstDataCol="1"/>
  <pivotFields count="19"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2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Price_USD" fld="11" subtotal="average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7566B-6A70-469B-AB96-7CA85F500FCD}" name="&quot;Price Analysis by Brand&quot;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12" firstHeaderRow="0" firstDataRow="1" firstDataCol="1"/>
  <pivotFields count="19">
    <pivotField dataField="1" showAll="0"/>
    <pivotField axis="axisRow" showAll="0" sortType="descending">
      <items count="11">
        <item x="0"/>
        <item x="1"/>
        <item x="5"/>
        <item x="7"/>
        <item x="6"/>
        <item x="2"/>
        <item x="3"/>
        <item x="9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6"/>
    </i>
    <i>
      <x v="7"/>
    </i>
    <i>
      <x/>
    </i>
    <i>
      <x v="2"/>
    </i>
    <i>
      <x v="8"/>
    </i>
    <i>
      <x v="4"/>
    </i>
    <i>
      <x v="3"/>
    </i>
    <i>
      <x v="5"/>
    </i>
    <i>
      <x v="9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ar_ID" fld="0" subtotal="count" baseField="0" baseItem="0"/>
    <dataField name="Average of Price_USD" fld="11" subtotal="average" baseField="0" baseItem="0" numFmtId="164"/>
    <dataField name="Max of Price_USD2" fld="11" subtotal="max" baseField="0" baseItem="0" numFmtId="164"/>
    <dataField name="Min of Price_USD3" fld="11" subtotal="min" baseField="0" baseItem="0" numFmtId="164"/>
    <dataField name="Average of Car_Age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9337-A9DE-4868-9874-13E622FEC98F}">
  <dimension ref="A1:L1001"/>
  <sheetViews>
    <sheetView workbookViewId="0">
      <selection activeCell="B4" sqref="A1:L10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2005</v>
      </c>
      <c r="D2">
        <v>197018</v>
      </c>
      <c r="E2" t="s">
        <v>13</v>
      </c>
      <c r="F2" t="s">
        <v>14</v>
      </c>
      <c r="G2" t="s">
        <v>15</v>
      </c>
      <c r="H2">
        <v>4046</v>
      </c>
      <c r="I2">
        <v>223.6</v>
      </c>
      <c r="J2">
        <v>29.61</v>
      </c>
      <c r="K2">
        <v>6</v>
      </c>
      <c r="L2">
        <v>119611.94</v>
      </c>
    </row>
    <row r="3" spans="1:12" x14ac:dyDescent="0.3">
      <c r="A3">
        <v>2</v>
      </c>
      <c r="B3" t="s">
        <v>16</v>
      </c>
      <c r="C3">
        <v>2019</v>
      </c>
      <c r="D3">
        <v>43467</v>
      </c>
      <c r="E3" t="s">
        <v>17</v>
      </c>
      <c r="F3" t="s">
        <v>18</v>
      </c>
      <c r="G3" t="s">
        <v>15</v>
      </c>
      <c r="H3">
        <v>3731</v>
      </c>
      <c r="I3">
        <v>248.4</v>
      </c>
      <c r="J3">
        <v>21.66</v>
      </c>
      <c r="K3">
        <v>5</v>
      </c>
      <c r="L3">
        <v>90842.46</v>
      </c>
    </row>
    <row r="4" spans="1:12" x14ac:dyDescent="0.3">
      <c r="A4">
        <v>3</v>
      </c>
      <c r="B4" t="s">
        <v>19</v>
      </c>
      <c r="C4">
        <v>2012</v>
      </c>
      <c r="D4">
        <v>153697</v>
      </c>
      <c r="E4" t="s">
        <v>17</v>
      </c>
      <c r="F4" t="s">
        <v>18</v>
      </c>
      <c r="G4" t="s">
        <v>20</v>
      </c>
      <c r="H4">
        <v>4925</v>
      </c>
      <c r="I4">
        <v>465.5</v>
      </c>
      <c r="J4">
        <v>12.14</v>
      </c>
      <c r="K4">
        <v>6</v>
      </c>
      <c r="L4">
        <v>78432.240000000005</v>
      </c>
    </row>
    <row r="5" spans="1:12" x14ac:dyDescent="0.3">
      <c r="A5">
        <v>4</v>
      </c>
      <c r="B5" t="s">
        <v>21</v>
      </c>
      <c r="C5">
        <v>2015</v>
      </c>
      <c r="D5">
        <v>38893</v>
      </c>
      <c r="E5" t="s">
        <v>22</v>
      </c>
      <c r="F5" t="s">
        <v>18</v>
      </c>
      <c r="G5" t="s">
        <v>23</v>
      </c>
      <c r="H5">
        <v>3771</v>
      </c>
      <c r="I5">
        <v>229.7</v>
      </c>
      <c r="J5">
        <v>19.649999999999999</v>
      </c>
      <c r="K5">
        <v>6</v>
      </c>
      <c r="L5">
        <v>44568.89</v>
      </c>
    </row>
    <row r="6" spans="1:12" x14ac:dyDescent="0.3">
      <c r="A6">
        <v>5</v>
      </c>
      <c r="B6" t="s">
        <v>12</v>
      </c>
      <c r="C6">
        <v>2016</v>
      </c>
      <c r="D6">
        <v>81329</v>
      </c>
      <c r="E6" t="s">
        <v>17</v>
      </c>
      <c r="F6" t="s">
        <v>18</v>
      </c>
      <c r="G6" t="s">
        <v>15</v>
      </c>
      <c r="H6">
        <v>2817</v>
      </c>
      <c r="I6">
        <v>573.20000000000005</v>
      </c>
      <c r="J6">
        <v>7.74</v>
      </c>
      <c r="K6">
        <v>5</v>
      </c>
      <c r="L6">
        <v>8751.82</v>
      </c>
    </row>
    <row r="7" spans="1:12" x14ac:dyDescent="0.3">
      <c r="A7">
        <v>6</v>
      </c>
      <c r="B7" t="s">
        <v>24</v>
      </c>
      <c r="C7">
        <v>2016</v>
      </c>
      <c r="D7">
        <v>36007</v>
      </c>
      <c r="E7" t="s">
        <v>22</v>
      </c>
      <c r="F7" t="s">
        <v>18</v>
      </c>
      <c r="G7" t="s">
        <v>20</v>
      </c>
      <c r="H7">
        <v>3215</v>
      </c>
      <c r="I7">
        <v>453.2</v>
      </c>
      <c r="J7">
        <v>29.15</v>
      </c>
      <c r="K7">
        <v>7</v>
      </c>
      <c r="L7">
        <v>6633.65</v>
      </c>
    </row>
    <row r="8" spans="1:12" x14ac:dyDescent="0.3">
      <c r="A8">
        <v>7</v>
      </c>
      <c r="B8" t="s">
        <v>25</v>
      </c>
      <c r="C8">
        <v>2008</v>
      </c>
      <c r="D8">
        <v>175604</v>
      </c>
      <c r="E8" t="s">
        <v>26</v>
      </c>
      <c r="F8" t="s">
        <v>14</v>
      </c>
      <c r="G8" t="s">
        <v>15</v>
      </c>
      <c r="H8">
        <v>3896</v>
      </c>
      <c r="I8">
        <v>374.6</v>
      </c>
      <c r="J8">
        <v>9.3699999999999992</v>
      </c>
      <c r="K8">
        <v>6</v>
      </c>
      <c r="L8">
        <v>67839.210000000006</v>
      </c>
    </row>
    <row r="9" spans="1:12" x14ac:dyDescent="0.3">
      <c r="A9">
        <v>8</v>
      </c>
      <c r="B9" t="s">
        <v>12</v>
      </c>
      <c r="C9">
        <v>2020</v>
      </c>
      <c r="D9">
        <v>59253</v>
      </c>
      <c r="E9" t="s">
        <v>26</v>
      </c>
      <c r="F9" t="s">
        <v>14</v>
      </c>
      <c r="G9" t="s">
        <v>15</v>
      </c>
      <c r="H9">
        <v>2409</v>
      </c>
      <c r="I9">
        <v>533.29999999999995</v>
      </c>
      <c r="J9">
        <v>21.2</v>
      </c>
      <c r="K9">
        <v>6</v>
      </c>
      <c r="L9">
        <v>92157.83</v>
      </c>
    </row>
    <row r="10" spans="1:12" x14ac:dyDescent="0.3">
      <c r="A10">
        <v>9</v>
      </c>
      <c r="B10" t="s">
        <v>19</v>
      </c>
      <c r="C10">
        <v>2008</v>
      </c>
      <c r="D10">
        <v>17323</v>
      </c>
      <c r="E10" t="s">
        <v>17</v>
      </c>
      <c r="F10" t="s">
        <v>14</v>
      </c>
      <c r="G10" t="s">
        <v>23</v>
      </c>
      <c r="H10">
        <v>1517</v>
      </c>
      <c r="I10">
        <v>67.8</v>
      </c>
      <c r="J10">
        <v>11.14</v>
      </c>
      <c r="K10">
        <v>6</v>
      </c>
      <c r="L10">
        <v>65873.37</v>
      </c>
    </row>
    <row r="11" spans="1:12" x14ac:dyDescent="0.3">
      <c r="A11">
        <v>10</v>
      </c>
      <c r="B11" t="s">
        <v>21</v>
      </c>
      <c r="C11">
        <v>2009</v>
      </c>
      <c r="D11">
        <v>116335</v>
      </c>
      <c r="E11" t="s">
        <v>17</v>
      </c>
      <c r="F11" t="s">
        <v>14</v>
      </c>
      <c r="G11" t="s">
        <v>15</v>
      </c>
      <c r="H11">
        <v>4361</v>
      </c>
      <c r="I11">
        <v>184</v>
      </c>
      <c r="J11">
        <v>22.94</v>
      </c>
      <c r="K11">
        <v>6</v>
      </c>
      <c r="L11">
        <v>101371.85</v>
      </c>
    </row>
    <row r="12" spans="1:12" x14ac:dyDescent="0.3">
      <c r="A12">
        <v>11</v>
      </c>
      <c r="B12" t="s">
        <v>16</v>
      </c>
      <c r="C12">
        <v>2009</v>
      </c>
      <c r="D12">
        <v>117356</v>
      </c>
      <c r="E12" t="s">
        <v>13</v>
      </c>
      <c r="F12" t="s">
        <v>18</v>
      </c>
      <c r="G12" t="s">
        <v>20</v>
      </c>
      <c r="H12">
        <v>1816</v>
      </c>
      <c r="I12">
        <v>300.39999999999998</v>
      </c>
      <c r="J12">
        <v>24.42</v>
      </c>
      <c r="K12">
        <v>5</v>
      </c>
      <c r="L12">
        <v>6910.9</v>
      </c>
    </row>
    <row r="13" spans="1:12" x14ac:dyDescent="0.3">
      <c r="A13">
        <v>12</v>
      </c>
      <c r="B13" t="s">
        <v>19</v>
      </c>
      <c r="C13">
        <v>2012</v>
      </c>
      <c r="D13">
        <v>115944</v>
      </c>
      <c r="E13" t="s">
        <v>17</v>
      </c>
      <c r="F13" t="s">
        <v>18</v>
      </c>
      <c r="G13" t="s">
        <v>20</v>
      </c>
      <c r="H13">
        <v>4365</v>
      </c>
      <c r="I13">
        <v>167.1</v>
      </c>
      <c r="J13">
        <v>21.84</v>
      </c>
      <c r="K13">
        <v>7</v>
      </c>
      <c r="L13">
        <v>45909.99</v>
      </c>
    </row>
    <row r="14" spans="1:12" x14ac:dyDescent="0.3">
      <c r="A14">
        <v>13</v>
      </c>
      <c r="B14" t="s">
        <v>19</v>
      </c>
      <c r="C14">
        <v>2014</v>
      </c>
      <c r="D14">
        <v>150282</v>
      </c>
      <c r="E14" t="s">
        <v>13</v>
      </c>
      <c r="F14" t="s">
        <v>18</v>
      </c>
      <c r="G14" t="s">
        <v>23</v>
      </c>
      <c r="H14">
        <v>2760</v>
      </c>
      <c r="I14">
        <v>456.6</v>
      </c>
      <c r="J14">
        <v>20.36</v>
      </c>
      <c r="K14">
        <v>7</v>
      </c>
      <c r="L14">
        <v>30737.24</v>
      </c>
    </row>
    <row r="15" spans="1:12" x14ac:dyDescent="0.3">
      <c r="A15">
        <v>14</v>
      </c>
      <c r="B15" t="s">
        <v>25</v>
      </c>
      <c r="C15">
        <v>2021</v>
      </c>
      <c r="D15">
        <v>21456</v>
      </c>
      <c r="E15" t="s">
        <v>26</v>
      </c>
      <c r="F15" t="s">
        <v>14</v>
      </c>
      <c r="G15" t="s">
        <v>15</v>
      </c>
      <c r="H15">
        <v>1848</v>
      </c>
      <c r="I15">
        <v>554.79999999999995</v>
      </c>
      <c r="J15">
        <v>27.31</v>
      </c>
      <c r="K15">
        <v>2</v>
      </c>
      <c r="L15">
        <v>55330.94</v>
      </c>
    </row>
    <row r="16" spans="1:12" x14ac:dyDescent="0.3">
      <c r="A16">
        <v>15</v>
      </c>
      <c r="B16" t="s">
        <v>27</v>
      </c>
      <c r="C16">
        <v>2013</v>
      </c>
      <c r="D16">
        <v>36367</v>
      </c>
      <c r="E16" t="s">
        <v>26</v>
      </c>
      <c r="F16" t="s">
        <v>18</v>
      </c>
      <c r="G16" t="s">
        <v>20</v>
      </c>
      <c r="H16">
        <v>2157</v>
      </c>
      <c r="I16">
        <v>277.3</v>
      </c>
      <c r="J16">
        <v>6.97</v>
      </c>
      <c r="K16">
        <v>6</v>
      </c>
      <c r="L16">
        <v>11468.04</v>
      </c>
    </row>
    <row r="17" spans="1:12" x14ac:dyDescent="0.3">
      <c r="A17">
        <v>16</v>
      </c>
      <c r="B17" t="s">
        <v>21</v>
      </c>
      <c r="C17">
        <v>2023</v>
      </c>
      <c r="D17">
        <v>59624</v>
      </c>
      <c r="E17" t="s">
        <v>22</v>
      </c>
      <c r="F17" t="s">
        <v>14</v>
      </c>
      <c r="G17" t="s">
        <v>15</v>
      </c>
      <c r="H17">
        <v>4226</v>
      </c>
      <c r="I17">
        <v>231.6</v>
      </c>
      <c r="J17">
        <v>13.27</v>
      </c>
      <c r="K17">
        <v>6</v>
      </c>
      <c r="L17">
        <v>114633.4</v>
      </c>
    </row>
    <row r="18" spans="1:12" x14ac:dyDescent="0.3">
      <c r="A18">
        <v>17</v>
      </c>
      <c r="B18" t="s">
        <v>28</v>
      </c>
      <c r="C18">
        <v>2018</v>
      </c>
      <c r="D18">
        <v>146178</v>
      </c>
      <c r="E18" t="s">
        <v>26</v>
      </c>
      <c r="F18" t="s">
        <v>18</v>
      </c>
      <c r="G18" t="s">
        <v>15</v>
      </c>
      <c r="H18">
        <v>915</v>
      </c>
      <c r="I18">
        <v>578.5</v>
      </c>
      <c r="J18">
        <v>11.21</v>
      </c>
      <c r="K18">
        <v>2</v>
      </c>
      <c r="L18">
        <v>29120.880000000001</v>
      </c>
    </row>
    <row r="19" spans="1:12" x14ac:dyDescent="0.3">
      <c r="A19">
        <v>18</v>
      </c>
      <c r="B19" t="s">
        <v>19</v>
      </c>
      <c r="C19">
        <v>2012</v>
      </c>
      <c r="D19">
        <v>73008</v>
      </c>
      <c r="E19" t="s">
        <v>13</v>
      </c>
      <c r="F19" t="s">
        <v>18</v>
      </c>
      <c r="G19" t="s">
        <v>15</v>
      </c>
      <c r="H19">
        <v>2895</v>
      </c>
      <c r="I19">
        <v>289.10000000000002</v>
      </c>
      <c r="J19">
        <v>29.7</v>
      </c>
      <c r="K19">
        <v>7</v>
      </c>
      <c r="L19">
        <v>110910.01</v>
      </c>
    </row>
    <row r="20" spans="1:12" x14ac:dyDescent="0.3">
      <c r="A20">
        <v>19</v>
      </c>
      <c r="B20" t="s">
        <v>27</v>
      </c>
      <c r="C20">
        <v>2013</v>
      </c>
      <c r="D20">
        <v>130926</v>
      </c>
      <c r="E20" t="s">
        <v>17</v>
      </c>
      <c r="F20" t="s">
        <v>14</v>
      </c>
      <c r="G20" t="s">
        <v>23</v>
      </c>
      <c r="H20">
        <v>2601</v>
      </c>
      <c r="I20">
        <v>313.89999999999998</v>
      </c>
      <c r="J20">
        <v>14.73</v>
      </c>
      <c r="K20">
        <v>4</v>
      </c>
      <c r="L20">
        <v>52829.5</v>
      </c>
    </row>
    <row r="21" spans="1:12" x14ac:dyDescent="0.3">
      <c r="A21">
        <v>20</v>
      </c>
      <c r="B21" t="s">
        <v>28</v>
      </c>
      <c r="C21">
        <v>2015</v>
      </c>
      <c r="D21">
        <v>120395</v>
      </c>
      <c r="E21" t="s">
        <v>22</v>
      </c>
      <c r="F21" t="s">
        <v>14</v>
      </c>
      <c r="G21" t="s">
        <v>15</v>
      </c>
      <c r="H21">
        <v>2946</v>
      </c>
      <c r="I21">
        <v>236.9</v>
      </c>
      <c r="J21">
        <v>23.32</v>
      </c>
      <c r="K21">
        <v>4</v>
      </c>
      <c r="L21">
        <v>118306.32</v>
      </c>
    </row>
    <row r="22" spans="1:12" x14ac:dyDescent="0.3">
      <c r="A22">
        <v>21</v>
      </c>
      <c r="B22" t="s">
        <v>21</v>
      </c>
      <c r="C22">
        <v>2005</v>
      </c>
      <c r="D22">
        <v>121492</v>
      </c>
      <c r="E22" t="s">
        <v>13</v>
      </c>
      <c r="F22" t="s">
        <v>18</v>
      </c>
      <c r="G22" t="s">
        <v>20</v>
      </c>
      <c r="H22">
        <v>2420</v>
      </c>
      <c r="I22">
        <v>549.29999999999995</v>
      </c>
      <c r="J22">
        <v>22.12</v>
      </c>
      <c r="K22">
        <v>7</v>
      </c>
      <c r="L22">
        <v>67824.83</v>
      </c>
    </row>
    <row r="23" spans="1:12" x14ac:dyDescent="0.3">
      <c r="A23">
        <v>22</v>
      </c>
      <c r="B23" t="s">
        <v>29</v>
      </c>
      <c r="C23">
        <v>2018</v>
      </c>
      <c r="D23">
        <v>77240</v>
      </c>
      <c r="E23" t="s">
        <v>17</v>
      </c>
      <c r="F23" t="s">
        <v>18</v>
      </c>
      <c r="G23" t="s">
        <v>15</v>
      </c>
      <c r="H23">
        <v>3750</v>
      </c>
      <c r="I23">
        <v>358.6</v>
      </c>
      <c r="J23">
        <v>10.3</v>
      </c>
      <c r="K23">
        <v>6</v>
      </c>
      <c r="L23">
        <v>111907.45</v>
      </c>
    </row>
    <row r="24" spans="1:12" x14ac:dyDescent="0.3">
      <c r="A24">
        <v>23</v>
      </c>
      <c r="B24" t="s">
        <v>24</v>
      </c>
      <c r="C24">
        <v>2009</v>
      </c>
      <c r="D24">
        <v>69315</v>
      </c>
      <c r="E24" t="s">
        <v>22</v>
      </c>
      <c r="F24" t="s">
        <v>14</v>
      </c>
      <c r="G24" t="s">
        <v>20</v>
      </c>
      <c r="H24">
        <v>4592</v>
      </c>
      <c r="I24">
        <v>466.8</v>
      </c>
      <c r="J24">
        <v>10.97</v>
      </c>
      <c r="K24">
        <v>4</v>
      </c>
      <c r="L24">
        <v>3625.83</v>
      </c>
    </row>
    <row r="25" spans="1:12" x14ac:dyDescent="0.3">
      <c r="A25">
        <v>24</v>
      </c>
      <c r="B25" t="s">
        <v>27</v>
      </c>
      <c r="C25">
        <v>2018</v>
      </c>
      <c r="D25">
        <v>15756</v>
      </c>
      <c r="E25" t="s">
        <v>26</v>
      </c>
      <c r="F25" t="s">
        <v>18</v>
      </c>
      <c r="G25" t="s">
        <v>15</v>
      </c>
      <c r="H25">
        <v>3741</v>
      </c>
      <c r="I25">
        <v>494.6</v>
      </c>
      <c r="J25">
        <v>12.03</v>
      </c>
      <c r="K25">
        <v>5</v>
      </c>
      <c r="L25">
        <v>90543.94</v>
      </c>
    </row>
    <row r="26" spans="1:12" x14ac:dyDescent="0.3">
      <c r="A26">
        <v>25</v>
      </c>
      <c r="B26" t="s">
        <v>30</v>
      </c>
      <c r="C26">
        <v>2008</v>
      </c>
      <c r="D26">
        <v>41378</v>
      </c>
      <c r="E26" t="s">
        <v>13</v>
      </c>
      <c r="F26" t="s">
        <v>18</v>
      </c>
      <c r="G26" t="s">
        <v>20</v>
      </c>
      <c r="H26">
        <v>1777</v>
      </c>
      <c r="I26">
        <v>231.4</v>
      </c>
      <c r="J26">
        <v>15.28</v>
      </c>
      <c r="K26">
        <v>5</v>
      </c>
      <c r="L26">
        <v>108656.93</v>
      </c>
    </row>
    <row r="27" spans="1:12" x14ac:dyDescent="0.3">
      <c r="A27">
        <v>26</v>
      </c>
      <c r="B27" t="s">
        <v>29</v>
      </c>
      <c r="C27">
        <v>2005</v>
      </c>
      <c r="D27">
        <v>140327</v>
      </c>
      <c r="E27" t="s">
        <v>17</v>
      </c>
      <c r="F27" t="s">
        <v>14</v>
      </c>
      <c r="G27" t="s">
        <v>20</v>
      </c>
      <c r="H27">
        <v>3866</v>
      </c>
      <c r="I27">
        <v>282.89999999999998</v>
      </c>
      <c r="J27">
        <v>10.86</v>
      </c>
      <c r="K27">
        <v>2</v>
      </c>
      <c r="L27">
        <v>19347.310000000001</v>
      </c>
    </row>
    <row r="28" spans="1:12" x14ac:dyDescent="0.3">
      <c r="A28">
        <v>27</v>
      </c>
      <c r="B28" t="s">
        <v>24</v>
      </c>
      <c r="C28">
        <v>2023</v>
      </c>
      <c r="D28">
        <v>150556</v>
      </c>
      <c r="E28" t="s">
        <v>22</v>
      </c>
      <c r="F28" t="s">
        <v>18</v>
      </c>
      <c r="G28" t="s">
        <v>15</v>
      </c>
      <c r="H28">
        <v>1583</v>
      </c>
      <c r="I28">
        <v>515.1</v>
      </c>
      <c r="J28">
        <v>5.49</v>
      </c>
      <c r="K28">
        <v>7</v>
      </c>
      <c r="L28">
        <v>14246.72</v>
      </c>
    </row>
    <row r="29" spans="1:12" x14ac:dyDescent="0.3">
      <c r="A29">
        <v>28</v>
      </c>
      <c r="B29" t="s">
        <v>25</v>
      </c>
      <c r="C29">
        <v>2012</v>
      </c>
      <c r="D29">
        <v>130703</v>
      </c>
      <c r="E29" t="s">
        <v>22</v>
      </c>
      <c r="F29" t="s">
        <v>14</v>
      </c>
      <c r="G29" t="s">
        <v>15</v>
      </c>
      <c r="H29">
        <v>1040</v>
      </c>
      <c r="I29">
        <v>243.4</v>
      </c>
      <c r="J29">
        <v>26.98</v>
      </c>
      <c r="K29">
        <v>7</v>
      </c>
      <c r="L29">
        <v>52675</v>
      </c>
    </row>
    <row r="30" spans="1:12" x14ac:dyDescent="0.3">
      <c r="A30">
        <v>29</v>
      </c>
      <c r="B30" t="s">
        <v>12</v>
      </c>
      <c r="C30">
        <v>2019</v>
      </c>
      <c r="D30">
        <v>61549</v>
      </c>
      <c r="E30" t="s">
        <v>26</v>
      </c>
      <c r="F30" t="s">
        <v>18</v>
      </c>
      <c r="G30" t="s">
        <v>20</v>
      </c>
      <c r="H30">
        <v>2353</v>
      </c>
      <c r="I30">
        <v>484.6</v>
      </c>
      <c r="J30">
        <v>29.14</v>
      </c>
      <c r="K30">
        <v>4</v>
      </c>
      <c r="L30">
        <v>112240.43</v>
      </c>
    </row>
    <row r="31" spans="1:12" x14ac:dyDescent="0.3">
      <c r="A31">
        <v>30</v>
      </c>
      <c r="B31" t="s">
        <v>16</v>
      </c>
      <c r="C31">
        <v>2019</v>
      </c>
      <c r="D31">
        <v>170575</v>
      </c>
      <c r="E31" t="s">
        <v>17</v>
      </c>
      <c r="F31" t="s">
        <v>14</v>
      </c>
      <c r="G31" t="s">
        <v>23</v>
      </c>
      <c r="H31">
        <v>1812</v>
      </c>
      <c r="I31">
        <v>567</v>
      </c>
      <c r="J31">
        <v>13.54</v>
      </c>
      <c r="K31">
        <v>6</v>
      </c>
      <c r="L31">
        <v>66459.23</v>
      </c>
    </row>
    <row r="32" spans="1:12" x14ac:dyDescent="0.3">
      <c r="A32">
        <v>31</v>
      </c>
      <c r="B32" t="s">
        <v>30</v>
      </c>
      <c r="C32">
        <v>2013</v>
      </c>
      <c r="D32">
        <v>78794</v>
      </c>
      <c r="E32" t="s">
        <v>26</v>
      </c>
      <c r="F32" t="s">
        <v>18</v>
      </c>
      <c r="G32" t="s">
        <v>15</v>
      </c>
      <c r="H32">
        <v>986</v>
      </c>
      <c r="I32">
        <v>389</v>
      </c>
      <c r="J32">
        <v>13.46</v>
      </c>
      <c r="K32">
        <v>7</v>
      </c>
      <c r="L32">
        <v>64712.41</v>
      </c>
    </row>
    <row r="33" spans="1:12" x14ac:dyDescent="0.3">
      <c r="A33">
        <v>32</v>
      </c>
      <c r="B33" t="s">
        <v>25</v>
      </c>
      <c r="C33">
        <v>2013</v>
      </c>
      <c r="D33">
        <v>50113</v>
      </c>
      <c r="E33" t="s">
        <v>26</v>
      </c>
      <c r="F33" t="s">
        <v>14</v>
      </c>
      <c r="G33" t="s">
        <v>23</v>
      </c>
      <c r="H33">
        <v>2681</v>
      </c>
      <c r="I33">
        <v>455.3</v>
      </c>
      <c r="J33">
        <v>5.18</v>
      </c>
      <c r="K33">
        <v>4</v>
      </c>
      <c r="L33">
        <v>19511.759999999998</v>
      </c>
    </row>
    <row r="34" spans="1:12" x14ac:dyDescent="0.3">
      <c r="A34">
        <v>33</v>
      </c>
      <c r="B34" t="s">
        <v>21</v>
      </c>
      <c r="C34">
        <v>2014</v>
      </c>
      <c r="D34">
        <v>79069</v>
      </c>
      <c r="E34" t="s">
        <v>17</v>
      </c>
      <c r="F34" t="s">
        <v>18</v>
      </c>
      <c r="G34" t="s">
        <v>15</v>
      </c>
      <c r="H34">
        <v>1230</v>
      </c>
      <c r="I34">
        <v>490.9</v>
      </c>
      <c r="J34">
        <v>22.01</v>
      </c>
      <c r="K34">
        <v>4</v>
      </c>
      <c r="L34">
        <v>3092.37</v>
      </c>
    </row>
    <row r="35" spans="1:12" x14ac:dyDescent="0.3">
      <c r="A35">
        <v>34</v>
      </c>
      <c r="B35" t="s">
        <v>25</v>
      </c>
      <c r="C35">
        <v>2024</v>
      </c>
      <c r="D35">
        <v>141321</v>
      </c>
      <c r="E35" t="s">
        <v>17</v>
      </c>
      <c r="F35" t="s">
        <v>14</v>
      </c>
      <c r="G35" t="s">
        <v>15</v>
      </c>
      <c r="H35">
        <v>1038</v>
      </c>
      <c r="I35">
        <v>513.20000000000005</v>
      </c>
      <c r="J35">
        <v>25.64</v>
      </c>
      <c r="K35">
        <v>7</v>
      </c>
      <c r="L35">
        <v>97786.39</v>
      </c>
    </row>
    <row r="36" spans="1:12" x14ac:dyDescent="0.3">
      <c r="A36">
        <v>35</v>
      </c>
      <c r="B36" t="s">
        <v>12</v>
      </c>
      <c r="C36">
        <v>2013</v>
      </c>
      <c r="D36">
        <v>155273</v>
      </c>
      <c r="E36" t="s">
        <v>17</v>
      </c>
      <c r="F36" t="s">
        <v>18</v>
      </c>
      <c r="G36" t="s">
        <v>15</v>
      </c>
      <c r="H36">
        <v>3145</v>
      </c>
      <c r="I36">
        <v>261.2</v>
      </c>
      <c r="J36">
        <v>8.67</v>
      </c>
      <c r="K36">
        <v>4</v>
      </c>
      <c r="L36">
        <v>13246.22</v>
      </c>
    </row>
    <row r="37" spans="1:12" x14ac:dyDescent="0.3">
      <c r="A37">
        <v>36</v>
      </c>
      <c r="B37" t="s">
        <v>21</v>
      </c>
      <c r="C37">
        <v>2007</v>
      </c>
      <c r="D37">
        <v>130541</v>
      </c>
      <c r="E37" t="s">
        <v>13</v>
      </c>
      <c r="F37" t="s">
        <v>18</v>
      </c>
      <c r="G37" t="s">
        <v>15</v>
      </c>
      <c r="H37">
        <v>875</v>
      </c>
      <c r="I37">
        <v>68.7</v>
      </c>
      <c r="J37">
        <v>8.99</v>
      </c>
      <c r="K37">
        <v>2</v>
      </c>
      <c r="L37">
        <v>77160.429999999993</v>
      </c>
    </row>
    <row r="38" spans="1:12" x14ac:dyDescent="0.3">
      <c r="A38">
        <v>37</v>
      </c>
      <c r="B38" t="s">
        <v>30</v>
      </c>
      <c r="C38">
        <v>2024</v>
      </c>
      <c r="D38">
        <v>194648</v>
      </c>
      <c r="E38" t="s">
        <v>17</v>
      </c>
      <c r="F38" t="s">
        <v>18</v>
      </c>
      <c r="G38" t="s">
        <v>23</v>
      </c>
      <c r="H38">
        <v>2156</v>
      </c>
      <c r="I38">
        <v>265.10000000000002</v>
      </c>
      <c r="J38">
        <v>24.75</v>
      </c>
      <c r="K38">
        <v>2</v>
      </c>
      <c r="L38">
        <v>110010.13</v>
      </c>
    </row>
    <row r="39" spans="1:12" x14ac:dyDescent="0.3">
      <c r="A39">
        <v>38</v>
      </c>
      <c r="B39" t="s">
        <v>12</v>
      </c>
      <c r="C39">
        <v>2015</v>
      </c>
      <c r="D39">
        <v>14686</v>
      </c>
      <c r="E39" t="s">
        <v>22</v>
      </c>
      <c r="F39" t="s">
        <v>18</v>
      </c>
      <c r="G39" t="s">
        <v>15</v>
      </c>
      <c r="H39">
        <v>3130</v>
      </c>
      <c r="I39">
        <v>417.3</v>
      </c>
      <c r="J39">
        <v>20.41</v>
      </c>
      <c r="K39">
        <v>7</v>
      </c>
      <c r="L39">
        <v>27412.27</v>
      </c>
    </row>
    <row r="40" spans="1:12" x14ac:dyDescent="0.3">
      <c r="A40">
        <v>39</v>
      </c>
      <c r="B40" t="s">
        <v>28</v>
      </c>
      <c r="C40">
        <v>2010</v>
      </c>
      <c r="D40">
        <v>58363</v>
      </c>
      <c r="E40" t="s">
        <v>26</v>
      </c>
      <c r="F40" t="s">
        <v>18</v>
      </c>
      <c r="G40" t="s">
        <v>20</v>
      </c>
      <c r="H40">
        <v>2702</v>
      </c>
      <c r="I40">
        <v>292.2</v>
      </c>
      <c r="J40">
        <v>6.12</v>
      </c>
      <c r="K40">
        <v>6</v>
      </c>
      <c r="L40">
        <v>80836.92</v>
      </c>
    </row>
    <row r="41" spans="1:12" x14ac:dyDescent="0.3">
      <c r="A41">
        <v>40</v>
      </c>
      <c r="B41" t="s">
        <v>16</v>
      </c>
      <c r="C41">
        <v>2006</v>
      </c>
      <c r="D41">
        <v>102543</v>
      </c>
      <c r="E41" t="s">
        <v>13</v>
      </c>
      <c r="F41" t="s">
        <v>18</v>
      </c>
      <c r="G41" t="s">
        <v>20</v>
      </c>
      <c r="H41">
        <v>4813</v>
      </c>
      <c r="I41">
        <v>459.4</v>
      </c>
      <c r="J41">
        <v>20.56</v>
      </c>
      <c r="K41">
        <v>2</v>
      </c>
      <c r="L41">
        <v>12207.73</v>
      </c>
    </row>
    <row r="42" spans="1:12" x14ac:dyDescent="0.3">
      <c r="A42">
        <v>41</v>
      </c>
      <c r="B42" t="s">
        <v>30</v>
      </c>
      <c r="C42">
        <v>2011</v>
      </c>
      <c r="D42">
        <v>136733</v>
      </c>
      <c r="E42" t="s">
        <v>17</v>
      </c>
      <c r="F42" t="s">
        <v>18</v>
      </c>
      <c r="G42" t="s">
        <v>23</v>
      </c>
      <c r="H42">
        <v>2859</v>
      </c>
      <c r="I42">
        <v>239.9</v>
      </c>
      <c r="J42">
        <v>12.72</v>
      </c>
      <c r="K42">
        <v>2</v>
      </c>
      <c r="L42">
        <v>73639.350000000006</v>
      </c>
    </row>
    <row r="43" spans="1:12" x14ac:dyDescent="0.3">
      <c r="A43">
        <v>42</v>
      </c>
      <c r="B43" t="s">
        <v>28</v>
      </c>
      <c r="C43">
        <v>2022</v>
      </c>
      <c r="D43">
        <v>180915</v>
      </c>
      <c r="E43" t="s">
        <v>13</v>
      </c>
      <c r="F43" t="s">
        <v>18</v>
      </c>
      <c r="G43" t="s">
        <v>15</v>
      </c>
      <c r="H43">
        <v>940</v>
      </c>
      <c r="I43">
        <v>395.5</v>
      </c>
      <c r="J43">
        <v>14.22</v>
      </c>
      <c r="K43">
        <v>7</v>
      </c>
      <c r="L43">
        <v>22180.01</v>
      </c>
    </row>
    <row r="44" spans="1:12" x14ac:dyDescent="0.3">
      <c r="A44">
        <v>43</v>
      </c>
      <c r="B44" t="s">
        <v>24</v>
      </c>
      <c r="C44">
        <v>2006</v>
      </c>
      <c r="D44">
        <v>100673</v>
      </c>
      <c r="E44" t="s">
        <v>17</v>
      </c>
      <c r="F44" t="s">
        <v>18</v>
      </c>
      <c r="G44" t="s">
        <v>20</v>
      </c>
      <c r="H44">
        <v>2589</v>
      </c>
      <c r="I44">
        <v>144.4</v>
      </c>
      <c r="J44">
        <v>24.24</v>
      </c>
      <c r="K44">
        <v>5</v>
      </c>
      <c r="L44">
        <v>89106.57</v>
      </c>
    </row>
    <row r="45" spans="1:12" x14ac:dyDescent="0.3">
      <c r="A45">
        <v>44</v>
      </c>
      <c r="B45" t="s">
        <v>30</v>
      </c>
      <c r="C45">
        <v>2021</v>
      </c>
      <c r="D45">
        <v>197035</v>
      </c>
      <c r="E45" t="s">
        <v>13</v>
      </c>
      <c r="F45" t="s">
        <v>14</v>
      </c>
      <c r="G45" t="s">
        <v>23</v>
      </c>
      <c r="H45">
        <v>4426</v>
      </c>
      <c r="I45">
        <v>459.6</v>
      </c>
      <c r="J45">
        <v>25.27</v>
      </c>
      <c r="K45">
        <v>4</v>
      </c>
      <c r="L45">
        <v>38244.06</v>
      </c>
    </row>
    <row r="46" spans="1:12" x14ac:dyDescent="0.3">
      <c r="A46">
        <v>45</v>
      </c>
      <c r="B46" t="s">
        <v>24</v>
      </c>
      <c r="C46">
        <v>2015</v>
      </c>
      <c r="D46">
        <v>47828</v>
      </c>
      <c r="E46" t="s">
        <v>26</v>
      </c>
      <c r="F46" t="s">
        <v>14</v>
      </c>
      <c r="G46" t="s">
        <v>15</v>
      </c>
      <c r="H46">
        <v>816</v>
      </c>
      <c r="I46">
        <v>345.6</v>
      </c>
      <c r="J46">
        <v>15.01</v>
      </c>
      <c r="K46">
        <v>2</v>
      </c>
      <c r="L46">
        <v>57216.75</v>
      </c>
    </row>
    <row r="47" spans="1:12" x14ac:dyDescent="0.3">
      <c r="A47">
        <v>46</v>
      </c>
      <c r="B47" t="s">
        <v>21</v>
      </c>
      <c r="C47">
        <v>2016</v>
      </c>
      <c r="D47">
        <v>53604</v>
      </c>
      <c r="E47" t="s">
        <v>26</v>
      </c>
      <c r="F47" t="s">
        <v>18</v>
      </c>
      <c r="G47" t="s">
        <v>20</v>
      </c>
      <c r="H47">
        <v>1264</v>
      </c>
      <c r="I47">
        <v>154.30000000000001</v>
      </c>
      <c r="J47">
        <v>28.68</v>
      </c>
      <c r="K47">
        <v>5</v>
      </c>
      <c r="L47">
        <v>73133.37</v>
      </c>
    </row>
    <row r="48" spans="1:12" x14ac:dyDescent="0.3">
      <c r="A48">
        <v>47</v>
      </c>
      <c r="B48" t="s">
        <v>28</v>
      </c>
      <c r="C48">
        <v>2023</v>
      </c>
      <c r="D48">
        <v>15526</v>
      </c>
      <c r="E48" t="s">
        <v>22</v>
      </c>
      <c r="F48" t="s">
        <v>14</v>
      </c>
      <c r="G48" t="s">
        <v>20</v>
      </c>
      <c r="H48">
        <v>2627</v>
      </c>
      <c r="I48">
        <v>203.5</v>
      </c>
      <c r="J48">
        <v>15.16</v>
      </c>
      <c r="K48">
        <v>6</v>
      </c>
      <c r="L48">
        <v>23038.99</v>
      </c>
    </row>
    <row r="49" spans="1:12" x14ac:dyDescent="0.3">
      <c r="A49">
        <v>48</v>
      </c>
      <c r="B49" t="s">
        <v>16</v>
      </c>
      <c r="C49">
        <v>2011</v>
      </c>
      <c r="D49">
        <v>73910</v>
      </c>
      <c r="E49" t="s">
        <v>22</v>
      </c>
      <c r="F49" t="s">
        <v>18</v>
      </c>
      <c r="G49" t="s">
        <v>23</v>
      </c>
      <c r="H49">
        <v>3828</v>
      </c>
      <c r="I49">
        <v>459.2</v>
      </c>
      <c r="J49">
        <v>24.3</v>
      </c>
      <c r="K49">
        <v>5</v>
      </c>
      <c r="L49">
        <v>89771.62</v>
      </c>
    </row>
    <row r="50" spans="1:12" x14ac:dyDescent="0.3">
      <c r="A50">
        <v>49</v>
      </c>
      <c r="B50" t="s">
        <v>12</v>
      </c>
      <c r="C50">
        <v>2024</v>
      </c>
      <c r="D50">
        <v>30592</v>
      </c>
      <c r="E50" t="s">
        <v>17</v>
      </c>
      <c r="F50" t="s">
        <v>18</v>
      </c>
      <c r="G50" t="s">
        <v>15</v>
      </c>
      <c r="H50">
        <v>1319</v>
      </c>
      <c r="I50">
        <v>310.3</v>
      </c>
      <c r="J50">
        <v>17.100000000000001</v>
      </c>
      <c r="K50">
        <v>7</v>
      </c>
      <c r="L50">
        <v>38408.92</v>
      </c>
    </row>
    <row r="51" spans="1:12" x14ac:dyDescent="0.3">
      <c r="A51">
        <v>50</v>
      </c>
      <c r="B51" t="s">
        <v>19</v>
      </c>
      <c r="C51">
        <v>2010</v>
      </c>
      <c r="D51">
        <v>33982</v>
      </c>
      <c r="E51" t="s">
        <v>26</v>
      </c>
      <c r="F51" t="s">
        <v>14</v>
      </c>
      <c r="G51" t="s">
        <v>15</v>
      </c>
      <c r="H51">
        <v>889</v>
      </c>
      <c r="I51">
        <v>161</v>
      </c>
      <c r="J51">
        <v>27.44</v>
      </c>
      <c r="K51">
        <v>6</v>
      </c>
      <c r="L51">
        <v>80497.509999999995</v>
      </c>
    </row>
    <row r="52" spans="1:12" x14ac:dyDescent="0.3">
      <c r="A52">
        <v>51</v>
      </c>
      <c r="B52" t="s">
        <v>25</v>
      </c>
      <c r="C52">
        <v>2005</v>
      </c>
      <c r="D52">
        <v>5207</v>
      </c>
      <c r="E52" t="s">
        <v>13</v>
      </c>
      <c r="F52" t="s">
        <v>18</v>
      </c>
      <c r="G52" t="s">
        <v>20</v>
      </c>
      <c r="H52">
        <v>3651</v>
      </c>
      <c r="I52">
        <v>581.70000000000005</v>
      </c>
      <c r="J52">
        <v>27.69</v>
      </c>
      <c r="K52">
        <v>6</v>
      </c>
      <c r="L52">
        <v>21519.119999999999</v>
      </c>
    </row>
    <row r="53" spans="1:12" x14ac:dyDescent="0.3">
      <c r="A53">
        <v>52</v>
      </c>
      <c r="B53" t="s">
        <v>29</v>
      </c>
      <c r="C53">
        <v>2021</v>
      </c>
      <c r="D53">
        <v>93733</v>
      </c>
      <c r="E53" t="s">
        <v>13</v>
      </c>
      <c r="F53" t="s">
        <v>18</v>
      </c>
      <c r="G53" t="s">
        <v>20</v>
      </c>
      <c r="H53">
        <v>3643</v>
      </c>
      <c r="I53">
        <v>440.5</v>
      </c>
      <c r="J53">
        <v>7.19</v>
      </c>
      <c r="K53">
        <v>5</v>
      </c>
      <c r="L53">
        <v>83509.77</v>
      </c>
    </row>
    <row r="54" spans="1:12" x14ac:dyDescent="0.3">
      <c r="A54">
        <v>53</v>
      </c>
      <c r="B54" t="s">
        <v>16</v>
      </c>
      <c r="C54">
        <v>2015</v>
      </c>
      <c r="D54">
        <v>129982</v>
      </c>
      <c r="E54" t="s">
        <v>13</v>
      </c>
      <c r="F54" t="s">
        <v>14</v>
      </c>
      <c r="G54" t="s">
        <v>20</v>
      </c>
      <c r="H54">
        <v>2684</v>
      </c>
      <c r="I54">
        <v>576</v>
      </c>
      <c r="J54">
        <v>28.41</v>
      </c>
      <c r="K54">
        <v>7</v>
      </c>
      <c r="L54">
        <v>17998</v>
      </c>
    </row>
    <row r="55" spans="1:12" x14ac:dyDescent="0.3">
      <c r="A55">
        <v>54</v>
      </c>
      <c r="B55" t="s">
        <v>28</v>
      </c>
      <c r="C55">
        <v>2022</v>
      </c>
      <c r="D55">
        <v>73619</v>
      </c>
      <c r="E55" t="s">
        <v>22</v>
      </c>
      <c r="F55" t="s">
        <v>14</v>
      </c>
      <c r="G55" t="s">
        <v>15</v>
      </c>
      <c r="H55">
        <v>4971</v>
      </c>
      <c r="I55">
        <v>279.2</v>
      </c>
      <c r="J55">
        <v>25.64</v>
      </c>
      <c r="K55">
        <v>2</v>
      </c>
      <c r="L55">
        <v>52766.71</v>
      </c>
    </row>
    <row r="56" spans="1:12" x14ac:dyDescent="0.3">
      <c r="A56">
        <v>55</v>
      </c>
      <c r="B56" t="s">
        <v>19</v>
      </c>
      <c r="C56">
        <v>2021</v>
      </c>
      <c r="D56">
        <v>165400</v>
      </c>
      <c r="E56" t="s">
        <v>13</v>
      </c>
      <c r="F56" t="s">
        <v>18</v>
      </c>
      <c r="G56" t="s">
        <v>23</v>
      </c>
      <c r="H56">
        <v>1725</v>
      </c>
      <c r="I56">
        <v>306.10000000000002</v>
      </c>
      <c r="J56">
        <v>24.78</v>
      </c>
      <c r="K56">
        <v>5</v>
      </c>
      <c r="L56">
        <v>31923.11</v>
      </c>
    </row>
    <row r="57" spans="1:12" x14ac:dyDescent="0.3">
      <c r="A57">
        <v>56</v>
      </c>
      <c r="B57" t="s">
        <v>16</v>
      </c>
      <c r="C57">
        <v>2011</v>
      </c>
      <c r="D57">
        <v>51479</v>
      </c>
      <c r="E57" t="s">
        <v>22</v>
      </c>
      <c r="F57" t="s">
        <v>14</v>
      </c>
      <c r="G57" t="s">
        <v>23</v>
      </c>
      <c r="H57">
        <v>4534</v>
      </c>
      <c r="I57">
        <v>542.9</v>
      </c>
      <c r="J57">
        <v>10.02</v>
      </c>
      <c r="K57">
        <v>2</v>
      </c>
      <c r="L57">
        <v>90559.9</v>
      </c>
    </row>
    <row r="58" spans="1:12" x14ac:dyDescent="0.3">
      <c r="A58">
        <v>57</v>
      </c>
      <c r="B58" t="s">
        <v>28</v>
      </c>
      <c r="C58">
        <v>2021</v>
      </c>
      <c r="D58">
        <v>156175</v>
      </c>
      <c r="E58" t="s">
        <v>22</v>
      </c>
      <c r="F58" t="s">
        <v>14</v>
      </c>
      <c r="G58" t="s">
        <v>15</v>
      </c>
      <c r="H58">
        <v>1769</v>
      </c>
      <c r="I58">
        <v>334</v>
      </c>
      <c r="J58">
        <v>25.13</v>
      </c>
      <c r="K58">
        <v>5</v>
      </c>
      <c r="L58">
        <v>33658.1</v>
      </c>
    </row>
    <row r="59" spans="1:12" x14ac:dyDescent="0.3">
      <c r="A59">
        <v>58</v>
      </c>
      <c r="B59" t="s">
        <v>27</v>
      </c>
      <c r="C59">
        <v>2024</v>
      </c>
      <c r="D59">
        <v>175963</v>
      </c>
      <c r="E59" t="s">
        <v>17</v>
      </c>
      <c r="F59" t="s">
        <v>18</v>
      </c>
      <c r="G59" t="s">
        <v>23</v>
      </c>
      <c r="H59">
        <v>1894</v>
      </c>
      <c r="I59">
        <v>436.1</v>
      </c>
      <c r="J59">
        <v>26.25</v>
      </c>
      <c r="K59">
        <v>2</v>
      </c>
      <c r="L59">
        <v>106160.92</v>
      </c>
    </row>
    <row r="60" spans="1:12" x14ac:dyDescent="0.3">
      <c r="A60">
        <v>59</v>
      </c>
      <c r="B60" t="s">
        <v>27</v>
      </c>
      <c r="C60">
        <v>2013</v>
      </c>
      <c r="D60">
        <v>146826</v>
      </c>
      <c r="E60" t="s">
        <v>13</v>
      </c>
      <c r="F60" t="s">
        <v>14</v>
      </c>
      <c r="G60" t="s">
        <v>20</v>
      </c>
      <c r="H60">
        <v>3995</v>
      </c>
      <c r="I60">
        <v>181.2</v>
      </c>
      <c r="J60">
        <v>12.23</v>
      </c>
      <c r="K60">
        <v>5</v>
      </c>
      <c r="L60">
        <v>107342.96</v>
      </c>
    </row>
    <row r="61" spans="1:12" x14ac:dyDescent="0.3">
      <c r="A61">
        <v>60</v>
      </c>
      <c r="B61" t="s">
        <v>24</v>
      </c>
      <c r="C61">
        <v>2021</v>
      </c>
      <c r="D61">
        <v>86437</v>
      </c>
      <c r="E61" t="s">
        <v>13</v>
      </c>
      <c r="F61" t="s">
        <v>14</v>
      </c>
      <c r="G61" t="s">
        <v>23</v>
      </c>
      <c r="H61">
        <v>2204</v>
      </c>
      <c r="I61">
        <v>290.2</v>
      </c>
      <c r="J61">
        <v>28.81</v>
      </c>
      <c r="K61">
        <v>6</v>
      </c>
      <c r="L61">
        <v>25983.63</v>
      </c>
    </row>
    <row r="62" spans="1:12" x14ac:dyDescent="0.3">
      <c r="A62">
        <v>61</v>
      </c>
      <c r="B62" t="s">
        <v>16</v>
      </c>
      <c r="C62">
        <v>2024</v>
      </c>
      <c r="D62">
        <v>103540</v>
      </c>
      <c r="E62" t="s">
        <v>26</v>
      </c>
      <c r="F62" t="s">
        <v>18</v>
      </c>
      <c r="G62" t="s">
        <v>23</v>
      </c>
      <c r="H62">
        <v>4164</v>
      </c>
      <c r="I62">
        <v>109.1</v>
      </c>
      <c r="J62">
        <v>6.25</v>
      </c>
      <c r="K62">
        <v>4</v>
      </c>
      <c r="L62">
        <v>74819.98</v>
      </c>
    </row>
    <row r="63" spans="1:12" x14ac:dyDescent="0.3">
      <c r="A63">
        <v>62</v>
      </c>
      <c r="B63" t="s">
        <v>27</v>
      </c>
      <c r="C63">
        <v>2012</v>
      </c>
      <c r="D63">
        <v>77982</v>
      </c>
      <c r="E63" t="s">
        <v>17</v>
      </c>
      <c r="F63" t="s">
        <v>14</v>
      </c>
      <c r="G63" t="s">
        <v>23</v>
      </c>
      <c r="H63">
        <v>4782</v>
      </c>
      <c r="I63">
        <v>155.30000000000001</v>
      </c>
      <c r="J63">
        <v>8.75</v>
      </c>
      <c r="K63">
        <v>6</v>
      </c>
      <c r="L63">
        <v>13262.96</v>
      </c>
    </row>
    <row r="64" spans="1:12" x14ac:dyDescent="0.3">
      <c r="A64">
        <v>63</v>
      </c>
      <c r="B64" t="s">
        <v>28</v>
      </c>
      <c r="C64">
        <v>2021</v>
      </c>
      <c r="D64">
        <v>107747</v>
      </c>
      <c r="E64" t="s">
        <v>26</v>
      </c>
      <c r="F64" t="s">
        <v>14</v>
      </c>
      <c r="G64" t="s">
        <v>20</v>
      </c>
      <c r="H64">
        <v>4813</v>
      </c>
      <c r="I64">
        <v>40.5</v>
      </c>
      <c r="J64">
        <v>18.440000000000001</v>
      </c>
      <c r="K64">
        <v>2</v>
      </c>
      <c r="L64">
        <v>48809.84</v>
      </c>
    </row>
    <row r="65" spans="1:12" x14ac:dyDescent="0.3">
      <c r="A65">
        <v>64</v>
      </c>
      <c r="B65" t="s">
        <v>24</v>
      </c>
      <c r="C65">
        <v>2011</v>
      </c>
      <c r="D65">
        <v>191994</v>
      </c>
      <c r="E65" t="s">
        <v>17</v>
      </c>
      <c r="F65" t="s">
        <v>18</v>
      </c>
      <c r="G65" t="s">
        <v>15</v>
      </c>
      <c r="H65">
        <v>3892</v>
      </c>
      <c r="I65">
        <v>62</v>
      </c>
      <c r="J65">
        <v>19.39</v>
      </c>
      <c r="K65">
        <v>7</v>
      </c>
      <c r="L65">
        <v>86458.64</v>
      </c>
    </row>
    <row r="66" spans="1:12" x14ac:dyDescent="0.3">
      <c r="A66">
        <v>65</v>
      </c>
      <c r="B66" t="s">
        <v>28</v>
      </c>
      <c r="C66">
        <v>2005</v>
      </c>
      <c r="D66">
        <v>53231</v>
      </c>
      <c r="E66" t="s">
        <v>13</v>
      </c>
      <c r="F66" t="s">
        <v>18</v>
      </c>
      <c r="G66" t="s">
        <v>20</v>
      </c>
      <c r="H66">
        <v>4959</v>
      </c>
      <c r="I66">
        <v>587.29999999999995</v>
      </c>
      <c r="J66">
        <v>21.13</v>
      </c>
      <c r="K66">
        <v>6</v>
      </c>
      <c r="L66">
        <v>80152.52</v>
      </c>
    </row>
    <row r="67" spans="1:12" x14ac:dyDescent="0.3">
      <c r="A67">
        <v>66</v>
      </c>
      <c r="B67" t="s">
        <v>24</v>
      </c>
      <c r="C67">
        <v>2017</v>
      </c>
      <c r="D67">
        <v>34301</v>
      </c>
      <c r="E67" t="s">
        <v>22</v>
      </c>
      <c r="F67" t="s">
        <v>18</v>
      </c>
      <c r="G67" t="s">
        <v>15</v>
      </c>
      <c r="H67">
        <v>2874</v>
      </c>
      <c r="I67">
        <v>175.7</v>
      </c>
      <c r="J67">
        <v>5.42</v>
      </c>
      <c r="K67">
        <v>4</v>
      </c>
      <c r="L67">
        <v>76089.98</v>
      </c>
    </row>
    <row r="68" spans="1:12" x14ac:dyDescent="0.3">
      <c r="A68">
        <v>67</v>
      </c>
      <c r="B68" t="s">
        <v>16</v>
      </c>
      <c r="C68">
        <v>2023</v>
      </c>
      <c r="D68">
        <v>198783</v>
      </c>
      <c r="E68" t="s">
        <v>22</v>
      </c>
      <c r="F68" t="s">
        <v>14</v>
      </c>
      <c r="G68" t="s">
        <v>15</v>
      </c>
      <c r="H68">
        <v>1084</v>
      </c>
      <c r="I68">
        <v>411.5</v>
      </c>
      <c r="J68">
        <v>29.01</v>
      </c>
      <c r="K68">
        <v>2</v>
      </c>
      <c r="L68">
        <v>36057.279999999999</v>
      </c>
    </row>
    <row r="69" spans="1:12" x14ac:dyDescent="0.3">
      <c r="A69">
        <v>68</v>
      </c>
      <c r="B69" t="s">
        <v>19</v>
      </c>
      <c r="C69">
        <v>2023</v>
      </c>
      <c r="D69">
        <v>177395</v>
      </c>
      <c r="E69" t="s">
        <v>22</v>
      </c>
      <c r="F69" t="s">
        <v>18</v>
      </c>
      <c r="G69" t="s">
        <v>15</v>
      </c>
      <c r="H69">
        <v>1987</v>
      </c>
      <c r="I69">
        <v>509.9</v>
      </c>
      <c r="J69">
        <v>6.11</v>
      </c>
      <c r="K69">
        <v>6</v>
      </c>
      <c r="L69">
        <v>47228.92</v>
      </c>
    </row>
    <row r="70" spans="1:12" x14ac:dyDescent="0.3">
      <c r="A70">
        <v>69</v>
      </c>
      <c r="B70" t="s">
        <v>12</v>
      </c>
      <c r="C70">
        <v>2021</v>
      </c>
      <c r="D70">
        <v>23752</v>
      </c>
      <c r="E70" t="s">
        <v>22</v>
      </c>
      <c r="F70" t="s">
        <v>18</v>
      </c>
      <c r="G70" t="s">
        <v>23</v>
      </c>
      <c r="H70">
        <v>4769</v>
      </c>
      <c r="I70">
        <v>348.4</v>
      </c>
      <c r="J70">
        <v>8.58</v>
      </c>
      <c r="K70">
        <v>5</v>
      </c>
      <c r="L70">
        <v>15044.7</v>
      </c>
    </row>
    <row r="71" spans="1:12" x14ac:dyDescent="0.3">
      <c r="A71">
        <v>70</v>
      </c>
      <c r="B71" t="s">
        <v>30</v>
      </c>
      <c r="C71">
        <v>2017</v>
      </c>
      <c r="D71">
        <v>103452</v>
      </c>
      <c r="E71" t="s">
        <v>22</v>
      </c>
      <c r="F71" t="s">
        <v>14</v>
      </c>
      <c r="G71" t="s">
        <v>23</v>
      </c>
      <c r="H71">
        <v>3765</v>
      </c>
      <c r="I71">
        <v>125.8</v>
      </c>
      <c r="J71">
        <v>5.35</v>
      </c>
      <c r="K71">
        <v>7</v>
      </c>
      <c r="L71">
        <v>87125.67</v>
      </c>
    </row>
    <row r="72" spans="1:12" x14ac:dyDescent="0.3">
      <c r="A72">
        <v>71</v>
      </c>
      <c r="B72" t="s">
        <v>19</v>
      </c>
      <c r="C72">
        <v>2020</v>
      </c>
      <c r="D72">
        <v>149467</v>
      </c>
      <c r="E72" t="s">
        <v>26</v>
      </c>
      <c r="F72" t="s">
        <v>18</v>
      </c>
      <c r="G72" t="s">
        <v>15</v>
      </c>
      <c r="H72">
        <v>1583</v>
      </c>
      <c r="I72">
        <v>447.7</v>
      </c>
      <c r="J72">
        <v>19.170000000000002</v>
      </c>
      <c r="K72">
        <v>2</v>
      </c>
      <c r="L72">
        <v>61954.99</v>
      </c>
    </row>
    <row r="73" spans="1:12" x14ac:dyDescent="0.3">
      <c r="A73">
        <v>72</v>
      </c>
      <c r="B73" t="s">
        <v>21</v>
      </c>
      <c r="C73">
        <v>2012</v>
      </c>
      <c r="D73">
        <v>126237</v>
      </c>
      <c r="E73" t="s">
        <v>17</v>
      </c>
      <c r="F73" t="s">
        <v>18</v>
      </c>
      <c r="G73" t="s">
        <v>15</v>
      </c>
      <c r="H73">
        <v>1749</v>
      </c>
      <c r="I73">
        <v>376.1</v>
      </c>
      <c r="J73">
        <v>28.31</v>
      </c>
      <c r="K73">
        <v>6</v>
      </c>
      <c r="L73">
        <v>85925.58</v>
      </c>
    </row>
    <row r="74" spans="1:12" x14ac:dyDescent="0.3">
      <c r="A74">
        <v>73</v>
      </c>
      <c r="B74" t="s">
        <v>28</v>
      </c>
      <c r="C74">
        <v>2023</v>
      </c>
      <c r="D74">
        <v>61273</v>
      </c>
      <c r="E74" t="s">
        <v>13</v>
      </c>
      <c r="F74" t="s">
        <v>18</v>
      </c>
      <c r="G74" t="s">
        <v>23</v>
      </c>
      <c r="H74">
        <v>4739</v>
      </c>
      <c r="I74">
        <v>449.5</v>
      </c>
      <c r="J74">
        <v>21.65</v>
      </c>
      <c r="K74">
        <v>2</v>
      </c>
      <c r="L74">
        <v>32126.39</v>
      </c>
    </row>
    <row r="75" spans="1:12" x14ac:dyDescent="0.3">
      <c r="A75">
        <v>74</v>
      </c>
      <c r="B75" t="s">
        <v>21</v>
      </c>
      <c r="C75">
        <v>2022</v>
      </c>
      <c r="D75">
        <v>96878</v>
      </c>
      <c r="E75" t="s">
        <v>26</v>
      </c>
      <c r="F75" t="s">
        <v>18</v>
      </c>
      <c r="G75" t="s">
        <v>20</v>
      </c>
      <c r="H75">
        <v>844</v>
      </c>
      <c r="I75">
        <v>471.1</v>
      </c>
      <c r="J75">
        <v>25.57</v>
      </c>
      <c r="K75">
        <v>5</v>
      </c>
      <c r="L75">
        <v>40959.269999999997</v>
      </c>
    </row>
    <row r="76" spans="1:12" x14ac:dyDescent="0.3">
      <c r="A76">
        <v>75</v>
      </c>
      <c r="B76" t="s">
        <v>19</v>
      </c>
      <c r="C76">
        <v>2005</v>
      </c>
      <c r="D76">
        <v>9895</v>
      </c>
      <c r="E76" t="s">
        <v>17</v>
      </c>
      <c r="F76" t="s">
        <v>14</v>
      </c>
      <c r="G76" t="s">
        <v>15</v>
      </c>
      <c r="H76">
        <v>2610</v>
      </c>
      <c r="I76">
        <v>586.20000000000005</v>
      </c>
      <c r="J76">
        <v>5.33</v>
      </c>
      <c r="K76">
        <v>4</v>
      </c>
      <c r="L76">
        <v>42103.19</v>
      </c>
    </row>
    <row r="77" spans="1:12" x14ac:dyDescent="0.3">
      <c r="A77">
        <v>76</v>
      </c>
      <c r="B77" t="s">
        <v>24</v>
      </c>
      <c r="C77">
        <v>2018</v>
      </c>
      <c r="D77">
        <v>124968</v>
      </c>
      <c r="E77" t="s">
        <v>22</v>
      </c>
      <c r="F77" t="s">
        <v>18</v>
      </c>
      <c r="G77" t="s">
        <v>20</v>
      </c>
      <c r="H77">
        <v>2881</v>
      </c>
      <c r="I77">
        <v>361.2</v>
      </c>
      <c r="J77">
        <v>18.55</v>
      </c>
      <c r="K77">
        <v>6</v>
      </c>
      <c r="L77">
        <v>6011.86</v>
      </c>
    </row>
    <row r="78" spans="1:12" x14ac:dyDescent="0.3">
      <c r="A78">
        <v>77</v>
      </c>
      <c r="B78" t="s">
        <v>30</v>
      </c>
      <c r="C78">
        <v>2023</v>
      </c>
      <c r="D78">
        <v>120700</v>
      </c>
      <c r="E78" t="s">
        <v>17</v>
      </c>
      <c r="F78" t="s">
        <v>18</v>
      </c>
      <c r="G78" t="s">
        <v>23</v>
      </c>
      <c r="H78">
        <v>4298</v>
      </c>
      <c r="I78">
        <v>231.3</v>
      </c>
      <c r="J78">
        <v>16.489999999999998</v>
      </c>
      <c r="K78">
        <v>2</v>
      </c>
      <c r="L78">
        <v>42902.6</v>
      </c>
    </row>
    <row r="79" spans="1:12" x14ac:dyDescent="0.3">
      <c r="A79">
        <v>78</v>
      </c>
      <c r="B79" t="s">
        <v>30</v>
      </c>
      <c r="C79">
        <v>2019</v>
      </c>
      <c r="D79">
        <v>81559</v>
      </c>
      <c r="E79" t="s">
        <v>17</v>
      </c>
      <c r="F79" t="s">
        <v>14</v>
      </c>
      <c r="G79" t="s">
        <v>15</v>
      </c>
      <c r="H79">
        <v>1629</v>
      </c>
      <c r="I79">
        <v>403.1</v>
      </c>
      <c r="J79">
        <v>17.47</v>
      </c>
      <c r="K79">
        <v>2</v>
      </c>
      <c r="L79">
        <v>96986.64</v>
      </c>
    </row>
    <row r="80" spans="1:12" x14ac:dyDescent="0.3">
      <c r="A80">
        <v>79</v>
      </c>
      <c r="B80" t="s">
        <v>29</v>
      </c>
      <c r="C80">
        <v>2022</v>
      </c>
      <c r="D80">
        <v>15699</v>
      </c>
      <c r="E80" t="s">
        <v>22</v>
      </c>
      <c r="F80" t="s">
        <v>18</v>
      </c>
      <c r="G80" t="s">
        <v>20</v>
      </c>
      <c r="H80">
        <v>2709</v>
      </c>
      <c r="I80">
        <v>78.3</v>
      </c>
      <c r="J80">
        <v>6.81</v>
      </c>
      <c r="K80">
        <v>2</v>
      </c>
      <c r="L80">
        <v>107983.92</v>
      </c>
    </row>
    <row r="81" spans="1:12" x14ac:dyDescent="0.3">
      <c r="A81">
        <v>80</v>
      </c>
      <c r="B81" t="s">
        <v>30</v>
      </c>
      <c r="C81">
        <v>2006</v>
      </c>
      <c r="D81">
        <v>14715</v>
      </c>
      <c r="E81" t="s">
        <v>22</v>
      </c>
      <c r="F81" t="s">
        <v>14</v>
      </c>
      <c r="G81" t="s">
        <v>20</v>
      </c>
      <c r="H81">
        <v>3381</v>
      </c>
      <c r="I81">
        <v>542.5</v>
      </c>
      <c r="J81">
        <v>22.11</v>
      </c>
      <c r="K81">
        <v>4</v>
      </c>
      <c r="L81">
        <v>63631.54</v>
      </c>
    </row>
    <row r="82" spans="1:12" x14ac:dyDescent="0.3">
      <c r="A82">
        <v>81</v>
      </c>
      <c r="B82" t="s">
        <v>12</v>
      </c>
      <c r="C82">
        <v>2021</v>
      </c>
      <c r="D82">
        <v>24169</v>
      </c>
      <c r="E82" t="s">
        <v>22</v>
      </c>
      <c r="F82" t="s">
        <v>14</v>
      </c>
      <c r="G82" t="s">
        <v>20</v>
      </c>
      <c r="H82">
        <v>1491</v>
      </c>
      <c r="I82">
        <v>106.9</v>
      </c>
      <c r="J82">
        <v>17.579999999999998</v>
      </c>
      <c r="K82">
        <v>2</v>
      </c>
      <c r="L82">
        <v>56293.7</v>
      </c>
    </row>
    <row r="83" spans="1:12" x14ac:dyDescent="0.3">
      <c r="A83">
        <v>82</v>
      </c>
      <c r="B83" t="s">
        <v>30</v>
      </c>
      <c r="C83">
        <v>2022</v>
      </c>
      <c r="D83">
        <v>123413</v>
      </c>
      <c r="E83" t="s">
        <v>13</v>
      </c>
      <c r="F83" t="s">
        <v>14</v>
      </c>
      <c r="G83" t="s">
        <v>23</v>
      </c>
      <c r="H83">
        <v>4819</v>
      </c>
      <c r="I83">
        <v>223.6</v>
      </c>
      <c r="J83">
        <v>24.13</v>
      </c>
      <c r="K83">
        <v>7</v>
      </c>
      <c r="L83">
        <v>6606.48</v>
      </c>
    </row>
    <row r="84" spans="1:12" x14ac:dyDescent="0.3">
      <c r="A84">
        <v>83</v>
      </c>
      <c r="B84" t="s">
        <v>19</v>
      </c>
      <c r="C84">
        <v>2010</v>
      </c>
      <c r="D84">
        <v>152235</v>
      </c>
      <c r="E84" t="s">
        <v>22</v>
      </c>
      <c r="F84" t="s">
        <v>18</v>
      </c>
      <c r="G84" t="s">
        <v>23</v>
      </c>
      <c r="H84">
        <v>1731</v>
      </c>
      <c r="I84">
        <v>496.8</v>
      </c>
      <c r="J84">
        <v>17.13</v>
      </c>
      <c r="K84">
        <v>7</v>
      </c>
      <c r="L84">
        <v>105866.91</v>
      </c>
    </row>
    <row r="85" spans="1:12" x14ac:dyDescent="0.3">
      <c r="A85">
        <v>84</v>
      </c>
      <c r="B85" t="s">
        <v>29</v>
      </c>
      <c r="C85">
        <v>2023</v>
      </c>
      <c r="D85">
        <v>124264</v>
      </c>
      <c r="E85" t="s">
        <v>13</v>
      </c>
      <c r="F85" t="s">
        <v>14</v>
      </c>
      <c r="G85" t="s">
        <v>20</v>
      </c>
      <c r="H85">
        <v>4206</v>
      </c>
      <c r="I85">
        <v>374.5</v>
      </c>
      <c r="J85">
        <v>8.73</v>
      </c>
      <c r="K85">
        <v>2</v>
      </c>
      <c r="L85">
        <v>4522.1899999999996</v>
      </c>
    </row>
    <row r="86" spans="1:12" x14ac:dyDescent="0.3">
      <c r="A86">
        <v>85</v>
      </c>
      <c r="B86" t="s">
        <v>19</v>
      </c>
      <c r="C86">
        <v>2008</v>
      </c>
      <c r="D86">
        <v>10782</v>
      </c>
      <c r="E86" t="s">
        <v>22</v>
      </c>
      <c r="F86" t="s">
        <v>14</v>
      </c>
      <c r="G86" t="s">
        <v>20</v>
      </c>
      <c r="H86">
        <v>947</v>
      </c>
      <c r="I86">
        <v>260.39999999999998</v>
      </c>
      <c r="J86">
        <v>21.21</v>
      </c>
      <c r="K86">
        <v>7</v>
      </c>
      <c r="L86">
        <v>113535.76</v>
      </c>
    </row>
    <row r="87" spans="1:12" x14ac:dyDescent="0.3">
      <c r="A87">
        <v>86</v>
      </c>
      <c r="B87" t="s">
        <v>19</v>
      </c>
      <c r="C87">
        <v>2005</v>
      </c>
      <c r="D87">
        <v>129481</v>
      </c>
      <c r="E87" t="s">
        <v>13</v>
      </c>
      <c r="F87" t="s">
        <v>14</v>
      </c>
      <c r="G87" t="s">
        <v>23</v>
      </c>
      <c r="H87">
        <v>1832</v>
      </c>
      <c r="I87">
        <v>305.10000000000002</v>
      </c>
      <c r="J87">
        <v>9.31</v>
      </c>
      <c r="K87">
        <v>6</v>
      </c>
      <c r="L87">
        <v>60238.3</v>
      </c>
    </row>
    <row r="88" spans="1:12" x14ac:dyDescent="0.3">
      <c r="A88">
        <v>87</v>
      </c>
      <c r="B88" t="s">
        <v>25</v>
      </c>
      <c r="C88">
        <v>2012</v>
      </c>
      <c r="D88">
        <v>40585</v>
      </c>
      <c r="E88" t="s">
        <v>17</v>
      </c>
      <c r="F88" t="s">
        <v>18</v>
      </c>
      <c r="G88" t="s">
        <v>20</v>
      </c>
      <c r="H88">
        <v>2111</v>
      </c>
      <c r="I88">
        <v>518.5</v>
      </c>
      <c r="J88">
        <v>26.81</v>
      </c>
      <c r="K88">
        <v>7</v>
      </c>
      <c r="L88">
        <v>43006.34</v>
      </c>
    </row>
    <row r="89" spans="1:12" x14ac:dyDescent="0.3">
      <c r="A89">
        <v>88</v>
      </c>
      <c r="B89" t="s">
        <v>29</v>
      </c>
      <c r="C89">
        <v>2011</v>
      </c>
      <c r="D89">
        <v>35682</v>
      </c>
      <c r="E89" t="s">
        <v>26</v>
      </c>
      <c r="F89" t="s">
        <v>18</v>
      </c>
      <c r="G89" t="s">
        <v>20</v>
      </c>
      <c r="H89">
        <v>1187</v>
      </c>
      <c r="I89">
        <v>230.4</v>
      </c>
      <c r="J89">
        <v>20.329999999999998</v>
      </c>
      <c r="K89">
        <v>2</v>
      </c>
      <c r="L89">
        <v>111133.56</v>
      </c>
    </row>
    <row r="90" spans="1:12" x14ac:dyDescent="0.3">
      <c r="A90">
        <v>89</v>
      </c>
      <c r="B90" t="s">
        <v>19</v>
      </c>
      <c r="C90">
        <v>2007</v>
      </c>
      <c r="D90">
        <v>183936</v>
      </c>
      <c r="E90" t="s">
        <v>17</v>
      </c>
      <c r="F90" t="s">
        <v>18</v>
      </c>
      <c r="G90" t="s">
        <v>23</v>
      </c>
      <c r="H90">
        <v>3921</v>
      </c>
      <c r="I90">
        <v>527</v>
      </c>
      <c r="J90">
        <v>8.93</v>
      </c>
      <c r="K90">
        <v>5</v>
      </c>
      <c r="L90">
        <v>5853.75</v>
      </c>
    </row>
    <row r="91" spans="1:12" x14ac:dyDescent="0.3">
      <c r="A91">
        <v>90</v>
      </c>
      <c r="B91" t="s">
        <v>25</v>
      </c>
      <c r="C91">
        <v>2014</v>
      </c>
      <c r="D91">
        <v>134992</v>
      </c>
      <c r="E91" t="s">
        <v>17</v>
      </c>
      <c r="F91" t="s">
        <v>18</v>
      </c>
      <c r="G91" t="s">
        <v>20</v>
      </c>
      <c r="H91">
        <v>2673</v>
      </c>
      <c r="I91">
        <v>89.4</v>
      </c>
      <c r="J91">
        <v>29.06</v>
      </c>
      <c r="K91">
        <v>6</v>
      </c>
      <c r="L91">
        <v>71026.710000000006</v>
      </c>
    </row>
    <row r="92" spans="1:12" x14ac:dyDescent="0.3">
      <c r="A92">
        <v>91</v>
      </c>
      <c r="B92" t="s">
        <v>25</v>
      </c>
      <c r="C92">
        <v>2014</v>
      </c>
      <c r="D92">
        <v>89416</v>
      </c>
      <c r="E92" t="s">
        <v>22</v>
      </c>
      <c r="F92" t="s">
        <v>18</v>
      </c>
      <c r="G92" t="s">
        <v>20</v>
      </c>
      <c r="H92">
        <v>4388</v>
      </c>
      <c r="I92">
        <v>475</v>
      </c>
      <c r="J92">
        <v>17.96</v>
      </c>
      <c r="K92">
        <v>4</v>
      </c>
      <c r="L92">
        <v>67225.11</v>
      </c>
    </row>
    <row r="93" spans="1:12" x14ac:dyDescent="0.3">
      <c r="A93">
        <v>92</v>
      </c>
      <c r="B93" t="s">
        <v>29</v>
      </c>
      <c r="C93">
        <v>2023</v>
      </c>
      <c r="D93">
        <v>191186</v>
      </c>
      <c r="E93" t="s">
        <v>13</v>
      </c>
      <c r="F93" t="s">
        <v>18</v>
      </c>
      <c r="G93" t="s">
        <v>20</v>
      </c>
      <c r="H93">
        <v>1715</v>
      </c>
      <c r="I93">
        <v>514.6</v>
      </c>
      <c r="J93">
        <v>6.82</v>
      </c>
      <c r="K93">
        <v>2</v>
      </c>
      <c r="L93">
        <v>28660.49</v>
      </c>
    </row>
    <row r="94" spans="1:12" x14ac:dyDescent="0.3">
      <c r="A94">
        <v>93</v>
      </c>
      <c r="B94" t="s">
        <v>21</v>
      </c>
      <c r="C94">
        <v>2018</v>
      </c>
      <c r="D94">
        <v>132810</v>
      </c>
      <c r="E94" t="s">
        <v>26</v>
      </c>
      <c r="F94" t="s">
        <v>18</v>
      </c>
      <c r="G94" t="s">
        <v>23</v>
      </c>
      <c r="H94">
        <v>2678</v>
      </c>
      <c r="I94">
        <v>141.80000000000001</v>
      </c>
      <c r="J94">
        <v>20.67</v>
      </c>
      <c r="K94">
        <v>4</v>
      </c>
      <c r="L94">
        <v>53179.83</v>
      </c>
    </row>
    <row r="95" spans="1:12" x14ac:dyDescent="0.3">
      <c r="A95">
        <v>94</v>
      </c>
      <c r="B95" t="s">
        <v>24</v>
      </c>
      <c r="C95">
        <v>2006</v>
      </c>
      <c r="D95">
        <v>43067</v>
      </c>
      <c r="E95" t="s">
        <v>22</v>
      </c>
      <c r="F95" t="s">
        <v>14</v>
      </c>
      <c r="G95" t="s">
        <v>20</v>
      </c>
      <c r="H95">
        <v>4548</v>
      </c>
      <c r="I95">
        <v>281</v>
      </c>
      <c r="J95">
        <v>11.33</v>
      </c>
      <c r="K95">
        <v>5</v>
      </c>
      <c r="L95">
        <v>79314.89</v>
      </c>
    </row>
    <row r="96" spans="1:12" x14ac:dyDescent="0.3">
      <c r="A96">
        <v>95</v>
      </c>
      <c r="B96" t="s">
        <v>12</v>
      </c>
      <c r="C96">
        <v>2005</v>
      </c>
      <c r="D96">
        <v>178757</v>
      </c>
      <c r="E96" t="s">
        <v>22</v>
      </c>
      <c r="F96" t="s">
        <v>14</v>
      </c>
      <c r="G96" t="s">
        <v>23</v>
      </c>
      <c r="H96">
        <v>1077</v>
      </c>
      <c r="I96">
        <v>132.69999999999999</v>
      </c>
      <c r="J96">
        <v>25.09</v>
      </c>
      <c r="K96">
        <v>4</v>
      </c>
      <c r="L96">
        <v>88074.35</v>
      </c>
    </row>
    <row r="97" spans="1:12" x14ac:dyDescent="0.3">
      <c r="A97">
        <v>96</v>
      </c>
      <c r="B97" t="s">
        <v>24</v>
      </c>
      <c r="C97">
        <v>2022</v>
      </c>
      <c r="D97">
        <v>23073</v>
      </c>
      <c r="E97" t="s">
        <v>22</v>
      </c>
      <c r="F97" t="s">
        <v>14</v>
      </c>
      <c r="G97" t="s">
        <v>23</v>
      </c>
      <c r="H97">
        <v>2777</v>
      </c>
      <c r="I97">
        <v>435.7</v>
      </c>
      <c r="J97">
        <v>25.45</v>
      </c>
      <c r="K97">
        <v>2</v>
      </c>
      <c r="L97">
        <v>3083.87</v>
      </c>
    </row>
    <row r="98" spans="1:12" x14ac:dyDescent="0.3">
      <c r="A98">
        <v>97</v>
      </c>
      <c r="B98" t="s">
        <v>30</v>
      </c>
      <c r="C98">
        <v>2011</v>
      </c>
      <c r="D98">
        <v>41035</v>
      </c>
      <c r="E98" t="s">
        <v>17</v>
      </c>
      <c r="F98" t="s">
        <v>14</v>
      </c>
      <c r="G98" t="s">
        <v>15</v>
      </c>
      <c r="H98">
        <v>2659</v>
      </c>
      <c r="I98">
        <v>339.8</v>
      </c>
      <c r="J98">
        <v>29.47</v>
      </c>
      <c r="K98">
        <v>2</v>
      </c>
      <c r="L98">
        <v>112611.85</v>
      </c>
    </row>
    <row r="99" spans="1:12" x14ac:dyDescent="0.3">
      <c r="A99">
        <v>98</v>
      </c>
      <c r="B99" t="s">
        <v>12</v>
      </c>
      <c r="C99">
        <v>2012</v>
      </c>
      <c r="D99">
        <v>95373</v>
      </c>
      <c r="E99" t="s">
        <v>13</v>
      </c>
      <c r="F99" t="s">
        <v>18</v>
      </c>
      <c r="G99" t="s">
        <v>15</v>
      </c>
      <c r="H99">
        <v>3836</v>
      </c>
      <c r="I99">
        <v>395.8</v>
      </c>
      <c r="J99">
        <v>17.55</v>
      </c>
      <c r="K99">
        <v>5</v>
      </c>
      <c r="L99">
        <v>22249.47</v>
      </c>
    </row>
    <row r="100" spans="1:12" x14ac:dyDescent="0.3">
      <c r="A100">
        <v>99</v>
      </c>
      <c r="B100" t="s">
        <v>30</v>
      </c>
      <c r="C100">
        <v>2005</v>
      </c>
      <c r="D100">
        <v>88362</v>
      </c>
      <c r="E100" t="s">
        <v>13</v>
      </c>
      <c r="F100" t="s">
        <v>14</v>
      </c>
      <c r="G100" t="s">
        <v>20</v>
      </c>
      <c r="H100">
        <v>4171</v>
      </c>
      <c r="I100">
        <v>150</v>
      </c>
      <c r="J100">
        <v>16.37</v>
      </c>
      <c r="K100">
        <v>2</v>
      </c>
      <c r="L100">
        <v>30328.91</v>
      </c>
    </row>
    <row r="101" spans="1:12" x14ac:dyDescent="0.3">
      <c r="A101">
        <v>100</v>
      </c>
      <c r="B101" t="s">
        <v>19</v>
      </c>
      <c r="C101">
        <v>2007</v>
      </c>
      <c r="D101">
        <v>95517</v>
      </c>
      <c r="E101" t="s">
        <v>26</v>
      </c>
      <c r="F101" t="s">
        <v>14</v>
      </c>
      <c r="G101" t="s">
        <v>23</v>
      </c>
      <c r="H101">
        <v>2982</v>
      </c>
      <c r="I101">
        <v>158.6</v>
      </c>
      <c r="J101">
        <v>23.84</v>
      </c>
      <c r="K101">
        <v>5</v>
      </c>
      <c r="L101">
        <v>33826.39</v>
      </c>
    </row>
    <row r="102" spans="1:12" x14ac:dyDescent="0.3">
      <c r="A102">
        <v>101</v>
      </c>
      <c r="B102" t="s">
        <v>28</v>
      </c>
      <c r="C102">
        <v>2012</v>
      </c>
      <c r="D102">
        <v>70450</v>
      </c>
      <c r="E102" t="s">
        <v>13</v>
      </c>
      <c r="F102" t="s">
        <v>14</v>
      </c>
      <c r="G102" t="s">
        <v>15</v>
      </c>
      <c r="H102">
        <v>1970</v>
      </c>
      <c r="I102">
        <v>63.2</v>
      </c>
      <c r="J102">
        <v>8.31</v>
      </c>
      <c r="K102">
        <v>5</v>
      </c>
      <c r="L102">
        <v>7424.96</v>
      </c>
    </row>
    <row r="103" spans="1:12" x14ac:dyDescent="0.3">
      <c r="A103">
        <v>102</v>
      </c>
      <c r="B103" t="s">
        <v>29</v>
      </c>
      <c r="C103">
        <v>2019</v>
      </c>
      <c r="D103">
        <v>15382</v>
      </c>
      <c r="E103" t="s">
        <v>13</v>
      </c>
      <c r="F103" t="s">
        <v>14</v>
      </c>
      <c r="G103" t="s">
        <v>20</v>
      </c>
      <c r="H103">
        <v>1289</v>
      </c>
      <c r="I103">
        <v>220.4</v>
      </c>
      <c r="J103">
        <v>18.670000000000002</v>
      </c>
      <c r="K103">
        <v>2</v>
      </c>
      <c r="L103">
        <v>17397.099999999999</v>
      </c>
    </row>
    <row r="104" spans="1:12" x14ac:dyDescent="0.3">
      <c r="A104">
        <v>103</v>
      </c>
      <c r="B104" t="s">
        <v>12</v>
      </c>
      <c r="C104">
        <v>2009</v>
      </c>
      <c r="D104">
        <v>140509</v>
      </c>
      <c r="E104" t="s">
        <v>22</v>
      </c>
      <c r="F104" t="s">
        <v>18</v>
      </c>
      <c r="G104" t="s">
        <v>15</v>
      </c>
      <c r="H104">
        <v>3325</v>
      </c>
      <c r="I104">
        <v>353.5</v>
      </c>
      <c r="J104">
        <v>18.66</v>
      </c>
      <c r="K104">
        <v>7</v>
      </c>
      <c r="L104">
        <v>118402.94</v>
      </c>
    </row>
    <row r="105" spans="1:12" x14ac:dyDescent="0.3">
      <c r="A105">
        <v>104</v>
      </c>
      <c r="B105" t="s">
        <v>12</v>
      </c>
      <c r="C105">
        <v>2007</v>
      </c>
      <c r="D105">
        <v>66929</v>
      </c>
      <c r="E105" t="s">
        <v>22</v>
      </c>
      <c r="F105" t="s">
        <v>18</v>
      </c>
      <c r="G105" t="s">
        <v>15</v>
      </c>
      <c r="H105">
        <v>1982</v>
      </c>
      <c r="I105">
        <v>520.4</v>
      </c>
      <c r="J105">
        <v>7.24</v>
      </c>
      <c r="K105">
        <v>5</v>
      </c>
      <c r="L105">
        <v>39880.36</v>
      </c>
    </row>
    <row r="106" spans="1:12" x14ac:dyDescent="0.3">
      <c r="A106">
        <v>105</v>
      </c>
      <c r="B106" t="s">
        <v>19</v>
      </c>
      <c r="C106">
        <v>2023</v>
      </c>
      <c r="D106">
        <v>103864</v>
      </c>
      <c r="E106" t="s">
        <v>17</v>
      </c>
      <c r="F106" t="s">
        <v>18</v>
      </c>
      <c r="G106" t="s">
        <v>23</v>
      </c>
      <c r="H106">
        <v>3288</v>
      </c>
      <c r="I106">
        <v>413.5</v>
      </c>
      <c r="J106">
        <v>15.45</v>
      </c>
      <c r="K106">
        <v>2</v>
      </c>
      <c r="L106">
        <v>16490.23</v>
      </c>
    </row>
    <row r="107" spans="1:12" x14ac:dyDescent="0.3">
      <c r="A107">
        <v>106</v>
      </c>
      <c r="B107" t="s">
        <v>21</v>
      </c>
      <c r="C107">
        <v>2005</v>
      </c>
      <c r="D107">
        <v>148401</v>
      </c>
      <c r="E107" t="s">
        <v>22</v>
      </c>
      <c r="F107" t="s">
        <v>14</v>
      </c>
      <c r="G107" t="s">
        <v>23</v>
      </c>
      <c r="H107">
        <v>2676</v>
      </c>
      <c r="I107">
        <v>283.8</v>
      </c>
      <c r="J107">
        <v>26.33</v>
      </c>
      <c r="K107">
        <v>7</v>
      </c>
      <c r="L107">
        <v>15517.98</v>
      </c>
    </row>
    <row r="108" spans="1:12" x14ac:dyDescent="0.3">
      <c r="A108">
        <v>107</v>
      </c>
      <c r="B108" t="s">
        <v>25</v>
      </c>
      <c r="C108">
        <v>2019</v>
      </c>
      <c r="D108">
        <v>30169</v>
      </c>
      <c r="E108" t="s">
        <v>22</v>
      </c>
      <c r="F108" t="s">
        <v>18</v>
      </c>
      <c r="G108" t="s">
        <v>15</v>
      </c>
      <c r="H108">
        <v>3262</v>
      </c>
      <c r="I108">
        <v>573.70000000000005</v>
      </c>
      <c r="J108">
        <v>26.4</v>
      </c>
      <c r="K108">
        <v>5</v>
      </c>
      <c r="L108">
        <v>87176.82</v>
      </c>
    </row>
    <row r="109" spans="1:12" x14ac:dyDescent="0.3">
      <c r="A109">
        <v>108</v>
      </c>
      <c r="B109" t="s">
        <v>19</v>
      </c>
      <c r="C109">
        <v>2012</v>
      </c>
      <c r="D109">
        <v>92468</v>
      </c>
      <c r="E109" t="s">
        <v>22</v>
      </c>
      <c r="F109" t="s">
        <v>14</v>
      </c>
      <c r="G109" t="s">
        <v>15</v>
      </c>
      <c r="H109">
        <v>2430</v>
      </c>
      <c r="I109">
        <v>442.8</v>
      </c>
      <c r="J109">
        <v>7.48</v>
      </c>
      <c r="K109">
        <v>7</v>
      </c>
      <c r="L109">
        <v>102984.53</v>
      </c>
    </row>
    <row r="110" spans="1:12" x14ac:dyDescent="0.3">
      <c r="A110">
        <v>109</v>
      </c>
      <c r="B110" t="s">
        <v>27</v>
      </c>
      <c r="C110">
        <v>2006</v>
      </c>
      <c r="D110">
        <v>39594</v>
      </c>
      <c r="E110" t="s">
        <v>22</v>
      </c>
      <c r="F110" t="s">
        <v>18</v>
      </c>
      <c r="G110" t="s">
        <v>23</v>
      </c>
      <c r="H110">
        <v>1087</v>
      </c>
      <c r="I110">
        <v>560.9</v>
      </c>
      <c r="J110">
        <v>7.27</v>
      </c>
      <c r="K110">
        <v>6</v>
      </c>
      <c r="L110">
        <v>33063.42</v>
      </c>
    </row>
    <row r="111" spans="1:12" x14ac:dyDescent="0.3">
      <c r="A111">
        <v>110</v>
      </c>
      <c r="B111" t="s">
        <v>25</v>
      </c>
      <c r="C111">
        <v>2007</v>
      </c>
      <c r="D111">
        <v>196703</v>
      </c>
      <c r="E111" t="s">
        <v>17</v>
      </c>
      <c r="F111" t="s">
        <v>18</v>
      </c>
      <c r="G111" t="s">
        <v>20</v>
      </c>
      <c r="H111">
        <v>2707</v>
      </c>
      <c r="I111">
        <v>335.4</v>
      </c>
      <c r="J111">
        <v>11.57</v>
      </c>
      <c r="K111">
        <v>6</v>
      </c>
      <c r="L111">
        <v>5446.41</v>
      </c>
    </row>
    <row r="112" spans="1:12" x14ac:dyDescent="0.3">
      <c r="A112">
        <v>111</v>
      </c>
      <c r="B112" t="s">
        <v>29</v>
      </c>
      <c r="C112">
        <v>2018</v>
      </c>
      <c r="D112">
        <v>50033</v>
      </c>
      <c r="E112" t="s">
        <v>22</v>
      </c>
      <c r="F112" t="s">
        <v>18</v>
      </c>
      <c r="G112" t="s">
        <v>23</v>
      </c>
      <c r="H112">
        <v>1961</v>
      </c>
      <c r="I112">
        <v>185</v>
      </c>
      <c r="J112">
        <v>26.87</v>
      </c>
      <c r="K112">
        <v>7</v>
      </c>
      <c r="L112">
        <v>29101.53</v>
      </c>
    </row>
    <row r="113" spans="1:12" x14ac:dyDescent="0.3">
      <c r="A113">
        <v>112</v>
      </c>
      <c r="B113" t="s">
        <v>25</v>
      </c>
      <c r="C113">
        <v>2018</v>
      </c>
      <c r="D113">
        <v>68133</v>
      </c>
      <c r="E113" t="s">
        <v>26</v>
      </c>
      <c r="F113" t="s">
        <v>18</v>
      </c>
      <c r="G113" t="s">
        <v>15</v>
      </c>
      <c r="H113">
        <v>929</v>
      </c>
      <c r="I113">
        <v>69.599999999999994</v>
      </c>
      <c r="J113">
        <v>8.2200000000000006</v>
      </c>
      <c r="K113">
        <v>5</v>
      </c>
      <c r="L113">
        <v>9612.34</v>
      </c>
    </row>
    <row r="114" spans="1:12" x14ac:dyDescent="0.3">
      <c r="A114">
        <v>113</v>
      </c>
      <c r="B114" t="s">
        <v>21</v>
      </c>
      <c r="C114">
        <v>2015</v>
      </c>
      <c r="D114">
        <v>78861</v>
      </c>
      <c r="E114" t="s">
        <v>26</v>
      </c>
      <c r="F114" t="s">
        <v>18</v>
      </c>
      <c r="G114" t="s">
        <v>20</v>
      </c>
      <c r="H114">
        <v>3163</v>
      </c>
      <c r="I114">
        <v>446.6</v>
      </c>
      <c r="J114">
        <v>23</v>
      </c>
      <c r="K114">
        <v>2</v>
      </c>
      <c r="L114">
        <v>15097.21</v>
      </c>
    </row>
    <row r="115" spans="1:12" x14ac:dyDescent="0.3">
      <c r="A115">
        <v>114</v>
      </c>
      <c r="B115" t="s">
        <v>25</v>
      </c>
      <c r="C115">
        <v>2020</v>
      </c>
      <c r="D115">
        <v>188362</v>
      </c>
      <c r="E115" t="s">
        <v>26</v>
      </c>
      <c r="F115" t="s">
        <v>14</v>
      </c>
      <c r="G115" t="s">
        <v>15</v>
      </c>
      <c r="H115">
        <v>943</v>
      </c>
      <c r="I115">
        <v>107.9</v>
      </c>
      <c r="J115">
        <v>7.53</v>
      </c>
      <c r="K115">
        <v>4</v>
      </c>
      <c r="L115">
        <v>53486.45</v>
      </c>
    </row>
    <row r="116" spans="1:12" x14ac:dyDescent="0.3">
      <c r="A116">
        <v>115</v>
      </c>
      <c r="B116" t="s">
        <v>29</v>
      </c>
      <c r="C116">
        <v>2008</v>
      </c>
      <c r="D116">
        <v>36750</v>
      </c>
      <c r="E116" t="s">
        <v>26</v>
      </c>
      <c r="F116" t="s">
        <v>18</v>
      </c>
      <c r="G116" t="s">
        <v>20</v>
      </c>
      <c r="H116">
        <v>815</v>
      </c>
      <c r="I116">
        <v>209.6</v>
      </c>
      <c r="J116">
        <v>20.58</v>
      </c>
      <c r="K116">
        <v>2</v>
      </c>
      <c r="L116">
        <v>29900.45</v>
      </c>
    </row>
    <row r="117" spans="1:12" x14ac:dyDescent="0.3">
      <c r="A117">
        <v>116</v>
      </c>
      <c r="B117" t="s">
        <v>21</v>
      </c>
      <c r="C117">
        <v>2024</v>
      </c>
      <c r="D117">
        <v>45461</v>
      </c>
      <c r="E117" t="s">
        <v>22</v>
      </c>
      <c r="F117" t="s">
        <v>14</v>
      </c>
      <c r="G117" t="s">
        <v>15</v>
      </c>
      <c r="H117">
        <v>1044</v>
      </c>
      <c r="I117">
        <v>338.2</v>
      </c>
      <c r="J117">
        <v>13.9</v>
      </c>
      <c r="K117">
        <v>4</v>
      </c>
      <c r="L117">
        <v>63365.67</v>
      </c>
    </row>
    <row r="118" spans="1:12" x14ac:dyDescent="0.3">
      <c r="A118">
        <v>117</v>
      </c>
      <c r="B118" t="s">
        <v>24</v>
      </c>
      <c r="C118">
        <v>2009</v>
      </c>
      <c r="D118">
        <v>83222</v>
      </c>
      <c r="E118" t="s">
        <v>26</v>
      </c>
      <c r="F118" t="s">
        <v>14</v>
      </c>
      <c r="G118" t="s">
        <v>20</v>
      </c>
      <c r="H118">
        <v>1726</v>
      </c>
      <c r="I118">
        <v>356.1</v>
      </c>
      <c r="J118">
        <v>24.72</v>
      </c>
      <c r="K118">
        <v>4</v>
      </c>
      <c r="L118">
        <v>32658.77</v>
      </c>
    </row>
    <row r="119" spans="1:12" x14ac:dyDescent="0.3">
      <c r="A119">
        <v>118</v>
      </c>
      <c r="B119" t="s">
        <v>12</v>
      </c>
      <c r="C119">
        <v>2018</v>
      </c>
      <c r="D119">
        <v>117020</v>
      </c>
      <c r="E119" t="s">
        <v>22</v>
      </c>
      <c r="F119" t="s">
        <v>14</v>
      </c>
      <c r="G119" t="s">
        <v>20</v>
      </c>
      <c r="H119">
        <v>3978</v>
      </c>
      <c r="I119">
        <v>376.3</v>
      </c>
      <c r="J119">
        <v>10.84</v>
      </c>
      <c r="K119">
        <v>5</v>
      </c>
      <c r="L119">
        <v>113042.86</v>
      </c>
    </row>
    <row r="120" spans="1:12" x14ac:dyDescent="0.3">
      <c r="A120">
        <v>119</v>
      </c>
      <c r="B120" t="s">
        <v>12</v>
      </c>
      <c r="C120">
        <v>2020</v>
      </c>
      <c r="D120">
        <v>29226</v>
      </c>
      <c r="E120" t="s">
        <v>17</v>
      </c>
      <c r="F120" t="s">
        <v>14</v>
      </c>
      <c r="G120" t="s">
        <v>15</v>
      </c>
      <c r="H120">
        <v>2976</v>
      </c>
      <c r="I120">
        <v>133.1</v>
      </c>
      <c r="J120">
        <v>20.98</v>
      </c>
      <c r="K120">
        <v>7</v>
      </c>
      <c r="L120">
        <v>108995.44</v>
      </c>
    </row>
    <row r="121" spans="1:12" x14ac:dyDescent="0.3">
      <c r="A121">
        <v>120</v>
      </c>
      <c r="B121" t="s">
        <v>30</v>
      </c>
      <c r="C121">
        <v>2022</v>
      </c>
      <c r="D121">
        <v>11721</v>
      </c>
      <c r="E121" t="s">
        <v>26</v>
      </c>
      <c r="F121" t="s">
        <v>14</v>
      </c>
      <c r="G121" t="s">
        <v>20</v>
      </c>
      <c r="H121">
        <v>1686</v>
      </c>
      <c r="I121">
        <v>252.7</v>
      </c>
      <c r="J121">
        <v>10.89</v>
      </c>
      <c r="K121">
        <v>2</v>
      </c>
      <c r="L121">
        <v>69316.31</v>
      </c>
    </row>
    <row r="122" spans="1:12" x14ac:dyDescent="0.3">
      <c r="A122">
        <v>121</v>
      </c>
      <c r="B122" t="s">
        <v>24</v>
      </c>
      <c r="C122">
        <v>2011</v>
      </c>
      <c r="D122">
        <v>192226</v>
      </c>
      <c r="E122" t="s">
        <v>13</v>
      </c>
      <c r="F122" t="s">
        <v>18</v>
      </c>
      <c r="G122" t="s">
        <v>23</v>
      </c>
      <c r="H122">
        <v>1140</v>
      </c>
      <c r="I122">
        <v>385.6</v>
      </c>
      <c r="J122">
        <v>22.84</v>
      </c>
      <c r="K122">
        <v>7</v>
      </c>
      <c r="L122">
        <v>44467.61</v>
      </c>
    </row>
    <row r="123" spans="1:12" x14ac:dyDescent="0.3">
      <c r="A123">
        <v>122</v>
      </c>
      <c r="B123" t="s">
        <v>24</v>
      </c>
      <c r="C123">
        <v>2014</v>
      </c>
      <c r="D123">
        <v>25609</v>
      </c>
      <c r="E123" t="s">
        <v>26</v>
      </c>
      <c r="F123" t="s">
        <v>18</v>
      </c>
      <c r="G123" t="s">
        <v>15</v>
      </c>
      <c r="H123">
        <v>2851</v>
      </c>
      <c r="I123">
        <v>583.1</v>
      </c>
      <c r="J123">
        <v>26.84</v>
      </c>
      <c r="K123">
        <v>6</v>
      </c>
      <c r="L123">
        <v>47594.19</v>
      </c>
    </row>
    <row r="124" spans="1:12" x14ac:dyDescent="0.3">
      <c r="A124">
        <v>123</v>
      </c>
      <c r="B124" t="s">
        <v>25</v>
      </c>
      <c r="C124">
        <v>2011</v>
      </c>
      <c r="D124">
        <v>188202</v>
      </c>
      <c r="E124" t="s">
        <v>26</v>
      </c>
      <c r="F124" t="s">
        <v>18</v>
      </c>
      <c r="G124" t="s">
        <v>23</v>
      </c>
      <c r="H124">
        <v>4198</v>
      </c>
      <c r="I124">
        <v>447.5</v>
      </c>
      <c r="J124">
        <v>8.17</v>
      </c>
      <c r="K124">
        <v>5</v>
      </c>
      <c r="L124">
        <v>51186.720000000001</v>
      </c>
    </row>
    <row r="125" spans="1:12" x14ac:dyDescent="0.3">
      <c r="A125">
        <v>124</v>
      </c>
      <c r="B125" t="s">
        <v>12</v>
      </c>
      <c r="C125">
        <v>2005</v>
      </c>
      <c r="D125">
        <v>135513</v>
      </c>
      <c r="E125" t="s">
        <v>22</v>
      </c>
      <c r="F125" t="s">
        <v>18</v>
      </c>
      <c r="G125" t="s">
        <v>15</v>
      </c>
      <c r="H125">
        <v>4750</v>
      </c>
      <c r="I125">
        <v>556.70000000000005</v>
      </c>
      <c r="J125">
        <v>26.66</v>
      </c>
      <c r="K125">
        <v>5</v>
      </c>
      <c r="L125">
        <v>88126.78</v>
      </c>
    </row>
    <row r="126" spans="1:12" x14ac:dyDescent="0.3">
      <c r="A126">
        <v>125</v>
      </c>
      <c r="B126" t="s">
        <v>29</v>
      </c>
      <c r="C126">
        <v>2023</v>
      </c>
      <c r="D126">
        <v>109211</v>
      </c>
      <c r="E126" t="s">
        <v>26</v>
      </c>
      <c r="F126" t="s">
        <v>14</v>
      </c>
      <c r="G126" t="s">
        <v>20</v>
      </c>
      <c r="H126">
        <v>1105</v>
      </c>
      <c r="I126">
        <v>466.8</v>
      </c>
      <c r="J126">
        <v>19.84</v>
      </c>
      <c r="K126">
        <v>6</v>
      </c>
      <c r="L126">
        <v>55841.760000000002</v>
      </c>
    </row>
    <row r="127" spans="1:12" x14ac:dyDescent="0.3">
      <c r="A127">
        <v>126</v>
      </c>
      <c r="B127" t="s">
        <v>16</v>
      </c>
      <c r="C127">
        <v>2020</v>
      </c>
      <c r="D127">
        <v>191321</v>
      </c>
      <c r="E127" t="s">
        <v>13</v>
      </c>
      <c r="F127" t="s">
        <v>18</v>
      </c>
      <c r="G127" t="s">
        <v>20</v>
      </c>
      <c r="H127">
        <v>1707</v>
      </c>
      <c r="I127">
        <v>371.4</v>
      </c>
      <c r="J127">
        <v>8.18</v>
      </c>
      <c r="K127">
        <v>2</v>
      </c>
      <c r="L127">
        <v>103237.4</v>
      </c>
    </row>
    <row r="128" spans="1:12" x14ac:dyDescent="0.3">
      <c r="A128">
        <v>127</v>
      </c>
      <c r="B128" t="s">
        <v>16</v>
      </c>
      <c r="C128">
        <v>2023</v>
      </c>
      <c r="D128">
        <v>184967</v>
      </c>
      <c r="E128" t="s">
        <v>22</v>
      </c>
      <c r="F128" t="s">
        <v>18</v>
      </c>
      <c r="G128" t="s">
        <v>20</v>
      </c>
      <c r="H128">
        <v>3454</v>
      </c>
      <c r="I128">
        <v>147.5</v>
      </c>
      <c r="J128">
        <v>15.69</v>
      </c>
      <c r="K128">
        <v>6</v>
      </c>
      <c r="L128">
        <v>113459.09</v>
      </c>
    </row>
    <row r="129" spans="1:12" x14ac:dyDescent="0.3">
      <c r="A129">
        <v>128</v>
      </c>
      <c r="B129" t="s">
        <v>21</v>
      </c>
      <c r="C129">
        <v>2008</v>
      </c>
      <c r="D129">
        <v>141728</v>
      </c>
      <c r="E129" t="s">
        <v>22</v>
      </c>
      <c r="F129" t="s">
        <v>14</v>
      </c>
      <c r="G129" t="s">
        <v>15</v>
      </c>
      <c r="H129">
        <v>4592</v>
      </c>
      <c r="I129">
        <v>413.3</v>
      </c>
      <c r="J129">
        <v>9.02</v>
      </c>
      <c r="K129">
        <v>2</v>
      </c>
      <c r="L129">
        <v>42305.7</v>
      </c>
    </row>
    <row r="130" spans="1:12" x14ac:dyDescent="0.3">
      <c r="A130">
        <v>129</v>
      </c>
      <c r="B130" t="s">
        <v>12</v>
      </c>
      <c r="C130">
        <v>2022</v>
      </c>
      <c r="D130">
        <v>129865</v>
      </c>
      <c r="E130" t="s">
        <v>17</v>
      </c>
      <c r="F130" t="s">
        <v>14</v>
      </c>
      <c r="G130" t="s">
        <v>23</v>
      </c>
      <c r="H130">
        <v>4842</v>
      </c>
      <c r="I130">
        <v>389.1</v>
      </c>
      <c r="J130">
        <v>22.51</v>
      </c>
      <c r="K130">
        <v>4</v>
      </c>
      <c r="L130">
        <v>68601.25</v>
      </c>
    </row>
    <row r="131" spans="1:12" x14ac:dyDescent="0.3">
      <c r="A131">
        <v>130</v>
      </c>
      <c r="B131" t="s">
        <v>12</v>
      </c>
      <c r="C131">
        <v>2006</v>
      </c>
      <c r="D131">
        <v>79520</v>
      </c>
      <c r="E131" t="s">
        <v>17</v>
      </c>
      <c r="F131" t="s">
        <v>18</v>
      </c>
      <c r="G131" t="s">
        <v>23</v>
      </c>
      <c r="H131">
        <v>2171</v>
      </c>
      <c r="I131">
        <v>377.4</v>
      </c>
      <c r="J131">
        <v>23.97</v>
      </c>
      <c r="K131">
        <v>5</v>
      </c>
      <c r="L131">
        <v>14121.61</v>
      </c>
    </row>
    <row r="132" spans="1:12" x14ac:dyDescent="0.3">
      <c r="A132">
        <v>131</v>
      </c>
      <c r="B132" t="s">
        <v>16</v>
      </c>
      <c r="C132">
        <v>2005</v>
      </c>
      <c r="D132">
        <v>199812</v>
      </c>
      <c r="E132" t="s">
        <v>26</v>
      </c>
      <c r="F132" t="s">
        <v>18</v>
      </c>
      <c r="G132" t="s">
        <v>15</v>
      </c>
      <c r="H132">
        <v>1120</v>
      </c>
      <c r="I132">
        <v>314.3</v>
      </c>
      <c r="J132">
        <v>7.64</v>
      </c>
      <c r="K132">
        <v>2</v>
      </c>
      <c r="L132">
        <v>26454.880000000001</v>
      </c>
    </row>
    <row r="133" spans="1:12" x14ac:dyDescent="0.3">
      <c r="A133">
        <v>132</v>
      </c>
      <c r="B133" t="s">
        <v>12</v>
      </c>
      <c r="C133">
        <v>2019</v>
      </c>
      <c r="D133">
        <v>69309</v>
      </c>
      <c r="E133" t="s">
        <v>17</v>
      </c>
      <c r="F133" t="s">
        <v>14</v>
      </c>
      <c r="G133" t="s">
        <v>15</v>
      </c>
      <c r="H133">
        <v>4859</v>
      </c>
      <c r="I133">
        <v>336</v>
      </c>
      <c r="J133">
        <v>17.649999999999999</v>
      </c>
      <c r="K133">
        <v>7</v>
      </c>
      <c r="L133">
        <v>51375.49</v>
      </c>
    </row>
    <row r="134" spans="1:12" x14ac:dyDescent="0.3">
      <c r="A134">
        <v>133</v>
      </c>
      <c r="B134" t="s">
        <v>25</v>
      </c>
      <c r="C134">
        <v>2009</v>
      </c>
      <c r="D134">
        <v>34984</v>
      </c>
      <c r="E134" t="s">
        <v>17</v>
      </c>
      <c r="F134" t="s">
        <v>18</v>
      </c>
      <c r="G134" t="s">
        <v>23</v>
      </c>
      <c r="H134">
        <v>1931</v>
      </c>
      <c r="I134">
        <v>227.3</v>
      </c>
      <c r="J134">
        <v>25.37</v>
      </c>
      <c r="K134">
        <v>7</v>
      </c>
      <c r="L134">
        <v>27125.72</v>
      </c>
    </row>
    <row r="135" spans="1:12" x14ac:dyDescent="0.3">
      <c r="A135">
        <v>134</v>
      </c>
      <c r="B135" t="s">
        <v>27</v>
      </c>
      <c r="C135">
        <v>2024</v>
      </c>
      <c r="D135">
        <v>123947</v>
      </c>
      <c r="E135" t="s">
        <v>17</v>
      </c>
      <c r="F135" t="s">
        <v>18</v>
      </c>
      <c r="G135" t="s">
        <v>23</v>
      </c>
      <c r="H135">
        <v>3378</v>
      </c>
      <c r="I135">
        <v>330.8</v>
      </c>
      <c r="J135">
        <v>28.4</v>
      </c>
      <c r="K135">
        <v>5</v>
      </c>
      <c r="L135">
        <v>105557.58</v>
      </c>
    </row>
    <row r="136" spans="1:12" x14ac:dyDescent="0.3">
      <c r="A136">
        <v>135</v>
      </c>
      <c r="B136" t="s">
        <v>28</v>
      </c>
      <c r="C136">
        <v>2015</v>
      </c>
      <c r="D136">
        <v>10901</v>
      </c>
      <c r="E136" t="s">
        <v>22</v>
      </c>
      <c r="F136" t="s">
        <v>18</v>
      </c>
      <c r="G136" t="s">
        <v>23</v>
      </c>
      <c r="H136">
        <v>4842</v>
      </c>
      <c r="I136">
        <v>150.6</v>
      </c>
      <c r="J136">
        <v>17.84</v>
      </c>
      <c r="K136">
        <v>6</v>
      </c>
      <c r="L136">
        <v>21519.49</v>
      </c>
    </row>
    <row r="137" spans="1:12" x14ac:dyDescent="0.3">
      <c r="A137">
        <v>136</v>
      </c>
      <c r="B137" t="s">
        <v>24</v>
      </c>
      <c r="C137">
        <v>2014</v>
      </c>
      <c r="D137">
        <v>167624</v>
      </c>
      <c r="E137" t="s">
        <v>22</v>
      </c>
      <c r="F137" t="s">
        <v>18</v>
      </c>
      <c r="G137" t="s">
        <v>23</v>
      </c>
      <c r="H137">
        <v>4167</v>
      </c>
      <c r="I137">
        <v>490.9</v>
      </c>
      <c r="J137">
        <v>28.76</v>
      </c>
      <c r="K137">
        <v>6</v>
      </c>
      <c r="L137">
        <v>56312.32</v>
      </c>
    </row>
    <row r="138" spans="1:12" x14ac:dyDescent="0.3">
      <c r="A138">
        <v>137</v>
      </c>
      <c r="B138" t="s">
        <v>30</v>
      </c>
      <c r="C138">
        <v>2006</v>
      </c>
      <c r="D138">
        <v>36055</v>
      </c>
      <c r="E138" t="s">
        <v>22</v>
      </c>
      <c r="F138" t="s">
        <v>14</v>
      </c>
      <c r="G138" t="s">
        <v>15</v>
      </c>
      <c r="H138">
        <v>1617</v>
      </c>
      <c r="I138">
        <v>144</v>
      </c>
      <c r="J138">
        <v>18.39</v>
      </c>
      <c r="K138">
        <v>2</v>
      </c>
      <c r="L138">
        <v>73866.81</v>
      </c>
    </row>
    <row r="139" spans="1:12" x14ac:dyDescent="0.3">
      <c r="A139">
        <v>138</v>
      </c>
      <c r="B139" t="s">
        <v>21</v>
      </c>
      <c r="C139">
        <v>2007</v>
      </c>
      <c r="D139">
        <v>173757</v>
      </c>
      <c r="E139" t="s">
        <v>17</v>
      </c>
      <c r="F139" t="s">
        <v>14</v>
      </c>
      <c r="G139" t="s">
        <v>15</v>
      </c>
      <c r="H139">
        <v>811</v>
      </c>
      <c r="I139">
        <v>87.6</v>
      </c>
      <c r="J139">
        <v>14.85</v>
      </c>
      <c r="K139">
        <v>6</v>
      </c>
      <c r="L139">
        <v>83948.08</v>
      </c>
    </row>
    <row r="140" spans="1:12" x14ac:dyDescent="0.3">
      <c r="A140">
        <v>139</v>
      </c>
      <c r="B140" t="s">
        <v>27</v>
      </c>
      <c r="C140">
        <v>2016</v>
      </c>
      <c r="D140">
        <v>150788</v>
      </c>
      <c r="E140" t="s">
        <v>22</v>
      </c>
      <c r="F140" t="s">
        <v>14</v>
      </c>
      <c r="G140" t="s">
        <v>20</v>
      </c>
      <c r="H140">
        <v>994</v>
      </c>
      <c r="I140">
        <v>284.3</v>
      </c>
      <c r="J140">
        <v>26.21</v>
      </c>
      <c r="K140">
        <v>5</v>
      </c>
      <c r="L140">
        <v>47819.12</v>
      </c>
    </row>
    <row r="141" spans="1:12" x14ac:dyDescent="0.3">
      <c r="A141">
        <v>140</v>
      </c>
      <c r="B141" t="s">
        <v>16</v>
      </c>
      <c r="C141">
        <v>2024</v>
      </c>
      <c r="D141">
        <v>119099</v>
      </c>
      <c r="E141" t="s">
        <v>17</v>
      </c>
      <c r="F141" t="s">
        <v>18</v>
      </c>
      <c r="G141" t="s">
        <v>23</v>
      </c>
      <c r="H141">
        <v>3337</v>
      </c>
      <c r="I141">
        <v>408.7</v>
      </c>
      <c r="J141">
        <v>17.32</v>
      </c>
      <c r="K141">
        <v>2</v>
      </c>
      <c r="L141">
        <v>104684.59</v>
      </c>
    </row>
    <row r="142" spans="1:12" x14ac:dyDescent="0.3">
      <c r="A142">
        <v>141</v>
      </c>
      <c r="B142" t="s">
        <v>24</v>
      </c>
      <c r="C142">
        <v>2009</v>
      </c>
      <c r="D142">
        <v>16138</v>
      </c>
      <c r="E142" t="s">
        <v>22</v>
      </c>
      <c r="F142" t="s">
        <v>18</v>
      </c>
      <c r="G142" t="s">
        <v>20</v>
      </c>
      <c r="H142">
        <v>3642</v>
      </c>
      <c r="I142">
        <v>285.10000000000002</v>
      </c>
      <c r="J142">
        <v>16.8</v>
      </c>
      <c r="K142">
        <v>4</v>
      </c>
      <c r="L142">
        <v>69493.34</v>
      </c>
    </row>
    <row r="143" spans="1:12" x14ac:dyDescent="0.3">
      <c r="A143">
        <v>142</v>
      </c>
      <c r="B143" t="s">
        <v>12</v>
      </c>
      <c r="C143">
        <v>2009</v>
      </c>
      <c r="D143">
        <v>171370</v>
      </c>
      <c r="E143" t="s">
        <v>22</v>
      </c>
      <c r="F143" t="s">
        <v>18</v>
      </c>
      <c r="G143" t="s">
        <v>15</v>
      </c>
      <c r="H143">
        <v>3029</v>
      </c>
      <c r="I143">
        <v>195</v>
      </c>
      <c r="J143">
        <v>17.260000000000002</v>
      </c>
      <c r="K143">
        <v>6</v>
      </c>
      <c r="L143">
        <v>54422.41</v>
      </c>
    </row>
    <row r="144" spans="1:12" x14ac:dyDescent="0.3">
      <c r="A144">
        <v>143</v>
      </c>
      <c r="B144" t="s">
        <v>30</v>
      </c>
      <c r="C144">
        <v>2010</v>
      </c>
      <c r="D144">
        <v>187184</v>
      </c>
      <c r="E144" t="s">
        <v>13</v>
      </c>
      <c r="F144" t="s">
        <v>18</v>
      </c>
      <c r="G144" t="s">
        <v>15</v>
      </c>
      <c r="H144">
        <v>3809</v>
      </c>
      <c r="I144">
        <v>352.6</v>
      </c>
      <c r="J144">
        <v>26.17</v>
      </c>
      <c r="K144">
        <v>6</v>
      </c>
      <c r="L144">
        <v>10867.15</v>
      </c>
    </row>
    <row r="145" spans="1:12" x14ac:dyDescent="0.3">
      <c r="A145">
        <v>144</v>
      </c>
      <c r="B145" t="s">
        <v>12</v>
      </c>
      <c r="C145">
        <v>2013</v>
      </c>
      <c r="D145">
        <v>28429</v>
      </c>
      <c r="E145" t="s">
        <v>26</v>
      </c>
      <c r="F145" t="s">
        <v>18</v>
      </c>
      <c r="G145" t="s">
        <v>20</v>
      </c>
      <c r="H145">
        <v>2877</v>
      </c>
      <c r="I145">
        <v>234.3</v>
      </c>
      <c r="J145">
        <v>25.8</v>
      </c>
      <c r="K145">
        <v>2</v>
      </c>
      <c r="L145">
        <v>57368.67</v>
      </c>
    </row>
    <row r="146" spans="1:12" x14ac:dyDescent="0.3">
      <c r="A146">
        <v>145</v>
      </c>
      <c r="B146" t="s">
        <v>29</v>
      </c>
      <c r="C146">
        <v>2006</v>
      </c>
      <c r="D146">
        <v>55200</v>
      </c>
      <c r="E146" t="s">
        <v>17</v>
      </c>
      <c r="F146" t="s">
        <v>14</v>
      </c>
      <c r="G146" t="s">
        <v>23</v>
      </c>
      <c r="H146">
        <v>4667</v>
      </c>
      <c r="I146">
        <v>562.4</v>
      </c>
      <c r="J146">
        <v>15.09</v>
      </c>
      <c r="K146">
        <v>7</v>
      </c>
      <c r="L146">
        <v>99026.09</v>
      </c>
    </row>
    <row r="147" spans="1:12" x14ac:dyDescent="0.3">
      <c r="A147">
        <v>146</v>
      </c>
      <c r="B147" t="s">
        <v>29</v>
      </c>
      <c r="C147">
        <v>2016</v>
      </c>
      <c r="D147">
        <v>184316</v>
      </c>
      <c r="E147" t="s">
        <v>13</v>
      </c>
      <c r="F147" t="s">
        <v>18</v>
      </c>
      <c r="G147" t="s">
        <v>23</v>
      </c>
      <c r="H147">
        <v>1243</v>
      </c>
      <c r="I147">
        <v>556.70000000000005</v>
      </c>
      <c r="J147">
        <v>13.33</v>
      </c>
      <c r="K147">
        <v>6</v>
      </c>
      <c r="L147">
        <v>74901.3</v>
      </c>
    </row>
    <row r="148" spans="1:12" x14ac:dyDescent="0.3">
      <c r="A148">
        <v>147</v>
      </c>
      <c r="B148" t="s">
        <v>30</v>
      </c>
      <c r="C148">
        <v>2007</v>
      </c>
      <c r="D148">
        <v>106268</v>
      </c>
      <c r="E148" t="s">
        <v>22</v>
      </c>
      <c r="F148" t="s">
        <v>18</v>
      </c>
      <c r="G148" t="s">
        <v>23</v>
      </c>
      <c r="H148">
        <v>1097</v>
      </c>
      <c r="I148">
        <v>321.3</v>
      </c>
      <c r="J148">
        <v>17.3</v>
      </c>
      <c r="K148">
        <v>5</v>
      </c>
      <c r="L148">
        <v>100363.01</v>
      </c>
    </row>
    <row r="149" spans="1:12" x14ac:dyDescent="0.3">
      <c r="A149">
        <v>148</v>
      </c>
      <c r="B149" t="s">
        <v>30</v>
      </c>
      <c r="C149">
        <v>2024</v>
      </c>
      <c r="D149">
        <v>22347</v>
      </c>
      <c r="E149" t="s">
        <v>17</v>
      </c>
      <c r="F149" t="s">
        <v>14</v>
      </c>
      <c r="G149" t="s">
        <v>23</v>
      </c>
      <c r="H149">
        <v>1644</v>
      </c>
      <c r="I149">
        <v>223.6</v>
      </c>
      <c r="J149">
        <v>19.32</v>
      </c>
      <c r="K149">
        <v>6</v>
      </c>
      <c r="L149">
        <v>60799.37</v>
      </c>
    </row>
    <row r="150" spans="1:12" x14ac:dyDescent="0.3">
      <c r="A150">
        <v>149</v>
      </c>
      <c r="B150" t="s">
        <v>16</v>
      </c>
      <c r="C150">
        <v>2016</v>
      </c>
      <c r="D150">
        <v>152992</v>
      </c>
      <c r="E150" t="s">
        <v>22</v>
      </c>
      <c r="F150" t="s">
        <v>18</v>
      </c>
      <c r="G150" t="s">
        <v>20</v>
      </c>
      <c r="H150">
        <v>1815</v>
      </c>
      <c r="I150">
        <v>452.8</v>
      </c>
      <c r="J150">
        <v>10.96</v>
      </c>
      <c r="K150">
        <v>4</v>
      </c>
      <c r="L150">
        <v>16860.02</v>
      </c>
    </row>
    <row r="151" spans="1:12" x14ac:dyDescent="0.3">
      <c r="A151">
        <v>150</v>
      </c>
      <c r="B151" t="s">
        <v>30</v>
      </c>
      <c r="C151">
        <v>2021</v>
      </c>
      <c r="D151">
        <v>36822</v>
      </c>
      <c r="E151" t="s">
        <v>26</v>
      </c>
      <c r="F151" t="s">
        <v>14</v>
      </c>
      <c r="G151" t="s">
        <v>20</v>
      </c>
      <c r="H151">
        <v>2184</v>
      </c>
      <c r="I151">
        <v>60.6</v>
      </c>
      <c r="J151">
        <v>24.85</v>
      </c>
      <c r="K151">
        <v>6</v>
      </c>
      <c r="L151">
        <v>4595.8599999999997</v>
      </c>
    </row>
    <row r="152" spans="1:12" x14ac:dyDescent="0.3">
      <c r="A152">
        <v>151</v>
      </c>
      <c r="B152" t="s">
        <v>25</v>
      </c>
      <c r="C152">
        <v>2014</v>
      </c>
      <c r="D152">
        <v>182731</v>
      </c>
      <c r="E152" t="s">
        <v>13</v>
      </c>
      <c r="F152" t="s">
        <v>14</v>
      </c>
      <c r="G152" t="s">
        <v>15</v>
      </c>
      <c r="H152">
        <v>2197</v>
      </c>
      <c r="I152">
        <v>305.89999999999998</v>
      </c>
      <c r="J152">
        <v>17.16</v>
      </c>
      <c r="K152">
        <v>7</v>
      </c>
      <c r="L152">
        <v>38476.69</v>
      </c>
    </row>
    <row r="153" spans="1:12" x14ac:dyDescent="0.3">
      <c r="A153">
        <v>152</v>
      </c>
      <c r="B153" t="s">
        <v>12</v>
      </c>
      <c r="C153">
        <v>2018</v>
      </c>
      <c r="D153">
        <v>45108</v>
      </c>
      <c r="E153" t="s">
        <v>26</v>
      </c>
      <c r="F153" t="s">
        <v>14</v>
      </c>
      <c r="G153" t="s">
        <v>23</v>
      </c>
      <c r="H153">
        <v>1353</v>
      </c>
      <c r="I153">
        <v>228.3</v>
      </c>
      <c r="J153">
        <v>13.35</v>
      </c>
      <c r="K153">
        <v>6</v>
      </c>
      <c r="L153">
        <v>84664.89</v>
      </c>
    </row>
    <row r="154" spans="1:12" x14ac:dyDescent="0.3">
      <c r="A154">
        <v>153</v>
      </c>
      <c r="B154" t="s">
        <v>27</v>
      </c>
      <c r="C154">
        <v>2021</v>
      </c>
      <c r="D154">
        <v>133955</v>
      </c>
      <c r="E154" t="s">
        <v>13</v>
      </c>
      <c r="F154" t="s">
        <v>14</v>
      </c>
      <c r="G154" t="s">
        <v>23</v>
      </c>
      <c r="H154">
        <v>3150</v>
      </c>
      <c r="I154">
        <v>555.5</v>
      </c>
      <c r="J154">
        <v>7.67</v>
      </c>
      <c r="K154">
        <v>2</v>
      </c>
      <c r="L154">
        <v>95460.41</v>
      </c>
    </row>
    <row r="155" spans="1:12" x14ac:dyDescent="0.3">
      <c r="A155">
        <v>154</v>
      </c>
      <c r="B155" t="s">
        <v>19</v>
      </c>
      <c r="C155">
        <v>2022</v>
      </c>
      <c r="D155">
        <v>12967</v>
      </c>
      <c r="E155" t="s">
        <v>22</v>
      </c>
      <c r="F155" t="s">
        <v>14</v>
      </c>
      <c r="G155" t="s">
        <v>23</v>
      </c>
      <c r="H155">
        <v>2069</v>
      </c>
      <c r="I155">
        <v>46.7</v>
      </c>
      <c r="J155">
        <v>10.97</v>
      </c>
      <c r="K155">
        <v>6</v>
      </c>
      <c r="L155">
        <v>37603.08</v>
      </c>
    </row>
    <row r="156" spans="1:12" x14ac:dyDescent="0.3">
      <c r="A156">
        <v>155</v>
      </c>
      <c r="B156" t="s">
        <v>30</v>
      </c>
      <c r="C156">
        <v>2023</v>
      </c>
      <c r="D156">
        <v>115719</v>
      </c>
      <c r="E156" t="s">
        <v>26</v>
      </c>
      <c r="F156" t="s">
        <v>18</v>
      </c>
      <c r="G156" t="s">
        <v>20</v>
      </c>
      <c r="H156">
        <v>2060</v>
      </c>
      <c r="I156">
        <v>349.6</v>
      </c>
      <c r="J156">
        <v>28.73</v>
      </c>
      <c r="K156">
        <v>7</v>
      </c>
      <c r="L156">
        <v>60991.51</v>
      </c>
    </row>
    <row r="157" spans="1:12" x14ac:dyDescent="0.3">
      <c r="A157">
        <v>156</v>
      </c>
      <c r="B157" t="s">
        <v>21</v>
      </c>
      <c r="C157">
        <v>2021</v>
      </c>
      <c r="D157">
        <v>16871</v>
      </c>
      <c r="E157" t="s">
        <v>26</v>
      </c>
      <c r="F157" t="s">
        <v>14</v>
      </c>
      <c r="G157" t="s">
        <v>23</v>
      </c>
      <c r="H157">
        <v>984</v>
      </c>
      <c r="I157">
        <v>454.8</v>
      </c>
      <c r="J157">
        <v>12.63</v>
      </c>
      <c r="K157">
        <v>2</v>
      </c>
      <c r="L157">
        <v>52270.91</v>
      </c>
    </row>
    <row r="158" spans="1:12" x14ac:dyDescent="0.3">
      <c r="A158">
        <v>157</v>
      </c>
      <c r="B158" t="s">
        <v>29</v>
      </c>
      <c r="C158">
        <v>2018</v>
      </c>
      <c r="D158">
        <v>169685</v>
      </c>
      <c r="E158" t="s">
        <v>22</v>
      </c>
      <c r="F158" t="s">
        <v>14</v>
      </c>
      <c r="G158" t="s">
        <v>20</v>
      </c>
      <c r="H158">
        <v>3210</v>
      </c>
      <c r="I158">
        <v>311.60000000000002</v>
      </c>
      <c r="J158">
        <v>9.2200000000000006</v>
      </c>
      <c r="K158">
        <v>5</v>
      </c>
      <c r="L158">
        <v>51031.17</v>
      </c>
    </row>
    <row r="159" spans="1:12" x14ac:dyDescent="0.3">
      <c r="A159">
        <v>158</v>
      </c>
      <c r="B159" t="s">
        <v>25</v>
      </c>
      <c r="C159">
        <v>2013</v>
      </c>
      <c r="D159">
        <v>33179</v>
      </c>
      <c r="E159" t="s">
        <v>26</v>
      </c>
      <c r="F159" t="s">
        <v>18</v>
      </c>
      <c r="G159" t="s">
        <v>23</v>
      </c>
      <c r="H159">
        <v>3009</v>
      </c>
      <c r="I159">
        <v>87.8</v>
      </c>
      <c r="J159">
        <v>16.52</v>
      </c>
      <c r="K159">
        <v>2</v>
      </c>
      <c r="L159">
        <v>30067.8</v>
      </c>
    </row>
    <row r="160" spans="1:12" x14ac:dyDescent="0.3">
      <c r="A160">
        <v>159</v>
      </c>
      <c r="B160" t="s">
        <v>24</v>
      </c>
      <c r="C160">
        <v>2012</v>
      </c>
      <c r="D160">
        <v>188260</v>
      </c>
      <c r="E160" t="s">
        <v>17</v>
      </c>
      <c r="F160" t="s">
        <v>18</v>
      </c>
      <c r="G160" t="s">
        <v>23</v>
      </c>
      <c r="H160">
        <v>4472</v>
      </c>
      <c r="I160">
        <v>584.6</v>
      </c>
      <c r="J160">
        <v>12.68</v>
      </c>
      <c r="K160">
        <v>4</v>
      </c>
      <c r="L160">
        <v>18955.419999999998</v>
      </c>
    </row>
    <row r="161" spans="1:12" x14ac:dyDescent="0.3">
      <c r="A161">
        <v>160</v>
      </c>
      <c r="B161" t="s">
        <v>19</v>
      </c>
      <c r="C161">
        <v>2006</v>
      </c>
      <c r="D161">
        <v>60099</v>
      </c>
      <c r="E161" t="s">
        <v>13</v>
      </c>
      <c r="F161" t="s">
        <v>14</v>
      </c>
      <c r="G161" t="s">
        <v>15</v>
      </c>
      <c r="H161">
        <v>2681</v>
      </c>
      <c r="I161">
        <v>330.1</v>
      </c>
      <c r="J161">
        <v>5.88</v>
      </c>
      <c r="K161">
        <v>2</v>
      </c>
      <c r="L161">
        <v>26012.560000000001</v>
      </c>
    </row>
    <row r="162" spans="1:12" x14ac:dyDescent="0.3">
      <c r="A162">
        <v>161</v>
      </c>
      <c r="B162" t="s">
        <v>27</v>
      </c>
      <c r="C162">
        <v>2017</v>
      </c>
      <c r="D162">
        <v>40262</v>
      </c>
      <c r="E162" t="s">
        <v>13</v>
      </c>
      <c r="F162" t="s">
        <v>18</v>
      </c>
      <c r="G162" t="s">
        <v>23</v>
      </c>
      <c r="H162">
        <v>1321</v>
      </c>
      <c r="I162">
        <v>383.9</v>
      </c>
      <c r="J162">
        <v>13.08</v>
      </c>
      <c r="K162">
        <v>5</v>
      </c>
      <c r="L162">
        <v>9473.89</v>
      </c>
    </row>
    <row r="163" spans="1:12" x14ac:dyDescent="0.3">
      <c r="A163">
        <v>162</v>
      </c>
      <c r="B163" t="s">
        <v>19</v>
      </c>
      <c r="C163">
        <v>2011</v>
      </c>
      <c r="D163">
        <v>83213</v>
      </c>
      <c r="E163" t="s">
        <v>13</v>
      </c>
      <c r="F163" t="s">
        <v>18</v>
      </c>
      <c r="G163" t="s">
        <v>23</v>
      </c>
      <c r="H163">
        <v>2687</v>
      </c>
      <c r="I163">
        <v>172.5</v>
      </c>
      <c r="J163">
        <v>18.600000000000001</v>
      </c>
      <c r="K163">
        <v>6</v>
      </c>
      <c r="L163">
        <v>26181.3</v>
      </c>
    </row>
    <row r="164" spans="1:12" x14ac:dyDescent="0.3">
      <c r="A164">
        <v>163</v>
      </c>
      <c r="B164" t="s">
        <v>30</v>
      </c>
      <c r="C164">
        <v>2013</v>
      </c>
      <c r="D164">
        <v>122407</v>
      </c>
      <c r="E164" t="s">
        <v>17</v>
      </c>
      <c r="F164" t="s">
        <v>14</v>
      </c>
      <c r="G164" t="s">
        <v>15</v>
      </c>
      <c r="H164">
        <v>3352</v>
      </c>
      <c r="I164">
        <v>310.8</v>
      </c>
      <c r="J164">
        <v>18.79</v>
      </c>
      <c r="K164">
        <v>2</v>
      </c>
      <c r="L164">
        <v>4076.51</v>
      </c>
    </row>
    <row r="165" spans="1:12" x14ac:dyDescent="0.3">
      <c r="A165">
        <v>164</v>
      </c>
      <c r="B165" t="s">
        <v>16</v>
      </c>
      <c r="C165">
        <v>2015</v>
      </c>
      <c r="D165">
        <v>154340</v>
      </c>
      <c r="E165" t="s">
        <v>13</v>
      </c>
      <c r="F165" t="s">
        <v>14</v>
      </c>
      <c r="G165" t="s">
        <v>20</v>
      </c>
      <c r="H165">
        <v>4609</v>
      </c>
      <c r="I165">
        <v>280.3</v>
      </c>
      <c r="J165">
        <v>13.91</v>
      </c>
      <c r="K165">
        <v>2</v>
      </c>
      <c r="L165">
        <v>76389.23</v>
      </c>
    </row>
    <row r="166" spans="1:12" x14ac:dyDescent="0.3">
      <c r="A166">
        <v>165</v>
      </c>
      <c r="B166" t="s">
        <v>29</v>
      </c>
      <c r="C166">
        <v>2018</v>
      </c>
      <c r="D166">
        <v>91269</v>
      </c>
      <c r="E166" t="s">
        <v>22</v>
      </c>
      <c r="F166" t="s">
        <v>18</v>
      </c>
      <c r="G166" t="s">
        <v>20</v>
      </c>
      <c r="H166">
        <v>4955</v>
      </c>
      <c r="I166">
        <v>81.900000000000006</v>
      </c>
      <c r="J166">
        <v>16.18</v>
      </c>
      <c r="K166">
        <v>2</v>
      </c>
      <c r="L166">
        <v>40015.919999999998</v>
      </c>
    </row>
    <row r="167" spans="1:12" x14ac:dyDescent="0.3">
      <c r="A167">
        <v>166</v>
      </c>
      <c r="B167" t="s">
        <v>29</v>
      </c>
      <c r="C167">
        <v>2008</v>
      </c>
      <c r="D167">
        <v>65545</v>
      </c>
      <c r="E167" t="s">
        <v>26</v>
      </c>
      <c r="F167" t="s">
        <v>14</v>
      </c>
      <c r="G167" t="s">
        <v>23</v>
      </c>
      <c r="H167">
        <v>4279</v>
      </c>
      <c r="I167">
        <v>99.4</v>
      </c>
      <c r="J167">
        <v>29.14</v>
      </c>
      <c r="K167">
        <v>2</v>
      </c>
      <c r="L167">
        <v>116857.93</v>
      </c>
    </row>
    <row r="168" spans="1:12" x14ac:dyDescent="0.3">
      <c r="A168">
        <v>167</v>
      </c>
      <c r="B168" t="s">
        <v>24</v>
      </c>
      <c r="C168">
        <v>2017</v>
      </c>
      <c r="D168">
        <v>44922</v>
      </c>
      <c r="E168" t="s">
        <v>17</v>
      </c>
      <c r="F168" t="s">
        <v>14</v>
      </c>
      <c r="G168" t="s">
        <v>20</v>
      </c>
      <c r="H168">
        <v>2209</v>
      </c>
      <c r="I168">
        <v>509</v>
      </c>
      <c r="J168">
        <v>14.43</v>
      </c>
      <c r="K168">
        <v>5</v>
      </c>
      <c r="L168">
        <v>25664.89</v>
      </c>
    </row>
    <row r="169" spans="1:12" x14ac:dyDescent="0.3">
      <c r="A169">
        <v>168</v>
      </c>
      <c r="B169" t="s">
        <v>16</v>
      </c>
      <c r="C169">
        <v>2006</v>
      </c>
      <c r="D169">
        <v>47913</v>
      </c>
      <c r="E169" t="s">
        <v>13</v>
      </c>
      <c r="F169" t="s">
        <v>18</v>
      </c>
      <c r="G169" t="s">
        <v>23</v>
      </c>
      <c r="H169">
        <v>2494</v>
      </c>
      <c r="I169">
        <v>174.3</v>
      </c>
      <c r="J169">
        <v>11.46</v>
      </c>
      <c r="K169">
        <v>7</v>
      </c>
      <c r="L169">
        <v>43461.94</v>
      </c>
    </row>
    <row r="170" spans="1:12" x14ac:dyDescent="0.3">
      <c r="A170">
        <v>169</v>
      </c>
      <c r="B170" t="s">
        <v>12</v>
      </c>
      <c r="C170">
        <v>2009</v>
      </c>
      <c r="D170">
        <v>102033</v>
      </c>
      <c r="E170" t="s">
        <v>22</v>
      </c>
      <c r="F170" t="s">
        <v>14</v>
      </c>
      <c r="G170" t="s">
        <v>15</v>
      </c>
      <c r="H170">
        <v>1326</v>
      </c>
      <c r="I170">
        <v>149.19999999999999</v>
      </c>
      <c r="J170">
        <v>11.09</v>
      </c>
      <c r="K170">
        <v>7</v>
      </c>
      <c r="L170">
        <v>44867.42</v>
      </c>
    </row>
    <row r="171" spans="1:12" x14ac:dyDescent="0.3">
      <c r="A171">
        <v>170</v>
      </c>
      <c r="B171" t="s">
        <v>28</v>
      </c>
      <c r="C171">
        <v>2015</v>
      </c>
      <c r="D171">
        <v>109792</v>
      </c>
      <c r="E171" t="s">
        <v>26</v>
      </c>
      <c r="F171" t="s">
        <v>14</v>
      </c>
      <c r="G171" t="s">
        <v>15</v>
      </c>
      <c r="H171">
        <v>3460</v>
      </c>
      <c r="I171">
        <v>322.8</v>
      </c>
      <c r="J171">
        <v>16.440000000000001</v>
      </c>
      <c r="K171">
        <v>2</v>
      </c>
      <c r="L171">
        <v>3988.83</v>
      </c>
    </row>
    <row r="172" spans="1:12" x14ac:dyDescent="0.3">
      <c r="A172">
        <v>171</v>
      </c>
      <c r="B172" t="s">
        <v>25</v>
      </c>
      <c r="C172">
        <v>2010</v>
      </c>
      <c r="D172">
        <v>191749</v>
      </c>
      <c r="E172" t="s">
        <v>26</v>
      </c>
      <c r="F172" t="s">
        <v>14</v>
      </c>
      <c r="G172" t="s">
        <v>23</v>
      </c>
      <c r="H172">
        <v>2972</v>
      </c>
      <c r="I172">
        <v>470.5</v>
      </c>
      <c r="J172">
        <v>23.99</v>
      </c>
      <c r="K172">
        <v>5</v>
      </c>
      <c r="L172">
        <v>101187.33</v>
      </c>
    </row>
    <row r="173" spans="1:12" x14ac:dyDescent="0.3">
      <c r="A173">
        <v>172</v>
      </c>
      <c r="B173" t="s">
        <v>29</v>
      </c>
      <c r="C173">
        <v>2022</v>
      </c>
      <c r="D173">
        <v>185913</v>
      </c>
      <c r="E173" t="s">
        <v>17</v>
      </c>
      <c r="F173" t="s">
        <v>14</v>
      </c>
      <c r="G173" t="s">
        <v>15</v>
      </c>
      <c r="H173">
        <v>1079</v>
      </c>
      <c r="I173">
        <v>74.7</v>
      </c>
      <c r="J173">
        <v>10.15</v>
      </c>
      <c r="K173">
        <v>5</v>
      </c>
      <c r="L173">
        <v>6743.35</v>
      </c>
    </row>
    <row r="174" spans="1:12" x14ac:dyDescent="0.3">
      <c r="A174">
        <v>173</v>
      </c>
      <c r="B174" t="s">
        <v>21</v>
      </c>
      <c r="C174">
        <v>2014</v>
      </c>
      <c r="D174">
        <v>182404</v>
      </c>
      <c r="E174" t="s">
        <v>17</v>
      </c>
      <c r="F174" t="s">
        <v>14</v>
      </c>
      <c r="G174" t="s">
        <v>15</v>
      </c>
      <c r="H174">
        <v>3764</v>
      </c>
      <c r="I174">
        <v>363</v>
      </c>
      <c r="J174">
        <v>22.73</v>
      </c>
      <c r="K174">
        <v>2</v>
      </c>
      <c r="L174">
        <v>113001.04</v>
      </c>
    </row>
    <row r="175" spans="1:12" x14ac:dyDescent="0.3">
      <c r="A175">
        <v>174</v>
      </c>
      <c r="B175" t="s">
        <v>29</v>
      </c>
      <c r="C175">
        <v>2008</v>
      </c>
      <c r="D175">
        <v>124863</v>
      </c>
      <c r="E175" t="s">
        <v>17</v>
      </c>
      <c r="F175" t="s">
        <v>18</v>
      </c>
      <c r="G175" t="s">
        <v>23</v>
      </c>
      <c r="H175">
        <v>4777</v>
      </c>
      <c r="I175">
        <v>106.8</v>
      </c>
      <c r="J175">
        <v>5.53</v>
      </c>
      <c r="K175">
        <v>4</v>
      </c>
      <c r="L175">
        <v>107372.7</v>
      </c>
    </row>
    <row r="176" spans="1:12" x14ac:dyDescent="0.3">
      <c r="A176">
        <v>175</v>
      </c>
      <c r="B176" t="s">
        <v>19</v>
      </c>
      <c r="C176">
        <v>2013</v>
      </c>
      <c r="D176">
        <v>161104</v>
      </c>
      <c r="E176" t="s">
        <v>22</v>
      </c>
      <c r="F176" t="s">
        <v>18</v>
      </c>
      <c r="G176" t="s">
        <v>23</v>
      </c>
      <c r="H176">
        <v>3469</v>
      </c>
      <c r="I176">
        <v>60.4</v>
      </c>
      <c r="J176">
        <v>15.47</v>
      </c>
      <c r="K176">
        <v>2</v>
      </c>
      <c r="L176">
        <v>65656.06</v>
      </c>
    </row>
    <row r="177" spans="1:12" x14ac:dyDescent="0.3">
      <c r="A177">
        <v>176</v>
      </c>
      <c r="B177" t="s">
        <v>29</v>
      </c>
      <c r="C177">
        <v>2010</v>
      </c>
      <c r="D177">
        <v>173918</v>
      </c>
      <c r="E177" t="s">
        <v>22</v>
      </c>
      <c r="F177" t="s">
        <v>14</v>
      </c>
      <c r="G177" t="s">
        <v>15</v>
      </c>
      <c r="H177">
        <v>3693</v>
      </c>
      <c r="I177">
        <v>69.5</v>
      </c>
      <c r="J177">
        <v>24.4</v>
      </c>
      <c r="K177">
        <v>4</v>
      </c>
      <c r="L177">
        <v>66600.679999999993</v>
      </c>
    </row>
    <row r="178" spans="1:12" x14ac:dyDescent="0.3">
      <c r="A178">
        <v>177</v>
      </c>
      <c r="B178" t="s">
        <v>29</v>
      </c>
      <c r="C178">
        <v>2006</v>
      </c>
      <c r="D178">
        <v>195546</v>
      </c>
      <c r="E178" t="s">
        <v>17</v>
      </c>
      <c r="F178" t="s">
        <v>18</v>
      </c>
      <c r="G178" t="s">
        <v>20</v>
      </c>
      <c r="H178">
        <v>2551</v>
      </c>
      <c r="I178">
        <v>507.1</v>
      </c>
      <c r="J178">
        <v>13.47</v>
      </c>
      <c r="K178">
        <v>2</v>
      </c>
      <c r="L178">
        <v>79492.02</v>
      </c>
    </row>
    <row r="179" spans="1:12" x14ac:dyDescent="0.3">
      <c r="A179">
        <v>178</v>
      </c>
      <c r="B179" t="s">
        <v>28</v>
      </c>
      <c r="C179">
        <v>2021</v>
      </c>
      <c r="D179">
        <v>49936</v>
      </c>
      <c r="E179" t="s">
        <v>13</v>
      </c>
      <c r="F179" t="s">
        <v>14</v>
      </c>
      <c r="G179" t="s">
        <v>20</v>
      </c>
      <c r="H179">
        <v>4781</v>
      </c>
      <c r="I179">
        <v>106.1</v>
      </c>
      <c r="J179">
        <v>19.09</v>
      </c>
      <c r="K179">
        <v>4</v>
      </c>
      <c r="L179">
        <v>48284.85</v>
      </c>
    </row>
    <row r="180" spans="1:12" x14ac:dyDescent="0.3">
      <c r="A180">
        <v>179</v>
      </c>
      <c r="B180" t="s">
        <v>28</v>
      </c>
      <c r="C180">
        <v>2009</v>
      </c>
      <c r="D180">
        <v>165866</v>
      </c>
      <c r="E180" t="s">
        <v>26</v>
      </c>
      <c r="F180" t="s">
        <v>14</v>
      </c>
      <c r="G180" t="s">
        <v>23</v>
      </c>
      <c r="H180">
        <v>3161</v>
      </c>
      <c r="I180">
        <v>65.3</v>
      </c>
      <c r="J180">
        <v>10.119999999999999</v>
      </c>
      <c r="K180">
        <v>4</v>
      </c>
      <c r="L180">
        <v>78725.009999999995</v>
      </c>
    </row>
    <row r="181" spans="1:12" x14ac:dyDescent="0.3">
      <c r="A181">
        <v>180</v>
      </c>
      <c r="B181" t="s">
        <v>27</v>
      </c>
      <c r="C181">
        <v>2010</v>
      </c>
      <c r="D181">
        <v>197660</v>
      </c>
      <c r="E181" t="s">
        <v>26</v>
      </c>
      <c r="F181" t="s">
        <v>14</v>
      </c>
      <c r="G181" t="s">
        <v>23</v>
      </c>
      <c r="H181">
        <v>4931</v>
      </c>
      <c r="I181">
        <v>285.2</v>
      </c>
      <c r="J181">
        <v>23.55</v>
      </c>
      <c r="K181">
        <v>2</v>
      </c>
      <c r="L181">
        <v>8237.9</v>
      </c>
    </row>
    <row r="182" spans="1:12" x14ac:dyDescent="0.3">
      <c r="A182">
        <v>181</v>
      </c>
      <c r="B182" t="s">
        <v>12</v>
      </c>
      <c r="C182">
        <v>2016</v>
      </c>
      <c r="D182">
        <v>186403</v>
      </c>
      <c r="E182" t="s">
        <v>22</v>
      </c>
      <c r="F182" t="s">
        <v>14</v>
      </c>
      <c r="G182" t="s">
        <v>20</v>
      </c>
      <c r="H182">
        <v>2508</v>
      </c>
      <c r="I182">
        <v>512.6</v>
      </c>
      <c r="J182">
        <v>6.31</v>
      </c>
      <c r="K182">
        <v>4</v>
      </c>
      <c r="L182">
        <v>9323.57</v>
      </c>
    </row>
    <row r="183" spans="1:12" x14ac:dyDescent="0.3">
      <c r="A183">
        <v>182</v>
      </c>
      <c r="B183" t="s">
        <v>21</v>
      </c>
      <c r="C183">
        <v>2014</v>
      </c>
      <c r="D183">
        <v>33141</v>
      </c>
      <c r="E183" t="s">
        <v>26</v>
      </c>
      <c r="F183" t="s">
        <v>14</v>
      </c>
      <c r="G183" t="s">
        <v>15</v>
      </c>
      <c r="H183">
        <v>3486</v>
      </c>
      <c r="I183">
        <v>186.9</v>
      </c>
      <c r="J183">
        <v>26.31</v>
      </c>
      <c r="K183">
        <v>6</v>
      </c>
      <c r="L183">
        <v>56495.96</v>
      </c>
    </row>
    <row r="184" spans="1:12" x14ac:dyDescent="0.3">
      <c r="A184">
        <v>183</v>
      </c>
      <c r="B184" t="s">
        <v>29</v>
      </c>
      <c r="C184">
        <v>2010</v>
      </c>
      <c r="D184">
        <v>145146</v>
      </c>
      <c r="E184" t="s">
        <v>13</v>
      </c>
      <c r="F184" t="s">
        <v>18</v>
      </c>
      <c r="G184" t="s">
        <v>20</v>
      </c>
      <c r="H184">
        <v>3695</v>
      </c>
      <c r="I184">
        <v>276.2</v>
      </c>
      <c r="J184">
        <v>9.9499999999999993</v>
      </c>
      <c r="K184">
        <v>7</v>
      </c>
      <c r="L184">
        <v>67305.81</v>
      </c>
    </row>
    <row r="185" spans="1:12" x14ac:dyDescent="0.3">
      <c r="A185">
        <v>184</v>
      </c>
      <c r="B185" t="s">
        <v>29</v>
      </c>
      <c r="C185">
        <v>2012</v>
      </c>
      <c r="D185">
        <v>142478</v>
      </c>
      <c r="E185" t="s">
        <v>26</v>
      </c>
      <c r="F185" t="s">
        <v>18</v>
      </c>
      <c r="G185" t="s">
        <v>20</v>
      </c>
      <c r="H185">
        <v>3576</v>
      </c>
      <c r="I185">
        <v>62.4</v>
      </c>
      <c r="J185">
        <v>26.86</v>
      </c>
      <c r="K185">
        <v>5</v>
      </c>
      <c r="L185">
        <v>106874.66</v>
      </c>
    </row>
    <row r="186" spans="1:12" x14ac:dyDescent="0.3">
      <c r="A186">
        <v>185</v>
      </c>
      <c r="B186" t="s">
        <v>25</v>
      </c>
      <c r="C186">
        <v>2006</v>
      </c>
      <c r="D186">
        <v>102359</v>
      </c>
      <c r="E186" t="s">
        <v>22</v>
      </c>
      <c r="F186" t="s">
        <v>14</v>
      </c>
      <c r="G186" t="s">
        <v>20</v>
      </c>
      <c r="H186">
        <v>1919</v>
      </c>
      <c r="I186">
        <v>291.5</v>
      </c>
      <c r="J186">
        <v>13.81</v>
      </c>
      <c r="K186">
        <v>4</v>
      </c>
      <c r="L186">
        <v>15245.29</v>
      </c>
    </row>
    <row r="187" spans="1:12" x14ac:dyDescent="0.3">
      <c r="A187">
        <v>186</v>
      </c>
      <c r="B187" t="s">
        <v>28</v>
      </c>
      <c r="C187">
        <v>2016</v>
      </c>
      <c r="D187">
        <v>128279</v>
      </c>
      <c r="E187" t="s">
        <v>22</v>
      </c>
      <c r="F187" t="s">
        <v>18</v>
      </c>
      <c r="G187" t="s">
        <v>20</v>
      </c>
      <c r="H187">
        <v>3788</v>
      </c>
      <c r="I187">
        <v>363.5</v>
      </c>
      <c r="J187">
        <v>23.07</v>
      </c>
      <c r="K187">
        <v>4</v>
      </c>
      <c r="L187">
        <v>99249.81</v>
      </c>
    </row>
    <row r="188" spans="1:12" x14ac:dyDescent="0.3">
      <c r="A188">
        <v>187</v>
      </c>
      <c r="B188" t="s">
        <v>21</v>
      </c>
      <c r="C188">
        <v>2017</v>
      </c>
      <c r="D188">
        <v>159363</v>
      </c>
      <c r="E188" t="s">
        <v>13</v>
      </c>
      <c r="F188" t="s">
        <v>14</v>
      </c>
      <c r="G188" t="s">
        <v>23</v>
      </c>
      <c r="H188">
        <v>994</v>
      </c>
      <c r="I188">
        <v>359.7</v>
      </c>
      <c r="J188">
        <v>12.98</v>
      </c>
      <c r="K188">
        <v>5</v>
      </c>
      <c r="L188">
        <v>27575.54</v>
      </c>
    </row>
    <row r="189" spans="1:12" x14ac:dyDescent="0.3">
      <c r="A189">
        <v>188</v>
      </c>
      <c r="B189" t="s">
        <v>24</v>
      </c>
      <c r="C189">
        <v>2011</v>
      </c>
      <c r="D189">
        <v>46568</v>
      </c>
      <c r="E189" t="s">
        <v>13</v>
      </c>
      <c r="F189" t="s">
        <v>18</v>
      </c>
      <c r="G189" t="s">
        <v>23</v>
      </c>
      <c r="H189">
        <v>1462</v>
      </c>
      <c r="I189">
        <v>226.2</v>
      </c>
      <c r="J189">
        <v>27.65</v>
      </c>
      <c r="K189">
        <v>4</v>
      </c>
      <c r="L189">
        <v>49107.79</v>
      </c>
    </row>
    <row r="190" spans="1:12" x14ac:dyDescent="0.3">
      <c r="A190">
        <v>189</v>
      </c>
      <c r="B190" t="s">
        <v>27</v>
      </c>
      <c r="C190">
        <v>2014</v>
      </c>
      <c r="D190">
        <v>102539</v>
      </c>
      <c r="E190" t="s">
        <v>26</v>
      </c>
      <c r="F190" t="s">
        <v>14</v>
      </c>
      <c r="G190" t="s">
        <v>15</v>
      </c>
      <c r="H190">
        <v>1279</v>
      </c>
      <c r="I190">
        <v>216.7</v>
      </c>
      <c r="J190">
        <v>8.17</v>
      </c>
      <c r="K190">
        <v>5</v>
      </c>
      <c r="L190">
        <v>40042.480000000003</v>
      </c>
    </row>
    <row r="191" spans="1:12" x14ac:dyDescent="0.3">
      <c r="A191">
        <v>190</v>
      </c>
      <c r="B191" t="s">
        <v>12</v>
      </c>
      <c r="C191">
        <v>2017</v>
      </c>
      <c r="D191">
        <v>51851</v>
      </c>
      <c r="E191" t="s">
        <v>26</v>
      </c>
      <c r="F191" t="s">
        <v>18</v>
      </c>
      <c r="G191" t="s">
        <v>15</v>
      </c>
      <c r="H191">
        <v>2223</v>
      </c>
      <c r="I191">
        <v>99.7</v>
      </c>
      <c r="J191">
        <v>9.4600000000000009</v>
      </c>
      <c r="K191">
        <v>2</v>
      </c>
      <c r="L191">
        <v>49818.17</v>
      </c>
    </row>
    <row r="192" spans="1:12" x14ac:dyDescent="0.3">
      <c r="A192">
        <v>191</v>
      </c>
      <c r="B192" t="s">
        <v>16</v>
      </c>
      <c r="C192">
        <v>2021</v>
      </c>
      <c r="D192">
        <v>59823</v>
      </c>
      <c r="E192" t="s">
        <v>22</v>
      </c>
      <c r="F192" t="s">
        <v>14</v>
      </c>
      <c r="G192" t="s">
        <v>15</v>
      </c>
      <c r="H192">
        <v>3508</v>
      </c>
      <c r="I192">
        <v>245.4</v>
      </c>
      <c r="J192">
        <v>17.329999999999998</v>
      </c>
      <c r="K192">
        <v>6</v>
      </c>
      <c r="L192">
        <v>20607.97</v>
      </c>
    </row>
    <row r="193" spans="1:12" x14ac:dyDescent="0.3">
      <c r="A193">
        <v>192</v>
      </c>
      <c r="B193" t="s">
        <v>12</v>
      </c>
      <c r="C193">
        <v>2018</v>
      </c>
      <c r="D193">
        <v>28312</v>
      </c>
      <c r="E193" t="s">
        <v>13</v>
      </c>
      <c r="F193" t="s">
        <v>14</v>
      </c>
      <c r="G193" t="s">
        <v>15</v>
      </c>
      <c r="H193">
        <v>3975</v>
      </c>
      <c r="I193">
        <v>95.7</v>
      </c>
      <c r="J193">
        <v>7.05</v>
      </c>
      <c r="K193">
        <v>6</v>
      </c>
      <c r="L193">
        <v>61917.7</v>
      </c>
    </row>
    <row r="194" spans="1:12" x14ac:dyDescent="0.3">
      <c r="A194">
        <v>193</v>
      </c>
      <c r="B194" t="s">
        <v>19</v>
      </c>
      <c r="C194">
        <v>2006</v>
      </c>
      <c r="D194">
        <v>179180</v>
      </c>
      <c r="E194" t="s">
        <v>13</v>
      </c>
      <c r="F194" t="s">
        <v>18</v>
      </c>
      <c r="G194" t="s">
        <v>20</v>
      </c>
      <c r="H194">
        <v>4614</v>
      </c>
      <c r="I194">
        <v>469.3</v>
      </c>
      <c r="J194">
        <v>9.9</v>
      </c>
      <c r="K194">
        <v>7</v>
      </c>
      <c r="L194">
        <v>96792.18</v>
      </c>
    </row>
    <row r="195" spans="1:12" x14ac:dyDescent="0.3">
      <c r="A195">
        <v>194</v>
      </c>
      <c r="B195" t="s">
        <v>29</v>
      </c>
      <c r="C195">
        <v>2015</v>
      </c>
      <c r="D195">
        <v>170243</v>
      </c>
      <c r="E195" t="s">
        <v>13</v>
      </c>
      <c r="F195" t="s">
        <v>18</v>
      </c>
      <c r="G195" t="s">
        <v>23</v>
      </c>
      <c r="H195">
        <v>2814</v>
      </c>
      <c r="I195">
        <v>581.1</v>
      </c>
      <c r="J195">
        <v>28.59</v>
      </c>
      <c r="K195">
        <v>4</v>
      </c>
      <c r="L195">
        <v>54659.48</v>
      </c>
    </row>
    <row r="196" spans="1:12" x14ac:dyDescent="0.3">
      <c r="A196">
        <v>195</v>
      </c>
      <c r="B196" t="s">
        <v>27</v>
      </c>
      <c r="C196">
        <v>2005</v>
      </c>
      <c r="D196">
        <v>177851</v>
      </c>
      <c r="E196" t="s">
        <v>26</v>
      </c>
      <c r="F196" t="s">
        <v>14</v>
      </c>
      <c r="G196" t="s">
        <v>23</v>
      </c>
      <c r="H196">
        <v>4589</v>
      </c>
      <c r="I196">
        <v>583.20000000000005</v>
      </c>
      <c r="J196">
        <v>29.41</v>
      </c>
      <c r="K196">
        <v>7</v>
      </c>
      <c r="L196">
        <v>60401.79</v>
      </c>
    </row>
    <row r="197" spans="1:12" x14ac:dyDescent="0.3">
      <c r="A197">
        <v>196</v>
      </c>
      <c r="B197" t="s">
        <v>19</v>
      </c>
      <c r="C197">
        <v>2023</v>
      </c>
      <c r="D197">
        <v>103723</v>
      </c>
      <c r="E197" t="s">
        <v>13</v>
      </c>
      <c r="F197" t="s">
        <v>18</v>
      </c>
      <c r="G197" t="s">
        <v>15</v>
      </c>
      <c r="H197">
        <v>3243</v>
      </c>
      <c r="I197">
        <v>524.4</v>
      </c>
      <c r="J197">
        <v>14.41</v>
      </c>
      <c r="K197">
        <v>2</v>
      </c>
      <c r="L197">
        <v>102305.81</v>
      </c>
    </row>
    <row r="198" spans="1:12" x14ac:dyDescent="0.3">
      <c r="A198">
        <v>197</v>
      </c>
      <c r="B198" t="s">
        <v>21</v>
      </c>
      <c r="C198">
        <v>2008</v>
      </c>
      <c r="D198">
        <v>17411</v>
      </c>
      <c r="E198" t="s">
        <v>22</v>
      </c>
      <c r="F198" t="s">
        <v>14</v>
      </c>
      <c r="G198" t="s">
        <v>15</v>
      </c>
      <c r="H198">
        <v>1711</v>
      </c>
      <c r="I198">
        <v>376.4</v>
      </c>
      <c r="J198">
        <v>28.08</v>
      </c>
      <c r="K198">
        <v>6</v>
      </c>
      <c r="L198">
        <v>85608.8</v>
      </c>
    </row>
    <row r="199" spans="1:12" x14ac:dyDescent="0.3">
      <c r="A199">
        <v>198</v>
      </c>
      <c r="B199" t="s">
        <v>16</v>
      </c>
      <c r="C199">
        <v>2023</v>
      </c>
      <c r="D199">
        <v>62009</v>
      </c>
      <c r="E199" t="s">
        <v>22</v>
      </c>
      <c r="F199" t="s">
        <v>18</v>
      </c>
      <c r="G199" t="s">
        <v>20</v>
      </c>
      <c r="H199">
        <v>4013</v>
      </c>
      <c r="I199">
        <v>432.5</v>
      </c>
      <c r="J199">
        <v>18.62</v>
      </c>
      <c r="K199">
        <v>2</v>
      </c>
      <c r="L199">
        <v>60383.17</v>
      </c>
    </row>
    <row r="200" spans="1:12" x14ac:dyDescent="0.3">
      <c r="A200">
        <v>199</v>
      </c>
      <c r="B200" t="s">
        <v>28</v>
      </c>
      <c r="C200">
        <v>2015</v>
      </c>
      <c r="D200">
        <v>151494</v>
      </c>
      <c r="E200" t="s">
        <v>26</v>
      </c>
      <c r="F200" t="s">
        <v>18</v>
      </c>
      <c r="G200" t="s">
        <v>20</v>
      </c>
      <c r="H200">
        <v>3164</v>
      </c>
      <c r="I200">
        <v>199.7</v>
      </c>
      <c r="J200">
        <v>11.74</v>
      </c>
      <c r="K200">
        <v>2</v>
      </c>
      <c r="L200">
        <v>33150.39</v>
      </c>
    </row>
    <row r="201" spans="1:12" x14ac:dyDescent="0.3">
      <c r="A201">
        <v>200</v>
      </c>
      <c r="B201" t="s">
        <v>27</v>
      </c>
      <c r="C201">
        <v>2012</v>
      </c>
      <c r="D201">
        <v>178540</v>
      </c>
      <c r="E201" t="s">
        <v>17</v>
      </c>
      <c r="F201" t="s">
        <v>14</v>
      </c>
      <c r="G201" t="s">
        <v>15</v>
      </c>
      <c r="H201">
        <v>4429</v>
      </c>
      <c r="I201">
        <v>393.2</v>
      </c>
      <c r="J201">
        <v>22.56</v>
      </c>
      <c r="K201">
        <v>4</v>
      </c>
      <c r="L201">
        <v>106536.43</v>
      </c>
    </row>
    <row r="202" spans="1:12" x14ac:dyDescent="0.3">
      <c r="A202">
        <v>201</v>
      </c>
      <c r="B202" t="s">
        <v>27</v>
      </c>
      <c r="C202">
        <v>2015</v>
      </c>
      <c r="D202">
        <v>37371</v>
      </c>
      <c r="E202" t="s">
        <v>26</v>
      </c>
      <c r="F202" t="s">
        <v>18</v>
      </c>
      <c r="G202" t="s">
        <v>23</v>
      </c>
      <c r="H202">
        <v>4272</v>
      </c>
      <c r="I202">
        <v>295.2</v>
      </c>
      <c r="J202">
        <v>21.47</v>
      </c>
      <c r="K202">
        <v>2</v>
      </c>
      <c r="L202">
        <v>70511.39</v>
      </c>
    </row>
    <row r="203" spans="1:12" x14ac:dyDescent="0.3">
      <c r="A203">
        <v>202</v>
      </c>
      <c r="B203" t="s">
        <v>29</v>
      </c>
      <c r="C203">
        <v>2008</v>
      </c>
      <c r="D203">
        <v>62022</v>
      </c>
      <c r="E203" t="s">
        <v>17</v>
      </c>
      <c r="F203" t="s">
        <v>18</v>
      </c>
      <c r="G203" t="s">
        <v>23</v>
      </c>
      <c r="H203">
        <v>1480</v>
      </c>
      <c r="I203">
        <v>309.89999999999998</v>
      </c>
      <c r="J203">
        <v>29.73</v>
      </c>
      <c r="K203">
        <v>6</v>
      </c>
      <c r="L203">
        <v>28874.27</v>
      </c>
    </row>
    <row r="204" spans="1:12" x14ac:dyDescent="0.3">
      <c r="A204">
        <v>203</v>
      </c>
      <c r="B204" t="s">
        <v>30</v>
      </c>
      <c r="C204">
        <v>2021</v>
      </c>
      <c r="D204">
        <v>76229</v>
      </c>
      <c r="E204" t="s">
        <v>13</v>
      </c>
      <c r="F204" t="s">
        <v>14</v>
      </c>
      <c r="G204" t="s">
        <v>23</v>
      </c>
      <c r="H204">
        <v>1409</v>
      </c>
      <c r="I204">
        <v>464.4</v>
      </c>
      <c r="J204">
        <v>11.63</v>
      </c>
      <c r="K204">
        <v>7</v>
      </c>
      <c r="L204">
        <v>34487.01</v>
      </c>
    </row>
    <row r="205" spans="1:12" x14ac:dyDescent="0.3">
      <c r="A205">
        <v>204</v>
      </c>
      <c r="B205" t="s">
        <v>27</v>
      </c>
      <c r="C205">
        <v>2011</v>
      </c>
      <c r="D205">
        <v>104071</v>
      </c>
      <c r="E205" t="s">
        <v>26</v>
      </c>
      <c r="F205" t="s">
        <v>18</v>
      </c>
      <c r="G205" t="s">
        <v>15</v>
      </c>
      <c r="H205">
        <v>2956</v>
      </c>
      <c r="I205">
        <v>197.9</v>
      </c>
      <c r="J205">
        <v>21.8</v>
      </c>
      <c r="K205">
        <v>6</v>
      </c>
      <c r="L205">
        <v>96966.57</v>
      </c>
    </row>
    <row r="206" spans="1:12" x14ac:dyDescent="0.3">
      <c r="A206">
        <v>205</v>
      </c>
      <c r="B206" t="s">
        <v>25</v>
      </c>
      <c r="C206">
        <v>2012</v>
      </c>
      <c r="D206">
        <v>187268</v>
      </c>
      <c r="E206" t="s">
        <v>22</v>
      </c>
      <c r="F206" t="s">
        <v>14</v>
      </c>
      <c r="G206" t="s">
        <v>23</v>
      </c>
      <c r="H206">
        <v>4666</v>
      </c>
      <c r="I206">
        <v>218.1</v>
      </c>
      <c r="J206">
        <v>6.3</v>
      </c>
      <c r="K206">
        <v>4</v>
      </c>
      <c r="L206">
        <v>8165.03</v>
      </c>
    </row>
    <row r="207" spans="1:12" x14ac:dyDescent="0.3">
      <c r="A207">
        <v>206</v>
      </c>
      <c r="B207" t="s">
        <v>16</v>
      </c>
      <c r="C207">
        <v>2007</v>
      </c>
      <c r="D207">
        <v>101774</v>
      </c>
      <c r="E207" t="s">
        <v>13</v>
      </c>
      <c r="F207" t="s">
        <v>14</v>
      </c>
      <c r="G207" t="s">
        <v>20</v>
      </c>
      <c r="H207">
        <v>1171</v>
      </c>
      <c r="I207">
        <v>557.79999999999995</v>
      </c>
      <c r="J207">
        <v>7.84</v>
      </c>
      <c r="K207">
        <v>6</v>
      </c>
      <c r="L207">
        <v>119074.79</v>
      </c>
    </row>
    <row r="208" spans="1:12" x14ac:dyDescent="0.3">
      <c r="A208">
        <v>207</v>
      </c>
      <c r="B208" t="s">
        <v>16</v>
      </c>
      <c r="C208">
        <v>2006</v>
      </c>
      <c r="D208">
        <v>31715</v>
      </c>
      <c r="E208" t="s">
        <v>22</v>
      </c>
      <c r="F208" t="s">
        <v>14</v>
      </c>
      <c r="G208" t="s">
        <v>20</v>
      </c>
      <c r="H208">
        <v>1415</v>
      </c>
      <c r="I208">
        <v>71.5</v>
      </c>
      <c r="J208">
        <v>5.0999999999999996</v>
      </c>
      <c r="K208">
        <v>5</v>
      </c>
      <c r="L208">
        <v>18251.150000000001</v>
      </c>
    </row>
    <row r="209" spans="1:12" x14ac:dyDescent="0.3">
      <c r="A209">
        <v>208</v>
      </c>
      <c r="B209" t="s">
        <v>25</v>
      </c>
      <c r="C209">
        <v>2019</v>
      </c>
      <c r="D209">
        <v>32605</v>
      </c>
      <c r="E209" t="s">
        <v>13</v>
      </c>
      <c r="F209" t="s">
        <v>14</v>
      </c>
      <c r="G209" t="s">
        <v>15</v>
      </c>
      <c r="H209">
        <v>3053</v>
      </c>
      <c r="I209">
        <v>312</v>
      </c>
      <c r="J209">
        <v>29.99</v>
      </c>
      <c r="K209">
        <v>7</v>
      </c>
      <c r="L209">
        <v>96140.02</v>
      </c>
    </row>
    <row r="210" spans="1:12" x14ac:dyDescent="0.3">
      <c r="A210">
        <v>209</v>
      </c>
      <c r="B210" t="s">
        <v>24</v>
      </c>
      <c r="C210">
        <v>2009</v>
      </c>
      <c r="D210">
        <v>104853</v>
      </c>
      <c r="E210" t="s">
        <v>26</v>
      </c>
      <c r="F210" t="s">
        <v>14</v>
      </c>
      <c r="G210" t="s">
        <v>20</v>
      </c>
      <c r="H210">
        <v>4938</v>
      </c>
      <c r="I210">
        <v>551.20000000000005</v>
      </c>
      <c r="J210">
        <v>25.06</v>
      </c>
      <c r="K210">
        <v>5</v>
      </c>
      <c r="L210">
        <v>49188.71</v>
      </c>
    </row>
    <row r="211" spans="1:12" x14ac:dyDescent="0.3">
      <c r="A211">
        <v>210</v>
      </c>
      <c r="B211" t="s">
        <v>25</v>
      </c>
      <c r="C211">
        <v>2005</v>
      </c>
      <c r="D211">
        <v>36174</v>
      </c>
      <c r="E211" t="s">
        <v>17</v>
      </c>
      <c r="F211" t="s">
        <v>18</v>
      </c>
      <c r="G211" t="s">
        <v>15</v>
      </c>
      <c r="H211">
        <v>1664</v>
      </c>
      <c r="I211">
        <v>381.8</v>
      </c>
      <c r="J211">
        <v>24.67</v>
      </c>
      <c r="K211">
        <v>5</v>
      </c>
      <c r="L211">
        <v>60589.29</v>
      </c>
    </row>
    <row r="212" spans="1:12" x14ac:dyDescent="0.3">
      <c r="A212">
        <v>211</v>
      </c>
      <c r="B212" t="s">
        <v>25</v>
      </c>
      <c r="C212">
        <v>2008</v>
      </c>
      <c r="D212">
        <v>146028</v>
      </c>
      <c r="E212" t="s">
        <v>13</v>
      </c>
      <c r="F212" t="s">
        <v>14</v>
      </c>
      <c r="G212" t="s">
        <v>23</v>
      </c>
      <c r="H212">
        <v>2068</v>
      </c>
      <c r="I212">
        <v>346</v>
      </c>
      <c r="J212">
        <v>17.739999999999998</v>
      </c>
      <c r="K212">
        <v>4</v>
      </c>
      <c r="L212">
        <v>106036.12</v>
      </c>
    </row>
    <row r="213" spans="1:12" x14ac:dyDescent="0.3">
      <c r="A213">
        <v>212</v>
      </c>
      <c r="B213" t="s">
        <v>16</v>
      </c>
      <c r="C213">
        <v>2019</v>
      </c>
      <c r="D213">
        <v>81373</v>
      </c>
      <c r="E213" t="s">
        <v>17</v>
      </c>
      <c r="F213" t="s">
        <v>14</v>
      </c>
      <c r="G213" t="s">
        <v>23</v>
      </c>
      <c r="H213">
        <v>1584</v>
      </c>
      <c r="I213">
        <v>179.9</v>
      </c>
      <c r="J213">
        <v>12.5</v>
      </c>
      <c r="K213">
        <v>2</v>
      </c>
      <c r="L213">
        <v>51310.61</v>
      </c>
    </row>
    <row r="214" spans="1:12" x14ac:dyDescent="0.3">
      <c r="A214">
        <v>213</v>
      </c>
      <c r="B214" t="s">
        <v>12</v>
      </c>
      <c r="C214">
        <v>2024</v>
      </c>
      <c r="D214">
        <v>74252</v>
      </c>
      <c r="E214" t="s">
        <v>13</v>
      </c>
      <c r="F214" t="s">
        <v>18</v>
      </c>
      <c r="G214" t="s">
        <v>23</v>
      </c>
      <c r="H214">
        <v>4978</v>
      </c>
      <c r="I214">
        <v>232.2</v>
      </c>
      <c r="J214">
        <v>8.7799999999999994</v>
      </c>
      <c r="K214">
        <v>5</v>
      </c>
      <c r="L214">
        <v>65886.77</v>
      </c>
    </row>
    <row r="215" spans="1:12" x14ac:dyDescent="0.3">
      <c r="A215">
        <v>214</v>
      </c>
      <c r="B215" t="s">
        <v>16</v>
      </c>
      <c r="C215">
        <v>2023</v>
      </c>
      <c r="D215">
        <v>198021</v>
      </c>
      <c r="E215" t="s">
        <v>22</v>
      </c>
      <c r="F215" t="s">
        <v>18</v>
      </c>
      <c r="G215" t="s">
        <v>20</v>
      </c>
      <c r="H215">
        <v>3037</v>
      </c>
      <c r="I215">
        <v>517.1</v>
      </c>
      <c r="J215">
        <v>12.12</v>
      </c>
      <c r="K215">
        <v>6</v>
      </c>
      <c r="L215">
        <v>8768.06</v>
      </c>
    </row>
    <row r="216" spans="1:12" x14ac:dyDescent="0.3">
      <c r="A216">
        <v>215</v>
      </c>
      <c r="B216" t="s">
        <v>30</v>
      </c>
      <c r="C216">
        <v>2007</v>
      </c>
      <c r="D216">
        <v>198718</v>
      </c>
      <c r="E216" t="s">
        <v>22</v>
      </c>
      <c r="F216" t="s">
        <v>18</v>
      </c>
      <c r="G216" t="s">
        <v>15</v>
      </c>
      <c r="H216">
        <v>4854</v>
      </c>
      <c r="I216">
        <v>353.2</v>
      </c>
      <c r="J216">
        <v>14.4</v>
      </c>
      <c r="K216">
        <v>2</v>
      </c>
      <c r="L216">
        <v>3274.65</v>
      </c>
    </row>
    <row r="217" spans="1:12" x14ac:dyDescent="0.3">
      <c r="A217">
        <v>216</v>
      </c>
      <c r="B217" t="s">
        <v>29</v>
      </c>
      <c r="C217">
        <v>2024</v>
      </c>
      <c r="D217">
        <v>75017</v>
      </c>
      <c r="E217" t="s">
        <v>13</v>
      </c>
      <c r="F217" t="s">
        <v>14</v>
      </c>
      <c r="G217" t="s">
        <v>23</v>
      </c>
      <c r="H217">
        <v>1735</v>
      </c>
      <c r="I217">
        <v>328.3</v>
      </c>
      <c r="J217">
        <v>23.91</v>
      </c>
      <c r="K217">
        <v>6</v>
      </c>
      <c r="L217">
        <v>31641.59</v>
      </c>
    </row>
    <row r="218" spans="1:12" x14ac:dyDescent="0.3">
      <c r="A218">
        <v>217</v>
      </c>
      <c r="B218" t="s">
        <v>19</v>
      </c>
      <c r="C218">
        <v>2015</v>
      </c>
      <c r="D218">
        <v>68037</v>
      </c>
      <c r="E218" t="s">
        <v>17</v>
      </c>
      <c r="F218" t="s">
        <v>14</v>
      </c>
      <c r="G218" t="s">
        <v>15</v>
      </c>
      <c r="H218">
        <v>4780</v>
      </c>
      <c r="I218">
        <v>95.8</v>
      </c>
      <c r="J218">
        <v>18.489999999999998</v>
      </c>
      <c r="K218">
        <v>6</v>
      </c>
      <c r="L218">
        <v>82628.22</v>
      </c>
    </row>
    <row r="219" spans="1:12" x14ac:dyDescent="0.3">
      <c r="A219">
        <v>218</v>
      </c>
      <c r="B219" t="s">
        <v>12</v>
      </c>
      <c r="C219">
        <v>2021</v>
      </c>
      <c r="D219">
        <v>94818</v>
      </c>
      <c r="E219" t="s">
        <v>26</v>
      </c>
      <c r="F219" t="s">
        <v>14</v>
      </c>
      <c r="G219" t="s">
        <v>23</v>
      </c>
      <c r="H219">
        <v>3138</v>
      </c>
      <c r="I219">
        <v>49</v>
      </c>
      <c r="J219">
        <v>6.94</v>
      </c>
      <c r="K219">
        <v>2</v>
      </c>
      <c r="L219">
        <v>17187.990000000002</v>
      </c>
    </row>
    <row r="220" spans="1:12" x14ac:dyDescent="0.3">
      <c r="A220">
        <v>219</v>
      </c>
      <c r="B220" t="s">
        <v>28</v>
      </c>
      <c r="C220">
        <v>2017</v>
      </c>
      <c r="D220">
        <v>11548</v>
      </c>
      <c r="E220" t="s">
        <v>26</v>
      </c>
      <c r="F220" t="s">
        <v>18</v>
      </c>
      <c r="G220" t="s">
        <v>20</v>
      </c>
      <c r="H220">
        <v>1125</v>
      </c>
      <c r="I220">
        <v>579.70000000000005</v>
      </c>
      <c r="J220">
        <v>5.45</v>
      </c>
      <c r="K220">
        <v>2</v>
      </c>
      <c r="L220">
        <v>16310.15</v>
      </c>
    </row>
    <row r="221" spans="1:12" x14ac:dyDescent="0.3">
      <c r="A221">
        <v>220</v>
      </c>
      <c r="B221" t="s">
        <v>19</v>
      </c>
      <c r="C221">
        <v>2015</v>
      </c>
      <c r="D221">
        <v>121981</v>
      </c>
      <c r="E221" t="s">
        <v>22</v>
      </c>
      <c r="F221" t="s">
        <v>14</v>
      </c>
      <c r="G221" t="s">
        <v>20</v>
      </c>
      <c r="H221">
        <v>2334</v>
      </c>
      <c r="I221">
        <v>251.1</v>
      </c>
      <c r="J221">
        <v>7.56</v>
      </c>
      <c r="K221">
        <v>6</v>
      </c>
      <c r="L221">
        <v>51082.39</v>
      </c>
    </row>
    <row r="222" spans="1:12" x14ac:dyDescent="0.3">
      <c r="A222">
        <v>221</v>
      </c>
      <c r="B222" t="s">
        <v>29</v>
      </c>
      <c r="C222">
        <v>2006</v>
      </c>
      <c r="D222">
        <v>159249</v>
      </c>
      <c r="E222" t="s">
        <v>26</v>
      </c>
      <c r="F222" t="s">
        <v>18</v>
      </c>
      <c r="G222" t="s">
        <v>15</v>
      </c>
      <c r="H222">
        <v>4280</v>
      </c>
      <c r="I222">
        <v>377.8</v>
      </c>
      <c r="J222">
        <v>15.26</v>
      </c>
      <c r="K222">
        <v>4</v>
      </c>
      <c r="L222">
        <v>78796.929999999993</v>
      </c>
    </row>
    <row r="223" spans="1:12" x14ac:dyDescent="0.3">
      <c r="A223">
        <v>222</v>
      </c>
      <c r="B223" t="s">
        <v>30</v>
      </c>
      <c r="C223">
        <v>2013</v>
      </c>
      <c r="D223">
        <v>29022</v>
      </c>
      <c r="E223" t="s">
        <v>22</v>
      </c>
      <c r="F223" t="s">
        <v>14</v>
      </c>
      <c r="G223" t="s">
        <v>20</v>
      </c>
      <c r="H223">
        <v>4661</v>
      </c>
      <c r="I223">
        <v>84.6</v>
      </c>
      <c r="J223">
        <v>28.33</v>
      </c>
      <c r="K223">
        <v>7</v>
      </c>
      <c r="L223">
        <v>86312.42</v>
      </c>
    </row>
    <row r="224" spans="1:12" x14ac:dyDescent="0.3">
      <c r="A224">
        <v>223</v>
      </c>
      <c r="B224" t="s">
        <v>30</v>
      </c>
      <c r="C224">
        <v>2006</v>
      </c>
      <c r="D224">
        <v>111297</v>
      </c>
      <c r="E224" t="s">
        <v>26</v>
      </c>
      <c r="F224" t="s">
        <v>18</v>
      </c>
      <c r="G224" t="s">
        <v>20</v>
      </c>
      <c r="H224">
        <v>2785</v>
      </c>
      <c r="I224">
        <v>422.5</v>
      </c>
      <c r="J224">
        <v>20.94</v>
      </c>
      <c r="K224">
        <v>7</v>
      </c>
      <c r="L224">
        <v>23878.73</v>
      </c>
    </row>
    <row r="225" spans="1:12" x14ac:dyDescent="0.3">
      <c r="A225">
        <v>224</v>
      </c>
      <c r="B225" t="s">
        <v>28</v>
      </c>
      <c r="C225">
        <v>2013</v>
      </c>
      <c r="D225">
        <v>141614</v>
      </c>
      <c r="E225" t="s">
        <v>13</v>
      </c>
      <c r="F225" t="s">
        <v>14</v>
      </c>
      <c r="G225" t="s">
        <v>15</v>
      </c>
      <c r="H225">
        <v>3578</v>
      </c>
      <c r="I225">
        <v>562.20000000000005</v>
      </c>
      <c r="J225">
        <v>25.05</v>
      </c>
      <c r="K225">
        <v>4</v>
      </c>
      <c r="L225">
        <v>12311.81</v>
      </c>
    </row>
    <row r="226" spans="1:12" x14ac:dyDescent="0.3">
      <c r="A226">
        <v>225</v>
      </c>
      <c r="B226" t="s">
        <v>12</v>
      </c>
      <c r="C226">
        <v>2013</v>
      </c>
      <c r="D226">
        <v>65428</v>
      </c>
      <c r="E226" t="s">
        <v>22</v>
      </c>
      <c r="F226" t="s">
        <v>14</v>
      </c>
      <c r="G226" t="s">
        <v>23</v>
      </c>
      <c r="H226">
        <v>2070</v>
      </c>
      <c r="I226">
        <v>362.4</v>
      </c>
      <c r="J226">
        <v>16.66</v>
      </c>
      <c r="K226">
        <v>2</v>
      </c>
      <c r="L226">
        <v>113026.45</v>
      </c>
    </row>
    <row r="227" spans="1:12" x14ac:dyDescent="0.3">
      <c r="A227">
        <v>226</v>
      </c>
      <c r="B227" t="s">
        <v>24</v>
      </c>
      <c r="C227">
        <v>2012</v>
      </c>
      <c r="D227">
        <v>158812</v>
      </c>
      <c r="E227" t="s">
        <v>22</v>
      </c>
      <c r="F227" t="s">
        <v>14</v>
      </c>
      <c r="G227" t="s">
        <v>20</v>
      </c>
      <c r="H227">
        <v>1440</v>
      </c>
      <c r="I227">
        <v>110.6</v>
      </c>
      <c r="J227">
        <v>14.04</v>
      </c>
      <c r="K227">
        <v>6</v>
      </c>
      <c r="L227">
        <v>33497.97</v>
      </c>
    </row>
    <row r="228" spans="1:12" x14ac:dyDescent="0.3">
      <c r="A228">
        <v>227</v>
      </c>
      <c r="B228" t="s">
        <v>25</v>
      </c>
      <c r="C228">
        <v>2021</v>
      </c>
      <c r="D228">
        <v>64353</v>
      </c>
      <c r="E228" t="s">
        <v>13</v>
      </c>
      <c r="F228" t="s">
        <v>18</v>
      </c>
      <c r="G228" t="s">
        <v>15</v>
      </c>
      <c r="H228">
        <v>4878</v>
      </c>
      <c r="I228">
        <v>365.8</v>
      </c>
      <c r="J228">
        <v>7.71</v>
      </c>
      <c r="K228">
        <v>7</v>
      </c>
      <c r="L228">
        <v>102841.54</v>
      </c>
    </row>
    <row r="229" spans="1:12" x14ac:dyDescent="0.3">
      <c r="A229">
        <v>228</v>
      </c>
      <c r="B229" t="s">
        <v>12</v>
      </c>
      <c r="C229">
        <v>2005</v>
      </c>
      <c r="D229">
        <v>118132</v>
      </c>
      <c r="E229" t="s">
        <v>22</v>
      </c>
      <c r="F229" t="s">
        <v>18</v>
      </c>
      <c r="G229" t="s">
        <v>20</v>
      </c>
      <c r="H229">
        <v>2167</v>
      </c>
      <c r="I229">
        <v>469.2</v>
      </c>
      <c r="J229">
        <v>26.9</v>
      </c>
      <c r="K229">
        <v>6</v>
      </c>
      <c r="L229">
        <v>104028.5</v>
      </c>
    </row>
    <row r="230" spans="1:12" x14ac:dyDescent="0.3">
      <c r="A230">
        <v>229</v>
      </c>
      <c r="B230" t="s">
        <v>24</v>
      </c>
      <c r="C230">
        <v>2015</v>
      </c>
      <c r="D230">
        <v>192604</v>
      </c>
      <c r="E230" t="s">
        <v>26</v>
      </c>
      <c r="F230" t="s">
        <v>14</v>
      </c>
      <c r="G230" t="s">
        <v>20</v>
      </c>
      <c r="H230">
        <v>4842</v>
      </c>
      <c r="I230">
        <v>267.60000000000002</v>
      </c>
      <c r="J230">
        <v>24.58</v>
      </c>
      <c r="K230">
        <v>4</v>
      </c>
      <c r="L230">
        <v>93385.14</v>
      </c>
    </row>
    <row r="231" spans="1:12" x14ac:dyDescent="0.3">
      <c r="A231">
        <v>230</v>
      </c>
      <c r="B231" t="s">
        <v>30</v>
      </c>
      <c r="C231">
        <v>2012</v>
      </c>
      <c r="D231">
        <v>21052</v>
      </c>
      <c r="E231" t="s">
        <v>26</v>
      </c>
      <c r="F231" t="s">
        <v>14</v>
      </c>
      <c r="G231" t="s">
        <v>20</v>
      </c>
      <c r="H231">
        <v>3375</v>
      </c>
      <c r="I231">
        <v>532.70000000000005</v>
      </c>
      <c r="J231">
        <v>9.1999999999999993</v>
      </c>
      <c r="K231">
        <v>6</v>
      </c>
      <c r="L231">
        <v>22753.53</v>
      </c>
    </row>
    <row r="232" spans="1:12" x14ac:dyDescent="0.3">
      <c r="A232">
        <v>231</v>
      </c>
      <c r="B232" t="s">
        <v>16</v>
      </c>
      <c r="C232">
        <v>2014</v>
      </c>
      <c r="D232">
        <v>105689</v>
      </c>
      <c r="E232" t="s">
        <v>22</v>
      </c>
      <c r="F232" t="s">
        <v>14</v>
      </c>
      <c r="G232" t="s">
        <v>20</v>
      </c>
      <c r="H232">
        <v>4403</v>
      </c>
      <c r="I232">
        <v>403.3</v>
      </c>
      <c r="J232">
        <v>17.809999999999999</v>
      </c>
      <c r="K232">
        <v>4</v>
      </c>
      <c r="L232">
        <v>99150.77</v>
      </c>
    </row>
    <row r="233" spans="1:12" x14ac:dyDescent="0.3">
      <c r="A233">
        <v>232</v>
      </c>
      <c r="B233" t="s">
        <v>29</v>
      </c>
      <c r="C233">
        <v>2011</v>
      </c>
      <c r="D233">
        <v>183148</v>
      </c>
      <c r="E233" t="s">
        <v>26</v>
      </c>
      <c r="F233" t="s">
        <v>18</v>
      </c>
      <c r="G233" t="s">
        <v>15</v>
      </c>
      <c r="H233">
        <v>2381</v>
      </c>
      <c r="I233">
        <v>543.6</v>
      </c>
      <c r="J233">
        <v>17.18</v>
      </c>
      <c r="K233">
        <v>2</v>
      </c>
      <c r="L233">
        <v>93002.32</v>
      </c>
    </row>
    <row r="234" spans="1:12" x14ac:dyDescent="0.3">
      <c r="A234">
        <v>233</v>
      </c>
      <c r="B234" t="s">
        <v>28</v>
      </c>
      <c r="C234">
        <v>2007</v>
      </c>
      <c r="D234">
        <v>189492</v>
      </c>
      <c r="E234" t="s">
        <v>17</v>
      </c>
      <c r="F234" t="s">
        <v>14</v>
      </c>
      <c r="G234" t="s">
        <v>15</v>
      </c>
      <c r="H234">
        <v>2786</v>
      </c>
      <c r="I234">
        <v>389.2</v>
      </c>
      <c r="J234">
        <v>20.63</v>
      </c>
      <c r="K234">
        <v>4</v>
      </c>
      <c r="L234">
        <v>72816.59</v>
      </c>
    </row>
    <row r="235" spans="1:12" x14ac:dyDescent="0.3">
      <c r="A235">
        <v>234</v>
      </c>
      <c r="B235" t="s">
        <v>29</v>
      </c>
      <c r="C235">
        <v>2007</v>
      </c>
      <c r="D235">
        <v>136743</v>
      </c>
      <c r="E235" t="s">
        <v>22</v>
      </c>
      <c r="F235" t="s">
        <v>14</v>
      </c>
      <c r="G235" t="s">
        <v>15</v>
      </c>
      <c r="H235">
        <v>3040</v>
      </c>
      <c r="I235">
        <v>113.5</v>
      </c>
      <c r="J235">
        <v>28.65</v>
      </c>
      <c r="K235">
        <v>4</v>
      </c>
      <c r="L235">
        <v>42452.639999999999</v>
      </c>
    </row>
    <row r="236" spans="1:12" x14ac:dyDescent="0.3">
      <c r="A236">
        <v>235</v>
      </c>
      <c r="B236" t="s">
        <v>21</v>
      </c>
      <c r="C236">
        <v>2022</v>
      </c>
      <c r="D236">
        <v>5163</v>
      </c>
      <c r="E236" t="s">
        <v>13</v>
      </c>
      <c r="F236" t="s">
        <v>14</v>
      </c>
      <c r="G236" t="s">
        <v>20</v>
      </c>
      <c r="H236">
        <v>4766</v>
      </c>
      <c r="I236">
        <v>213.4</v>
      </c>
      <c r="J236">
        <v>19.489999999999998</v>
      </c>
      <c r="K236">
        <v>7</v>
      </c>
      <c r="L236">
        <v>33713.51</v>
      </c>
    </row>
    <row r="237" spans="1:12" x14ac:dyDescent="0.3">
      <c r="A237">
        <v>236</v>
      </c>
      <c r="B237" t="s">
        <v>21</v>
      </c>
      <c r="C237">
        <v>2009</v>
      </c>
      <c r="D237">
        <v>46424</v>
      </c>
      <c r="E237" t="s">
        <v>17</v>
      </c>
      <c r="F237" t="s">
        <v>14</v>
      </c>
      <c r="G237" t="s">
        <v>20</v>
      </c>
      <c r="H237">
        <v>2905</v>
      </c>
      <c r="I237">
        <v>153</v>
      </c>
      <c r="J237">
        <v>18.510000000000002</v>
      </c>
      <c r="K237">
        <v>6</v>
      </c>
      <c r="L237">
        <v>17261.04</v>
      </c>
    </row>
    <row r="238" spans="1:12" x14ac:dyDescent="0.3">
      <c r="A238">
        <v>237</v>
      </c>
      <c r="B238" t="s">
        <v>12</v>
      </c>
      <c r="C238">
        <v>2016</v>
      </c>
      <c r="D238">
        <v>189816</v>
      </c>
      <c r="E238" t="s">
        <v>22</v>
      </c>
      <c r="F238" t="s">
        <v>18</v>
      </c>
      <c r="G238" t="s">
        <v>20</v>
      </c>
      <c r="H238">
        <v>928</v>
      </c>
      <c r="I238">
        <v>548.9</v>
      </c>
      <c r="J238">
        <v>6.26</v>
      </c>
      <c r="K238">
        <v>7</v>
      </c>
      <c r="L238">
        <v>62641.58</v>
      </c>
    </row>
    <row r="239" spans="1:12" x14ac:dyDescent="0.3">
      <c r="A239">
        <v>238</v>
      </c>
      <c r="B239" t="s">
        <v>30</v>
      </c>
      <c r="C239">
        <v>2016</v>
      </c>
      <c r="D239">
        <v>146706</v>
      </c>
      <c r="E239" t="s">
        <v>13</v>
      </c>
      <c r="F239" t="s">
        <v>18</v>
      </c>
      <c r="G239" t="s">
        <v>15</v>
      </c>
      <c r="H239">
        <v>4796</v>
      </c>
      <c r="I239">
        <v>465.8</v>
      </c>
      <c r="J239">
        <v>6.57</v>
      </c>
      <c r="K239">
        <v>5</v>
      </c>
      <c r="L239">
        <v>71475.520000000004</v>
      </c>
    </row>
    <row r="240" spans="1:12" x14ac:dyDescent="0.3">
      <c r="A240">
        <v>239</v>
      </c>
      <c r="B240" t="s">
        <v>30</v>
      </c>
      <c r="C240">
        <v>2023</v>
      </c>
      <c r="D240">
        <v>140870</v>
      </c>
      <c r="E240" t="s">
        <v>26</v>
      </c>
      <c r="F240" t="s">
        <v>14</v>
      </c>
      <c r="G240" t="s">
        <v>20</v>
      </c>
      <c r="H240">
        <v>1651</v>
      </c>
      <c r="I240">
        <v>418.8</v>
      </c>
      <c r="J240">
        <v>9.68</v>
      </c>
      <c r="K240">
        <v>4</v>
      </c>
      <c r="L240">
        <v>45042.66</v>
      </c>
    </row>
    <row r="241" spans="1:12" x14ac:dyDescent="0.3">
      <c r="A241">
        <v>240</v>
      </c>
      <c r="B241" t="s">
        <v>25</v>
      </c>
      <c r="C241">
        <v>2010</v>
      </c>
      <c r="D241">
        <v>27420</v>
      </c>
      <c r="E241" t="s">
        <v>13</v>
      </c>
      <c r="F241" t="s">
        <v>14</v>
      </c>
      <c r="G241" t="s">
        <v>23</v>
      </c>
      <c r="H241">
        <v>4903</v>
      </c>
      <c r="I241">
        <v>208.5</v>
      </c>
      <c r="J241">
        <v>5.81</v>
      </c>
      <c r="K241">
        <v>5</v>
      </c>
      <c r="L241">
        <v>58617.01</v>
      </c>
    </row>
    <row r="242" spans="1:12" x14ac:dyDescent="0.3">
      <c r="A242">
        <v>241</v>
      </c>
      <c r="B242" t="s">
        <v>25</v>
      </c>
      <c r="C242">
        <v>2006</v>
      </c>
      <c r="D242">
        <v>125575</v>
      </c>
      <c r="E242" t="s">
        <v>17</v>
      </c>
      <c r="F242" t="s">
        <v>18</v>
      </c>
      <c r="G242" t="s">
        <v>20</v>
      </c>
      <c r="H242">
        <v>2876</v>
      </c>
      <c r="I242">
        <v>143.1</v>
      </c>
      <c r="J242">
        <v>23.58</v>
      </c>
      <c r="K242">
        <v>7</v>
      </c>
      <c r="L242">
        <v>45531.19</v>
      </c>
    </row>
    <row r="243" spans="1:12" x14ac:dyDescent="0.3">
      <c r="A243">
        <v>242</v>
      </c>
      <c r="B243" t="s">
        <v>25</v>
      </c>
      <c r="C243">
        <v>2016</v>
      </c>
      <c r="D243">
        <v>34300</v>
      </c>
      <c r="E243" t="s">
        <v>26</v>
      </c>
      <c r="F243" t="s">
        <v>18</v>
      </c>
      <c r="G243" t="s">
        <v>23</v>
      </c>
      <c r="H243">
        <v>3794</v>
      </c>
      <c r="I243">
        <v>463.6</v>
      </c>
      <c r="J243">
        <v>23.08</v>
      </c>
      <c r="K243">
        <v>6</v>
      </c>
      <c r="L243">
        <v>77997.710000000006</v>
      </c>
    </row>
    <row r="244" spans="1:12" x14ac:dyDescent="0.3">
      <c r="A244">
        <v>243</v>
      </c>
      <c r="B244" t="s">
        <v>16</v>
      </c>
      <c r="C244">
        <v>2023</v>
      </c>
      <c r="D244">
        <v>94881</v>
      </c>
      <c r="E244" t="s">
        <v>22</v>
      </c>
      <c r="F244" t="s">
        <v>14</v>
      </c>
      <c r="G244" t="s">
        <v>20</v>
      </c>
      <c r="H244">
        <v>4544</v>
      </c>
      <c r="I244">
        <v>305.5</v>
      </c>
      <c r="J244">
        <v>8.4</v>
      </c>
      <c r="K244">
        <v>7</v>
      </c>
      <c r="L244">
        <v>108447.33</v>
      </c>
    </row>
    <row r="245" spans="1:12" x14ac:dyDescent="0.3">
      <c r="A245">
        <v>244</v>
      </c>
      <c r="B245" t="s">
        <v>19</v>
      </c>
      <c r="C245">
        <v>2009</v>
      </c>
      <c r="D245">
        <v>15749</v>
      </c>
      <c r="E245" t="s">
        <v>26</v>
      </c>
      <c r="F245" t="s">
        <v>18</v>
      </c>
      <c r="G245" t="s">
        <v>15</v>
      </c>
      <c r="H245">
        <v>3556</v>
      </c>
      <c r="I245">
        <v>166.4</v>
      </c>
      <c r="J245">
        <v>25.9</v>
      </c>
      <c r="K245">
        <v>6</v>
      </c>
      <c r="L245">
        <v>22178.67</v>
      </c>
    </row>
    <row r="246" spans="1:12" x14ac:dyDescent="0.3">
      <c r="A246">
        <v>245</v>
      </c>
      <c r="B246" t="s">
        <v>27</v>
      </c>
      <c r="C246">
        <v>2016</v>
      </c>
      <c r="D246">
        <v>109131</v>
      </c>
      <c r="E246" t="s">
        <v>22</v>
      </c>
      <c r="F246" t="s">
        <v>18</v>
      </c>
      <c r="G246" t="s">
        <v>20</v>
      </c>
      <c r="H246">
        <v>2444</v>
      </c>
      <c r="I246">
        <v>385.3</v>
      </c>
      <c r="J246">
        <v>8.8699999999999992</v>
      </c>
      <c r="K246">
        <v>6</v>
      </c>
      <c r="L246">
        <v>47624.83</v>
      </c>
    </row>
    <row r="247" spans="1:12" x14ac:dyDescent="0.3">
      <c r="A247">
        <v>246</v>
      </c>
      <c r="B247" t="s">
        <v>19</v>
      </c>
      <c r="C247">
        <v>2021</v>
      </c>
      <c r="D247">
        <v>161193</v>
      </c>
      <c r="E247" t="s">
        <v>22</v>
      </c>
      <c r="F247" t="s">
        <v>14</v>
      </c>
      <c r="G247" t="s">
        <v>23</v>
      </c>
      <c r="H247">
        <v>3944</v>
      </c>
      <c r="I247">
        <v>62.6</v>
      </c>
      <c r="J247">
        <v>12.53</v>
      </c>
      <c r="K247">
        <v>2</v>
      </c>
      <c r="L247">
        <v>19481.63</v>
      </c>
    </row>
    <row r="248" spans="1:12" x14ac:dyDescent="0.3">
      <c r="A248">
        <v>247</v>
      </c>
      <c r="B248" t="s">
        <v>29</v>
      </c>
      <c r="C248">
        <v>2021</v>
      </c>
      <c r="D248">
        <v>133563</v>
      </c>
      <c r="E248" t="s">
        <v>13</v>
      </c>
      <c r="F248" t="s">
        <v>18</v>
      </c>
      <c r="G248" t="s">
        <v>23</v>
      </c>
      <c r="H248">
        <v>1042</v>
      </c>
      <c r="I248">
        <v>222.7</v>
      </c>
      <c r="J248">
        <v>11.22</v>
      </c>
      <c r="K248">
        <v>4</v>
      </c>
      <c r="L248">
        <v>76118.42</v>
      </c>
    </row>
    <row r="249" spans="1:12" x14ac:dyDescent="0.3">
      <c r="A249">
        <v>248</v>
      </c>
      <c r="B249" t="s">
        <v>19</v>
      </c>
      <c r="C249">
        <v>2014</v>
      </c>
      <c r="D249">
        <v>42487</v>
      </c>
      <c r="E249" t="s">
        <v>13</v>
      </c>
      <c r="F249" t="s">
        <v>18</v>
      </c>
      <c r="G249" t="s">
        <v>20</v>
      </c>
      <c r="H249">
        <v>4885</v>
      </c>
      <c r="I249">
        <v>302.39999999999998</v>
      </c>
      <c r="J249">
        <v>14.31</v>
      </c>
      <c r="K249">
        <v>7</v>
      </c>
      <c r="L249">
        <v>88277.85</v>
      </c>
    </row>
    <row r="250" spans="1:12" x14ac:dyDescent="0.3">
      <c r="A250">
        <v>249</v>
      </c>
      <c r="B250" t="s">
        <v>16</v>
      </c>
      <c r="C250">
        <v>2021</v>
      </c>
      <c r="D250">
        <v>169433</v>
      </c>
      <c r="E250" t="s">
        <v>13</v>
      </c>
      <c r="F250" t="s">
        <v>14</v>
      </c>
      <c r="G250" t="s">
        <v>23</v>
      </c>
      <c r="H250">
        <v>970</v>
      </c>
      <c r="I250">
        <v>122.9</v>
      </c>
      <c r="J250">
        <v>11.37</v>
      </c>
      <c r="K250">
        <v>6</v>
      </c>
      <c r="L250">
        <v>112033.79</v>
      </c>
    </row>
    <row r="251" spans="1:12" x14ac:dyDescent="0.3">
      <c r="A251">
        <v>250</v>
      </c>
      <c r="B251" t="s">
        <v>29</v>
      </c>
      <c r="C251">
        <v>2019</v>
      </c>
      <c r="D251">
        <v>26223</v>
      </c>
      <c r="E251" t="s">
        <v>17</v>
      </c>
      <c r="F251" t="s">
        <v>14</v>
      </c>
      <c r="G251" t="s">
        <v>23</v>
      </c>
      <c r="H251">
        <v>1452</v>
      </c>
      <c r="I251">
        <v>591.4</v>
      </c>
      <c r="J251">
        <v>17.22</v>
      </c>
      <c r="K251">
        <v>7</v>
      </c>
      <c r="L251">
        <v>35628.019999999997</v>
      </c>
    </row>
    <row r="252" spans="1:12" x14ac:dyDescent="0.3">
      <c r="A252">
        <v>251</v>
      </c>
      <c r="B252" t="s">
        <v>19</v>
      </c>
      <c r="C252">
        <v>2016</v>
      </c>
      <c r="D252">
        <v>77930</v>
      </c>
      <c r="E252" t="s">
        <v>17</v>
      </c>
      <c r="F252" t="s">
        <v>18</v>
      </c>
      <c r="G252" t="s">
        <v>15</v>
      </c>
      <c r="H252">
        <v>4312</v>
      </c>
      <c r="I252">
        <v>157.1</v>
      </c>
      <c r="J252">
        <v>15.19</v>
      </c>
      <c r="K252">
        <v>7</v>
      </c>
      <c r="L252">
        <v>114174.71</v>
      </c>
    </row>
    <row r="253" spans="1:12" x14ac:dyDescent="0.3">
      <c r="A253">
        <v>252</v>
      </c>
      <c r="B253" t="s">
        <v>16</v>
      </c>
      <c r="C253">
        <v>2020</v>
      </c>
      <c r="D253">
        <v>150128</v>
      </c>
      <c r="E253" t="s">
        <v>13</v>
      </c>
      <c r="F253" t="s">
        <v>14</v>
      </c>
      <c r="G253" t="s">
        <v>20</v>
      </c>
      <c r="H253">
        <v>2299</v>
      </c>
      <c r="I253">
        <v>113</v>
      </c>
      <c r="J253">
        <v>29.66</v>
      </c>
      <c r="K253">
        <v>6</v>
      </c>
      <c r="L253">
        <v>10401.73</v>
      </c>
    </row>
    <row r="254" spans="1:12" x14ac:dyDescent="0.3">
      <c r="A254">
        <v>253</v>
      </c>
      <c r="B254" t="s">
        <v>27</v>
      </c>
      <c r="C254">
        <v>2023</v>
      </c>
      <c r="D254">
        <v>33380</v>
      </c>
      <c r="E254" t="s">
        <v>17</v>
      </c>
      <c r="F254" t="s">
        <v>18</v>
      </c>
      <c r="G254" t="s">
        <v>20</v>
      </c>
      <c r="H254">
        <v>2899</v>
      </c>
      <c r="I254">
        <v>154</v>
      </c>
      <c r="J254">
        <v>6.4</v>
      </c>
      <c r="K254">
        <v>5</v>
      </c>
      <c r="L254">
        <v>73552.62</v>
      </c>
    </row>
    <row r="255" spans="1:12" x14ac:dyDescent="0.3">
      <c r="A255">
        <v>254</v>
      </c>
      <c r="B255" t="s">
        <v>19</v>
      </c>
      <c r="C255">
        <v>2012</v>
      </c>
      <c r="D255">
        <v>31035</v>
      </c>
      <c r="E255" t="s">
        <v>26</v>
      </c>
      <c r="F255" t="s">
        <v>14</v>
      </c>
      <c r="G255" t="s">
        <v>20</v>
      </c>
      <c r="H255">
        <v>2958</v>
      </c>
      <c r="I255">
        <v>470.7</v>
      </c>
      <c r="J255">
        <v>8.5500000000000007</v>
      </c>
      <c r="K255">
        <v>4</v>
      </c>
      <c r="L255">
        <v>9684.5300000000007</v>
      </c>
    </row>
    <row r="256" spans="1:12" x14ac:dyDescent="0.3">
      <c r="A256">
        <v>255</v>
      </c>
      <c r="B256" t="s">
        <v>16</v>
      </c>
      <c r="C256">
        <v>2021</v>
      </c>
      <c r="D256">
        <v>35620</v>
      </c>
      <c r="E256" t="s">
        <v>26</v>
      </c>
      <c r="F256" t="s">
        <v>18</v>
      </c>
      <c r="G256" t="s">
        <v>23</v>
      </c>
      <c r="H256">
        <v>2772</v>
      </c>
      <c r="I256">
        <v>278.3</v>
      </c>
      <c r="J256">
        <v>6.32</v>
      </c>
      <c r="K256">
        <v>4</v>
      </c>
      <c r="L256">
        <v>107571.58</v>
      </c>
    </row>
    <row r="257" spans="1:12" x14ac:dyDescent="0.3">
      <c r="A257">
        <v>256</v>
      </c>
      <c r="B257" t="s">
        <v>25</v>
      </c>
      <c r="C257">
        <v>2009</v>
      </c>
      <c r="D257">
        <v>155949</v>
      </c>
      <c r="E257" t="s">
        <v>17</v>
      </c>
      <c r="F257" t="s">
        <v>14</v>
      </c>
      <c r="G257" t="s">
        <v>20</v>
      </c>
      <c r="H257">
        <v>4725</v>
      </c>
      <c r="I257">
        <v>356.6</v>
      </c>
      <c r="J257">
        <v>20.65</v>
      </c>
      <c r="K257">
        <v>2</v>
      </c>
      <c r="L257">
        <v>64987.66</v>
      </c>
    </row>
    <row r="258" spans="1:12" x14ac:dyDescent="0.3">
      <c r="A258">
        <v>257</v>
      </c>
      <c r="B258" t="s">
        <v>30</v>
      </c>
      <c r="C258">
        <v>2020</v>
      </c>
      <c r="D258">
        <v>191388</v>
      </c>
      <c r="E258" t="s">
        <v>17</v>
      </c>
      <c r="F258" t="s">
        <v>18</v>
      </c>
      <c r="G258" t="s">
        <v>20</v>
      </c>
      <c r="H258">
        <v>3058</v>
      </c>
      <c r="I258">
        <v>51.8</v>
      </c>
      <c r="J258">
        <v>6.36</v>
      </c>
      <c r="K258">
        <v>2</v>
      </c>
      <c r="L258">
        <v>81313.759999999995</v>
      </c>
    </row>
    <row r="259" spans="1:12" x14ac:dyDescent="0.3">
      <c r="A259">
        <v>258</v>
      </c>
      <c r="B259" t="s">
        <v>25</v>
      </c>
      <c r="C259">
        <v>2010</v>
      </c>
      <c r="D259">
        <v>122360</v>
      </c>
      <c r="E259" t="s">
        <v>26</v>
      </c>
      <c r="F259" t="s">
        <v>18</v>
      </c>
      <c r="G259" t="s">
        <v>15</v>
      </c>
      <c r="H259">
        <v>4839</v>
      </c>
      <c r="I259">
        <v>59.3</v>
      </c>
      <c r="J259">
        <v>25.91</v>
      </c>
      <c r="K259">
        <v>2</v>
      </c>
      <c r="L259">
        <v>100294.15</v>
      </c>
    </row>
    <row r="260" spans="1:12" x14ac:dyDescent="0.3">
      <c r="A260">
        <v>259</v>
      </c>
      <c r="B260" t="s">
        <v>30</v>
      </c>
      <c r="C260">
        <v>2012</v>
      </c>
      <c r="D260">
        <v>58352</v>
      </c>
      <c r="E260" t="s">
        <v>22</v>
      </c>
      <c r="F260" t="s">
        <v>18</v>
      </c>
      <c r="G260" t="s">
        <v>15</v>
      </c>
      <c r="H260">
        <v>2835</v>
      </c>
      <c r="I260">
        <v>289.7</v>
      </c>
      <c r="J260">
        <v>17.8</v>
      </c>
      <c r="K260">
        <v>4</v>
      </c>
      <c r="L260">
        <v>20586.34</v>
      </c>
    </row>
    <row r="261" spans="1:12" x14ac:dyDescent="0.3">
      <c r="A261">
        <v>260</v>
      </c>
      <c r="B261" t="s">
        <v>28</v>
      </c>
      <c r="C261">
        <v>2022</v>
      </c>
      <c r="D261">
        <v>166983</v>
      </c>
      <c r="E261" t="s">
        <v>26</v>
      </c>
      <c r="F261" t="s">
        <v>14</v>
      </c>
      <c r="G261" t="s">
        <v>15</v>
      </c>
      <c r="H261">
        <v>4071</v>
      </c>
      <c r="I261">
        <v>497.3</v>
      </c>
      <c r="J261">
        <v>18.18</v>
      </c>
      <c r="K261">
        <v>5</v>
      </c>
      <c r="L261">
        <v>7515.21</v>
      </c>
    </row>
    <row r="262" spans="1:12" x14ac:dyDescent="0.3">
      <c r="A262">
        <v>261</v>
      </c>
      <c r="B262" t="s">
        <v>28</v>
      </c>
      <c r="C262">
        <v>2016</v>
      </c>
      <c r="D262">
        <v>168856</v>
      </c>
      <c r="E262" t="s">
        <v>26</v>
      </c>
      <c r="F262" t="s">
        <v>14</v>
      </c>
      <c r="G262" t="s">
        <v>23</v>
      </c>
      <c r="H262">
        <v>1657</v>
      </c>
      <c r="I262">
        <v>535.70000000000005</v>
      </c>
      <c r="J262">
        <v>19.04</v>
      </c>
      <c r="K262">
        <v>4</v>
      </c>
      <c r="L262">
        <v>105829.09</v>
      </c>
    </row>
    <row r="263" spans="1:12" x14ac:dyDescent="0.3">
      <c r="A263">
        <v>262</v>
      </c>
      <c r="B263" t="s">
        <v>28</v>
      </c>
      <c r="C263">
        <v>2019</v>
      </c>
      <c r="D263">
        <v>8191</v>
      </c>
      <c r="E263" t="s">
        <v>17</v>
      </c>
      <c r="F263" t="s">
        <v>18</v>
      </c>
      <c r="G263" t="s">
        <v>20</v>
      </c>
      <c r="H263">
        <v>4623</v>
      </c>
      <c r="I263">
        <v>88.6</v>
      </c>
      <c r="J263">
        <v>9.27</v>
      </c>
      <c r="K263">
        <v>4</v>
      </c>
      <c r="L263">
        <v>39847.19</v>
      </c>
    </row>
    <row r="264" spans="1:12" x14ac:dyDescent="0.3">
      <c r="A264">
        <v>263</v>
      </c>
      <c r="B264" t="s">
        <v>27</v>
      </c>
      <c r="C264">
        <v>2013</v>
      </c>
      <c r="D264">
        <v>169232</v>
      </c>
      <c r="E264" t="s">
        <v>26</v>
      </c>
      <c r="F264" t="s">
        <v>18</v>
      </c>
      <c r="G264" t="s">
        <v>15</v>
      </c>
      <c r="H264">
        <v>1849</v>
      </c>
      <c r="I264">
        <v>341.5</v>
      </c>
      <c r="J264">
        <v>9.94</v>
      </c>
      <c r="K264">
        <v>4</v>
      </c>
      <c r="L264">
        <v>18090.53</v>
      </c>
    </row>
    <row r="265" spans="1:12" x14ac:dyDescent="0.3">
      <c r="A265">
        <v>264</v>
      </c>
      <c r="B265" t="s">
        <v>25</v>
      </c>
      <c r="C265">
        <v>2017</v>
      </c>
      <c r="D265">
        <v>95536</v>
      </c>
      <c r="E265" t="s">
        <v>17</v>
      </c>
      <c r="F265" t="s">
        <v>14</v>
      </c>
      <c r="G265" t="s">
        <v>15</v>
      </c>
      <c r="H265">
        <v>4790</v>
      </c>
      <c r="I265">
        <v>551.4</v>
      </c>
      <c r="J265">
        <v>12.97</v>
      </c>
      <c r="K265">
        <v>4</v>
      </c>
      <c r="L265">
        <v>57809.96</v>
      </c>
    </row>
    <row r="266" spans="1:12" x14ac:dyDescent="0.3">
      <c r="A266">
        <v>265</v>
      </c>
      <c r="B266" t="s">
        <v>30</v>
      </c>
      <c r="C266">
        <v>2019</v>
      </c>
      <c r="D266">
        <v>109576</v>
      </c>
      <c r="E266" t="s">
        <v>17</v>
      </c>
      <c r="F266" t="s">
        <v>14</v>
      </c>
      <c r="G266" t="s">
        <v>15</v>
      </c>
      <c r="H266">
        <v>1098</v>
      </c>
      <c r="I266">
        <v>257.3</v>
      </c>
      <c r="J266">
        <v>19.84</v>
      </c>
      <c r="K266">
        <v>5</v>
      </c>
      <c r="L266">
        <v>73001.81</v>
      </c>
    </row>
    <row r="267" spans="1:12" x14ac:dyDescent="0.3">
      <c r="A267">
        <v>266</v>
      </c>
      <c r="B267" t="s">
        <v>16</v>
      </c>
      <c r="C267">
        <v>2014</v>
      </c>
      <c r="D267">
        <v>185795</v>
      </c>
      <c r="E267" t="s">
        <v>13</v>
      </c>
      <c r="F267" t="s">
        <v>14</v>
      </c>
      <c r="G267" t="s">
        <v>20</v>
      </c>
      <c r="H267">
        <v>1723</v>
      </c>
      <c r="I267">
        <v>504.6</v>
      </c>
      <c r="J267">
        <v>10.25</v>
      </c>
      <c r="K267">
        <v>2</v>
      </c>
      <c r="L267">
        <v>6623.56</v>
      </c>
    </row>
    <row r="268" spans="1:12" x14ac:dyDescent="0.3">
      <c r="A268">
        <v>267</v>
      </c>
      <c r="B268" t="s">
        <v>29</v>
      </c>
      <c r="C268">
        <v>2020</v>
      </c>
      <c r="D268">
        <v>8631</v>
      </c>
      <c r="E268" t="s">
        <v>26</v>
      </c>
      <c r="F268" t="s">
        <v>14</v>
      </c>
      <c r="G268" t="s">
        <v>20</v>
      </c>
      <c r="H268">
        <v>3599</v>
      </c>
      <c r="I268">
        <v>114.9</v>
      </c>
      <c r="J268">
        <v>7.91</v>
      </c>
      <c r="K268">
        <v>7</v>
      </c>
      <c r="L268">
        <v>35162.79</v>
      </c>
    </row>
    <row r="269" spans="1:12" x14ac:dyDescent="0.3">
      <c r="A269">
        <v>268</v>
      </c>
      <c r="B269" t="s">
        <v>16</v>
      </c>
      <c r="C269">
        <v>2011</v>
      </c>
      <c r="D269">
        <v>142244</v>
      </c>
      <c r="E269" t="s">
        <v>22</v>
      </c>
      <c r="F269" t="s">
        <v>14</v>
      </c>
      <c r="G269" t="s">
        <v>20</v>
      </c>
      <c r="H269">
        <v>4862</v>
      </c>
      <c r="I269">
        <v>563.79999999999995</v>
      </c>
      <c r="J269">
        <v>29.25</v>
      </c>
      <c r="K269">
        <v>2</v>
      </c>
      <c r="L269">
        <v>6837.59</v>
      </c>
    </row>
    <row r="270" spans="1:12" x14ac:dyDescent="0.3">
      <c r="A270">
        <v>269</v>
      </c>
      <c r="B270" t="s">
        <v>29</v>
      </c>
      <c r="C270">
        <v>2021</v>
      </c>
      <c r="D270">
        <v>47080</v>
      </c>
      <c r="E270" t="s">
        <v>13</v>
      </c>
      <c r="F270" t="s">
        <v>14</v>
      </c>
      <c r="G270" t="s">
        <v>23</v>
      </c>
      <c r="H270">
        <v>4845</v>
      </c>
      <c r="I270">
        <v>460.8</v>
      </c>
      <c r="J270">
        <v>5.55</v>
      </c>
      <c r="K270">
        <v>2</v>
      </c>
      <c r="L270">
        <v>52179.24</v>
      </c>
    </row>
    <row r="271" spans="1:12" x14ac:dyDescent="0.3">
      <c r="A271">
        <v>270</v>
      </c>
      <c r="B271" t="s">
        <v>21</v>
      </c>
      <c r="C271">
        <v>2011</v>
      </c>
      <c r="D271">
        <v>95353</v>
      </c>
      <c r="E271" t="s">
        <v>17</v>
      </c>
      <c r="F271" t="s">
        <v>18</v>
      </c>
      <c r="G271" t="s">
        <v>23</v>
      </c>
      <c r="H271">
        <v>2602</v>
      </c>
      <c r="I271">
        <v>567.1</v>
      </c>
      <c r="J271">
        <v>25.07</v>
      </c>
      <c r="K271">
        <v>7</v>
      </c>
      <c r="L271">
        <v>107726.7</v>
      </c>
    </row>
    <row r="272" spans="1:12" x14ac:dyDescent="0.3">
      <c r="A272">
        <v>271</v>
      </c>
      <c r="B272" t="s">
        <v>16</v>
      </c>
      <c r="C272">
        <v>2018</v>
      </c>
      <c r="D272">
        <v>156353</v>
      </c>
      <c r="E272" t="s">
        <v>17</v>
      </c>
      <c r="F272" t="s">
        <v>14</v>
      </c>
      <c r="G272" t="s">
        <v>15</v>
      </c>
      <c r="H272">
        <v>3513</v>
      </c>
      <c r="I272">
        <v>418.9</v>
      </c>
      <c r="J272">
        <v>24.7</v>
      </c>
      <c r="K272">
        <v>4</v>
      </c>
      <c r="L272">
        <v>117970.33</v>
      </c>
    </row>
    <row r="273" spans="1:12" x14ac:dyDescent="0.3">
      <c r="A273">
        <v>272</v>
      </c>
      <c r="B273" t="s">
        <v>19</v>
      </c>
      <c r="C273">
        <v>2019</v>
      </c>
      <c r="D273">
        <v>33671</v>
      </c>
      <c r="E273" t="s">
        <v>22</v>
      </c>
      <c r="F273" t="s">
        <v>18</v>
      </c>
      <c r="G273" t="s">
        <v>20</v>
      </c>
      <c r="H273">
        <v>3653</v>
      </c>
      <c r="I273">
        <v>243.5</v>
      </c>
      <c r="J273">
        <v>12.43</v>
      </c>
      <c r="K273">
        <v>5</v>
      </c>
      <c r="L273">
        <v>77534.559999999998</v>
      </c>
    </row>
    <row r="274" spans="1:12" x14ac:dyDescent="0.3">
      <c r="A274">
        <v>273</v>
      </c>
      <c r="B274" t="s">
        <v>19</v>
      </c>
      <c r="C274">
        <v>2011</v>
      </c>
      <c r="D274">
        <v>127811</v>
      </c>
      <c r="E274" t="s">
        <v>17</v>
      </c>
      <c r="F274" t="s">
        <v>14</v>
      </c>
      <c r="G274" t="s">
        <v>15</v>
      </c>
      <c r="H274">
        <v>3457</v>
      </c>
      <c r="I274">
        <v>565.4</v>
      </c>
      <c r="J274">
        <v>8.39</v>
      </c>
      <c r="K274">
        <v>5</v>
      </c>
      <c r="L274">
        <v>21911.61</v>
      </c>
    </row>
    <row r="275" spans="1:12" x14ac:dyDescent="0.3">
      <c r="A275">
        <v>274</v>
      </c>
      <c r="B275" t="s">
        <v>12</v>
      </c>
      <c r="C275">
        <v>2013</v>
      </c>
      <c r="D275">
        <v>187503</v>
      </c>
      <c r="E275" t="s">
        <v>26</v>
      </c>
      <c r="F275" t="s">
        <v>14</v>
      </c>
      <c r="G275" t="s">
        <v>20</v>
      </c>
      <c r="H275">
        <v>4146</v>
      </c>
      <c r="I275">
        <v>194.3</v>
      </c>
      <c r="J275">
        <v>8.64</v>
      </c>
      <c r="K275">
        <v>2</v>
      </c>
      <c r="L275">
        <v>108984.38</v>
      </c>
    </row>
    <row r="276" spans="1:12" x14ac:dyDescent="0.3">
      <c r="A276">
        <v>275</v>
      </c>
      <c r="B276" t="s">
        <v>25</v>
      </c>
      <c r="C276">
        <v>2023</v>
      </c>
      <c r="D276">
        <v>132734</v>
      </c>
      <c r="E276" t="s">
        <v>13</v>
      </c>
      <c r="F276" t="s">
        <v>18</v>
      </c>
      <c r="G276" t="s">
        <v>20</v>
      </c>
      <c r="H276">
        <v>2271</v>
      </c>
      <c r="I276">
        <v>226</v>
      </c>
      <c r="J276">
        <v>22.44</v>
      </c>
      <c r="K276">
        <v>7</v>
      </c>
      <c r="L276">
        <v>63401</v>
      </c>
    </row>
    <row r="277" spans="1:12" x14ac:dyDescent="0.3">
      <c r="A277">
        <v>276</v>
      </c>
      <c r="B277" t="s">
        <v>29</v>
      </c>
      <c r="C277">
        <v>2020</v>
      </c>
      <c r="D277">
        <v>164674</v>
      </c>
      <c r="E277" t="s">
        <v>17</v>
      </c>
      <c r="F277" t="s">
        <v>18</v>
      </c>
      <c r="G277" t="s">
        <v>20</v>
      </c>
      <c r="H277">
        <v>3749</v>
      </c>
      <c r="I277">
        <v>432.5</v>
      </c>
      <c r="J277">
        <v>21.07</v>
      </c>
      <c r="K277">
        <v>6</v>
      </c>
      <c r="L277">
        <v>20988.67</v>
      </c>
    </row>
    <row r="278" spans="1:12" x14ac:dyDescent="0.3">
      <c r="A278">
        <v>277</v>
      </c>
      <c r="B278" t="s">
        <v>29</v>
      </c>
      <c r="C278">
        <v>2012</v>
      </c>
      <c r="D278">
        <v>56399</v>
      </c>
      <c r="E278" t="s">
        <v>17</v>
      </c>
      <c r="F278" t="s">
        <v>14</v>
      </c>
      <c r="G278" t="s">
        <v>23</v>
      </c>
      <c r="H278">
        <v>1741</v>
      </c>
      <c r="I278">
        <v>468.6</v>
      </c>
      <c r="J278">
        <v>24.57</v>
      </c>
      <c r="K278">
        <v>4</v>
      </c>
      <c r="L278">
        <v>110842.02</v>
      </c>
    </row>
    <row r="279" spans="1:12" x14ac:dyDescent="0.3">
      <c r="A279">
        <v>278</v>
      </c>
      <c r="B279" t="s">
        <v>25</v>
      </c>
      <c r="C279">
        <v>2022</v>
      </c>
      <c r="D279">
        <v>159544</v>
      </c>
      <c r="E279" t="s">
        <v>22</v>
      </c>
      <c r="F279" t="s">
        <v>18</v>
      </c>
      <c r="G279" t="s">
        <v>23</v>
      </c>
      <c r="H279">
        <v>2707</v>
      </c>
      <c r="I279">
        <v>560.5</v>
      </c>
      <c r="J279">
        <v>28.44</v>
      </c>
      <c r="K279">
        <v>2</v>
      </c>
      <c r="L279">
        <v>91623.88</v>
      </c>
    </row>
    <row r="280" spans="1:12" x14ac:dyDescent="0.3">
      <c r="A280">
        <v>279</v>
      </c>
      <c r="B280" t="s">
        <v>27</v>
      </c>
      <c r="C280">
        <v>2022</v>
      </c>
      <c r="D280">
        <v>185302</v>
      </c>
      <c r="E280" t="s">
        <v>26</v>
      </c>
      <c r="F280" t="s">
        <v>18</v>
      </c>
      <c r="G280" t="s">
        <v>20</v>
      </c>
      <c r="H280">
        <v>2043</v>
      </c>
      <c r="I280">
        <v>154.69999999999999</v>
      </c>
      <c r="J280">
        <v>22.3</v>
      </c>
      <c r="K280">
        <v>5</v>
      </c>
      <c r="L280">
        <v>88609.52</v>
      </c>
    </row>
    <row r="281" spans="1:12" x14ac:dyDescent="0.3">
      <c r="A281">
        <v>280</v>
      </c>
      <c r="B281" t="s">
        <v>12</v>
      </c>
      <c r="C281">
        <v>2024</v>
      </c>
      <c r="D281">
        <v>12099</v>
      </c>
      <c r="E281" t="s">
        <v>17</v>
      </c>
      <c r="F281" t="s">
        <v>18</v>
      </c>
      <c r="G281" t="s">
        <v>15</v>
      </c>
      <c r="H281">
        <v>2266</v>
      </c>
      <c r="I281">
        <v>486.9</v>
      </c>
      <c r="J281">
        <v>8.9</v>
      </c>
      <c r="K281">
        <v>7</v>
      </c>
      <c r="L281">
        <v>85974.14</v>
      </c>
    </row>
    <row r="282" spans="1:12" x14ac:dyDescent="0.3">
      <c r="A282">
        <v>281</v>
      </c>
      <c r="B282" t="s">
        <v>27</v>
      </c>
      <c r="C282">
        <v>2011</v>
      </c>
      <c r="D282">
        <v>161503</v>
      </c>
      <c r="E282" t="s">
        <v>22</v>
      </c>
      <c r="F282" t="s">
        <v>18</v>
      </c>
      <c r="G282" t="s">
        <v>20</v>
      </c>
      <c r="H282">
        <v>4757</v>
      </c>
      <c r="I282">
        <v>453.6</v>
      </c>
      <c r="J282">
        <v>11.09</v>
      </c>
      <c r="K282">
        <v>7</v>
      </c>
      <c r="L282">
        <v>26439.759999999998</v>
      </c>
    </row>
    <row r="283" spans="1:12" x14ac:dyDescent="0.3">
      <c r="A283">
        <v>282</v>
      </c>
      <c r="B283" t="s">
        <v>27</v>
      </c>
      <c r="C283">
        <v>2007</v>
      </c>
      <c r="D283">
        <v>61492</v>
      </c>
      <c r="E283" t="s">
        <v>17</v>
      </c>
      <c r="F283" t="s">
        <v>14</v>
      </c>
      <c r="G283" t="s">
        <v>20</v>
      </c>
      <c r="H283">
        <v>2766</v>
      </c>
      <c r="I283">
        <v>75.7</v>
      </c>
      <c r="J283">
        <v>26.05</v>
      </c>
      <c r="K283">
        <v>2</v>
      </c>
      <c r="L283">
        <v>27687.78</v>
      </c>
    </row>
    <row r="284" spans="1:12" x14ac:dyDescent="0.3">
      <c r="A284">
        <v>283</v>
      </c>
      <c r="B284" t="s">
        <v>27</v>
      </c>
      <c r="C284">
        <v>2022</v>
      </c>
      <c r="D284">
        <v>101722</v>
      </c>
      <c r="E284" t="s">
        <v>22</v>
      </c>
      <c r="F284" t="s">
        <v>18</v>
      </c>
      <c r="G284" t="s">
        <v>15</v>
      </c>
      <c r="H284">
        <v>1175</v>
      </c>
      <c r="I284">
        <v>256.8</v>
      </c>
      <c r="J284">
        <v>10.23</v>
      </c>
      <c r="K284">
        <v>6</v>
      </c>
      <c r="L284">
        <v>83530.28</v>
      </c>
    </row>
    <row r="285" spans="1:12" x14ac:dyDescent="0.3">
      <c r="A285">
        <v>284</v>
      </c>
      <c r="B285" t="s">
        <v>25</v>
      </c>
      <c r="C285">
        <v>2014</v>
      </c>
      <c r="D285">
        <v>183756</v>
      </c>
      <c r="E285" t="s">
        <v>22</v>
      </c>
      <c r="F285" t="s">
        <v>14</v>
      </c>
      <c r="G285" t="s">
        <v>20</v>
      </c>
      <c r="H285">
        <v>1062</v>
      </c>
      <c r="I285">
        <v>198.3</v>
      </c>
      <c r="J285">
        <v>6.81</v>
      </c>
      <c r="K285">
        <v>5</v>
      </c>
      <c r="L285">
        <v>28707.56</v>
      </c>
    </row>
    <row r="286" spans="1:12" x14ac:dyDescent="0.3">
      <c r="A286">
        <v>285</v>
      </c>
      <c r="B286" t="s">
        <v>27</v>
      </c>
      <c r="C286">
        <v>2011</v>
      </c>
      <c r="D286">
        <v>35111</v>
      </c>
      <c r="E286" t="s">
        <v>26</v>
      </c>
      <c r="F286" t="s">
        <v>14</v>
      </c>
      <c r="G286" t="s">
        <v>15</v>
      </c>
      <c r="H286">
        <v>4188</v>
      </c>
      <c r="I286">
        <v>210.5</v>
      </c>
      <c r="J286">
        <v>22.58</v>
      </c>
      <c r="K286">
        <v>2</v>
      </c>
      <c r="L286">
        <v>54324.59</v>
      </c>
    </row>
    <row r="287" spans="1:12" x14ac:dyDescent="0.3">
      <c r="A287">
        <v>286</v>
      </c>
      <c r="B287" t="s">
        <v>19</v>
      </c>
      <c r="C287">
        <v>2021</v>
      </c>
      <c r="D287">
        <v>68936</v>
      </c>
      <c r="E287" t="s">
        <v>17</v>
      </c>
      <c r="F287" t="s">
        <v>14</v>
      </c>
      <c r="G287" t="s">
        <v>23</v>
      </c>
      <c r="H287">
        <v>4195</v>
      </c>
      <c r="I287">
        <v>590.5</v>
      </c>
      <c r="J287">
        <v>15.06</v>
      </c>
      <c r="K287">
        <v>6</v>
      </c>
      <c r="L287">
        <v>94494.21</v>
      </c>
    </row>
    <row r="288" spans="1:12" x14ac:dyDescent="0.3">
      <c r="A288">
        <v>287</v>
      </c>
      <c r="B288" t="s">
        <v>28</v>
      </c>
      <c r="C288">
        <v>2018</v>
      </c>
      <c r="D288">
        <v>158686</v>
      </c>
      <c r="E288" t="s">
        <v>26</v>
      </c>
      <c r="F288" t="s">
        <v>14</v>
      </c>
      <c r="G288" t="s">
        <v>23</v>
      </c>
      <c r="H288">
        <v>2744</v>
      </c>
      <c r="I288">
        <v>400</v>
      </c>
      <c r="J288">
        <v>28</v>
      </c>
      <c r="K288">
        <v>7</v>
      </c>
      <c r="L288">
        <v>94722.44</v>
      </c>
    </row>
    <row r="289" spans="1:12" x14ac:dyDescent="0.3">
      <c r="A289">
        <v>288</v>
      </c>
      <c r="B289" t="s">
        <v>21</v>
      </c>
      <c r="C289">
        <v>2007</v>
      </c>
      <c r="D289">
        <v>178063</v>
      </c>
      <c r="E289" t="s">
        <v>22</v>
      </c>
      <c r="F289" t="s">
        <v>18</v>
      </c>
      <c r="G289" t="s">
        <v>15</v>
      </c>
      <c r="H289">
        <v>2693</v>
      </c>
      <c r="I289">
        <v>441.9</v>
      </c>
      <c r="J289">
        <v>21.26</v>
      </c>
      <c r="K289">
        <v>4</v>
      </c>
      <c r="L289">
        <v>56031.63</v>
      </c>
    </row>
    <row r="290" spans="1:12" x14ac:dyDescent="0.3">
      <c r="A290">
        <v>289</v>
      </c>
      <c r="B290" t="s">
        <v>29</v>
      </c>
      <c r="C290">
        <v>2016</v>
      </c>
      <c r="D290">
        <v>65920</v>
      </c>
      <c r="E290" t="s">
        <v>13</v>
      </c>
      <c r="F290" t="s">
        <v>18</v>
      </c>
      <c r="G290" t="s">
        <v>23</v>
      </c>
      <c r="H290">
        <v>4434</v>
      </c>
      <c r="I290">
        <v>586.9</v>
      </c>
      <c r="J290">
        <v>7.26</v>
      </c>
      <c r="K290">
        <v>5</v>
      </c>
      <c r="L290">
        <v>95686.22</v>
      </c>
    </row>
    <row r="291" spans="1:12" x14ac:dyDescent="0.3">
      <c r="A291">
        <v>290</v>
      </c>
      <c r="B291" t="s">
        <v>29</v>
      </c>
      <c r="C291">
        <v>2017</v>
      </c>
      <c r="D291">
        <v>68530</v>
      </c>
      <c r="E291" t="s">
        <v>17</v>
      </c>
      <c r="F291" t="s">
        <v>14</v>
      </c>
      <c r="G291" t="s">
        <v>23</v>
      </c>
      <c r="H291">
        <v>2452</v>
      </c>
      <c r="I291">
        <v>251.2</v>
      </c>
      <c r="J291">
        <v>28.7</v>
      </c>
      <c r="K291">
        <v>5</v>
      </c>
      <c r="L291">
        <v>101118.75</v>
      </c>
    </row>
    <row r="292" spans="1:12" x14ac:dyDescent="0.3">
      <c r="A292">
        <v>291</v>
      </c>
      <c r="B292" t="s">
        <v>21</v>
      </c>
      <c r="C292">
        <v>2006</v>
      </c>
      <c r="D292">
        <v>172296</v>
      </c>
      <c r="E292" t="s">
        <v>13</v>
      </c>
      <c r="F292" t="s">
        <v>14</v>
      </c>
      <c r="G292" t="s">
        <v>15</v>
      </c>
      <c r="H292">
        <v>4941</v>
      </c>
      <c r="I292">
        <v>489</v>
      </c>
      <c r="J292">
        <v>11.46</v>
      </c>
      <c r="K292">
        <v>6</v>
      </c>
      <c r="L292">
        <v>79608.759999999995</v>
      </c>
    </row>
    <row r="293" spans="1:12" x14ac:dyDescent="0.3">
      <c r="A293">
        <v>292</v>
      </c>
      <c r="B293" t="s">
        <v>25</v>
      </c>
      <c r="C293">
        <v>2007</v>
      </c>
      <c r="D293">
        <v>12788</v>
      </c>
      <c r="E293" t="s">
        <v>17</v>
      </c>
      <c r="F293" t="s">
        <v>14</v>
      </c>
      <c r="G293" t="s">
        <v>23</v>
      </c>
      <c r="H293">
        <v>4692</v>
      </c>
      <c r="I293">
        <v>283.3</v>
      </c>
      <c r="J293">
        <v>13.43</v>
      </c>
      <c r="K293">
        <v>2</v>
      </c>
      <c r="L293">
        <v>29725.82</v>
      </c>
    </row>
    <row r="294" spans="1:12" x14ac:dyDescent="0.3">
      <c r="A294">
        <v>293</v>
      </c>
      <c r="B294" t="s">
        <v>16</v>
      </c>
      <c r="C294">
        <v>2009</v>
      </c>
      <c r="D294">
        <v>33082</v>
      </c>
      <c r="E294" t="s">
        <v>26</v>
      </c>
      <c r="F294" t="s">
        <v>14</v>
      </c>
      <c r="G294" t="s">
        <v>20</v>
      </c>
      <c r="H294">
        <v>1399</v>
      </c>
      <c r="I294">
        <v>526.9</v>
      </c>
      <c r="J294">
        <v>15.06</v>
      </c>
      <c r="K294">
        <v>7</v>
      </c>
      <c r="L294">
        <v>35059.379999999997</v>
      </c>
    </row>
    <row r="295" spans="1:12" x14ac:dyDescent="0.3">
      <c r="A295">
        <v>294</v>
      </c>
      <c r="B295" t="s">
        <v>25</v>
      </c>
      <c r="C295">
        <v>2015</v>
      </c>
      <c r="D295">
        <v>128287</v>
      </c>
      <c r="E295" t="s">
        <v>26</v>
      </c>
      <c r="F295" t="s">
        <v>18</v>
      </c>
      <c r="G295" t="s">
        <v>20</v>
      </c>
      <c r="H295">
        <v>2712</v>
      </c>
      <c r="I295">
        <v>141.19999999999999</v>
      </c>
      <c r="J295">
        <v>6.28</v>
      </c>
      <c r="K295">
        <v>6</v>
      </c>
      <c r="L295">
        <v>39836.42</v>
      </c>
    </row>
    <row r="296" spans="1:12" x14ac:dyDescent="0.3">
      <c r="A296">
        <v>295</v>
      </c>
      <c r="B296" t="s">
        <v>29</v>
      </c>
      <c r="C296">
        <v>2012</v>
      </c>
      <c r="D296">
        <v>94570</v>
      </c>
      <c r="E296" t="s">
        <v>26</v>
      </c>
      <c r="F296" t="s">
        <v>14</v>
      </c>
      <c r="G296" t="s">
        <v>15</v>
      </c>
      <c r="H296">
        <v>2092</v>
      </c>
      <c r="I296">
        <v>570.70000000000005</v>
      </c>
      <c r="J296">
        <v>17.41</v>
      </c>
      <c r="K296">
        <v>4</v>
      </c>
      <c r="L296">
        <v>16666.080000000002</v>
      </c>
    </row>
    <row r="297" spans="1:12" x14ac:dyDescent="0.3">
      <c r="A297">
        <v>296</v>
      </c>
      <c r="B297" t="s">
        <v>29</v>
      </c>
      <c r="C297">
        <v>2016</v>
      </c>
      <c r="D297">
        <v>106015</v>
      </c>
      <c r="E297" t="s">
        <v>26</v>
      </c>
      <c r="F297" t="s">
        <v>18</v>
      </c>
      <c r="G297" t="s">
        <v>23</v>
      </c>
      <c r="H297">
        <v>1400</v>
      </c>
      <c r="I297">
        <v>162.5</v>
      </c>
      <c r="J297">
        <v>8.08</v>
      </c>
      <c r="K297">
        <v>4</v>
      </c>
      <c r="L297">
        <v>34959.68</v>
      </c>
    </row>
    <row r="298" spans="1:12" x14ac:dyDescent="0.3">
      <c r="A298">
        <v>297</v>
      </c>
      <c r="B298" t="s">
        <v>21</v>
      </c>
      <c r="C298">
        <v>2011</v>
      </c>
      <c r="D298">
        <v>88588</v>
      </c>
      <c r="E298" t="s">
        <v>26</v>
      </c>
      <c r="F298" t="s">
        <v>14</v>
      </c>
      <c r="G298" t="s">
        <v>20</v>
      </c>
      <c r="H298">
        <v>1180</v>
      </c>
      <c r="I298">
        <v>222.7</v>
      </c>
      <c r="J298">
        <v>15.02</v>
      </c>
      <c r="K298">
        <v>4</v>
      </c>
      <c r="L298">
        <v>27513.75</v>
      </c>
    </row>
    <row r="299" spans="1:12" x14ac:dyDescent="0.3">
      <c r="A299">
        <v>298</v>
      </c>
      <c r="B299" t="s">
        <v>27</v>
      </c>
      <c r="C299">
        <v>2019</v>
      </c>
      <c r="D299">
        <v>152603</v>
      </c>
      <c r="E299" t="s">
        <v>13</v>
      </c>
      <c r="F299" t="s">
        <v>14</v>
      </c>
      <c r="G299" t="s">
        <v>20</v>
      </c>
      <c r="H299">
        <v>4437</v>
      </c>
      <c r="I299">
        <v>463.5</v>
      </c>
      <c r="J299">
        <v>13.77</v>
      </c>
      <c r="K299">
        <v>6</v>
      </c>
      <c r="L299">
        <v>56273.46</v>
      </c>
    </row>
    <row r="300" spans="1:12" x14ac:dyDescent="0.3">
      <c r="A300">
        <v>299</v>
      </c>
      <c r="B300" t="s">
        <v>25</v>
      </c>
      <c r="C300">
        <v>2021</v>
      </c>
      <c r="D300">
        <v>93340</v>
      </c>
      <c r="E300" t="s">
        <v>26</v>
      </c>
      <c r="F300" t="s">
        <v>14</v>
      </c>
      <c r="G300" t="s">
        <v>23</v>
      </c>
      <c r="H300">
        <v>2963</v>
      </c>
      <c r="I300">
        <v>260.5</v>
      </c>
      <c r="J300">
        <v>24.32</v>
      </c>
      <c r="K300">
        <v>7</v>
      </c>
      <c r="L300">
        <v>109287.19</v>
      </c>
    </row>
    <row r="301" spans="1:12" x14ac:dyDescent="0.3">
      <c r="A301">
        <v>300</v>
      </c>
      <c r="B301" t="s">
        <v>30</v>
      </c>
      <c r="C301">
        <v>2008</v>
      </c>
      <c r="D301">
        <v>99439</v>
      </c>
      <c r="E301" t="s">
        <v>22</v>
      </c>
      <c r="F301" t="s">
        <v>14</v>
      </c>
      <c r="G301" t="s">
        <v>23</v>
      </c>
      <c r="H301">
        <v>1898</v>
      </c>
      <c r="I301">
        <v>380.6</v>
      </c>
      <c r="J301">
        <v>25.08</v>
      </c>
      <c r="K301">
        <v>5</v>
      </c>
      <c r="L301">
        <v>15224.2</v>
      </c>
    </row>
    <row r="302" spans="1:12" x14ac:dyDescent="0.3">
      <c r="A302">
        <v>301</v>
      </c>
      <c r="B302" t="s">
        <v>21</v>
      </c>
      <c r="C302">
        <v>2017</v>
      </c>
      <c r="D302">
        <v>180929</v>
      </c>
      <c r="E302" t="s">
        <v>22</v>
      </c>
      <c r="F302" t="s">
        <v>18</v>
      </c>
      <c r="G302" t="s">
        <v>20</v>
      </c>
      <c r="H302">
        <v>1165</v>
      </c>
      <c r="I302">
        <v>289</v>
      </c>
      <c r="J302">
        <v>8.84</v>
      </c>
      <c r="K302">
        <v>2</v>
      </c>
      <c r="L302">
        <v>87271.35</v>
      </c>
    </row>
    <row r="303" spans="1:12" x14ac:dyDescent="0.3">
      <c r="A303">
        <v>302</v>
      </c>
      <c r="B303" t="s">
        <v>19</v>
      </c>
      <c r="C303">
        <v>2022</v>
      </c>
      <c r="D303">
        <v>146214</v>
      </c>
      <c r="E303" t="s">
        <v>13</v>
      </c>
      <c r="F303" t="s">
        <v>18</v>
      </c>
      <c r="G303" t="s">
        <v>20</v>
      </c>
      <c r="H303">
        <v>3370</v>
      </c>
      <c r="I303">
        <v>455.7</v>
      </c>
      <c r="J303">
        <v>14.16</v>
      </c>
      <c r="K303">
        <v>5</v>
      </c>
      <c r="L303">
        <v>83412.11</v>
      </c>
    </row>
    <row r="304" spans="1:12" x14ac:dyDescent="0.3">
      <c r="A304">
        <v>303</v>
      </c>
      <c r="B304" t="s">
        <v>29</v>
      </c>
      <c r="C304">
        <v>2005</v>
      </c>
      <c r="D304">
        <v>120053</v>
      </c>
      <c r="E304" t="s">
        <v>17</v>
      </c>
      <c r="F304" t="s">
        <v>18</v>
      </c>
      <c r="G304" t="s">
        <v>15</v>
      </c>
      <c r="H304">
        <v>4219</v>
      </c>
      <c r="I304">
        <v>167.9</v>
      </c>
      <c r="J304">
        <v>14.33</v>
      </c>
      <c r="K304">
        <v>7</v>
      </c>
      <c r="L304">
        <v>14203.24</v>
      </c>
    </row>
    <row r="305" spans="1:12" x14ac:dyDescent="0.3">
      <c r="A305">
        <v>304</v>
      </c>
      <c r="B305" t="s">
        <v>21</v>
      </c>
      <c r="C305">
        <v>2020</v>
      </c>
      <c r="D305">
        <v>53355</v>
      </c>
      <c r="E305" t="s">
        <v>22</v>
      </c>
      <c r="F305" t="s">
        <v>14</v>
      </c>
      <c r="G305" t="s">
        <v>15</v>
      </c>
      <c r="H305">
        <v>3276</v>
      </c>
      <c r="I305">
        <v>72.7</v>
      </c>
      <c r="J305">
        <v>8.7899999999999991</v>
      </c>
      <c r="K305">
        <v>5</v>
      </c>
      <c r="L305">
        <v>110940.97</v>
      </c>
    </row>
    <row r="306" spans="1:12" x14ac:dyDescent="0.3">
      <c r="A306">
        <v>305</v>
      </c>
      <c r="B306" t="s">
        <v>25</v>
      </c>
      <c r="C306">
        <v>2017</v>
      </c>
      <c r="D306">
        <v>145938</v>
      </c>
      <c r="E306" t="s">
        <v>17</v>
      </c>
      <c r="F306" t="s">
        <v>14</v>
      </c>
      <c r="G306" t="s">
        <v>20</v>
      </c>
      <c r="H306">
        <v>1590</v>
      </c>
      <c r="I306">
        <v>208</v>
      </c>
      <c r="J306">
        <v>24.96</v>
      </c>
      <c r="K306">
        <v>6</v>
      </c>
      <c r="L306">
        <v>69511.25</v>
      </c>
    </row>
    <row r="307" spans="1:12" x14ac:dyDescent="0.3">
      <c r="A307">
        <v>306</v>
      </c>
      <c r="B307" t="s">
        <v>29</v>
      </c>
      <c r="C307">
        <v>2014</v>
      </c>
      <c r="D307">
        <v>130426</v>
      </c>
      <c r="E307" t="s">
        <v>13</v>
      </c>
      <c r="F307" t="s">
        <v>18</v>
      </c>
      <c r="G307" t="s">
        <v>15</v>
      </c>
      <c r="H307">
        <v>4369</v>
      </c>
      <c r="I307">
        <v>305.60000000000002</v>
      </c>
      <c r="J307">
        <v>22.68</v>
      </c>
      <c r="K307">
        <v>4</v>
      </c>
      <c r="L307">
        <v>45555.89</v>
      </c>
    </row>
    <row r="308" spans="1:12" x14ac:dyDescent="0.3">
      <c r="A308">
        <v>307</v>
      </c>
      <c r="B308" t="s">
        <v>16</v>
      </c>
      <c r="C308">
        <v>2016</v>
      </c>
      <c r="D308">
        <v>69027</v>
      </c>
      <c r="E308" t="s">
        <v>17</v>
      </c>
      <c r="F308" t="s">
        <v>18</v>
      </c>
      <c r="G308" t="s">
        <v>20</v>
      </c>
      <c r="H308">
        <v>1546</v>
      </c>
      <c r="I308">
        <v>134.1</v>
      </c>
      <c r="J308">
        <v>9.76</v>
      </c>
      <c r="K308">
        <v>7</v>
      </c>
      <c r="L308">
        <v>91515.01</v>
      </c>
    </row>
    <row r="309" spans="1:12" x14ac:dyDescent="0.3">
      <c r="A309">
        <v>308</v>
      </c>
      <c r="B309" t="s">
        <v>21</v>
      </c>
      <c r="C309">
        <v>2006</v>
      </c>
      <c r="D309">
        <v>193978</v>
      </c>
      <c r="E309" t="s">
        <v>17</v>
      </c>
      <c r="F309" t="s">
        <v>14</v>
      </c>
      <c r="G309" t="s">
        <v>20</v>
      </c>
      <c r="H309">
        <v>1112</v>
      </c>
      <c r="I309">
        <v>238.7</v>
      </c>
      <c r="J309">
        <v>14.17</v>
      </c>
      <c r="K309">
        <v>7</v>
      </c>
      <c r="L309">
        <v>33111.760000000002</v>
      </c>
    </row>
    <row r="310" spans="1:12" x14ac:dyDescent="0.3">
      <c r="A310">
        <v>309</v>
      </c>
      <c r="B310" t="s">
        <v>12</v>
      </c>
      <c r="C310">
        <v>2007</v>
      </c>
      <c r="D310">
        <v>164210</v>
      </c>
      <c r="E310" t="s">
        <v>17</v>
      </c>
      <c r="F310" t="s">
        <v>14</v>
      </c>
      <c r="G310" t="s">
        <v>15</v>
      </c>
      <c r="H310">
        <v>1720</v>
      </c>
      <c r="I310">
        <v>264</v>
      </c>
      <c r="J310">
        <v>7.65</v>
      </c>
      <c r="K310">
        <v>5</v>
      </c>
      <c r="L310">
        <v>84140.65</v>
      </c>
    </row>
    <row r="311" spans="1:12" x14ac:dyDescent="0.3">
      <c r="A311">
        <v>310</v>
      </c>
      <c r="B311" t="s">
        <v>29</v>
      </c>
      <c r="C311">
        <v>2014</v>
      </c>
      <c r="D311">
        <v>97601</v>
      </c>
      <c r="E311" t="s">
        <v>17</v>
      </c>
      <c r="F311" t="s">
        <v>18</v>
      </c>
      <c r="G311" t="s">
        <v>15</v>
      </c>
      <c r="H311">
        <v>1877</v>
      </c>
      <c r="I311">
        <v>72.099999999999994</v>
      </c>
      <c r="J311">
        <v>20.71</v>
      </c>
      <c r="K311">
        <v>6</v>
      </c>
      <c r="L311">
        <v>7646.21</v>
      </c>
    </row>
    <row r="312" spans="1:12" x14ac:dyDescent="0.3">
      <c r="A312">
        <v>311</v>
      </c>
      <c r="B312" t="s">
        <v>25</v>
      </c>
      <c r="C312">
        <v>2006</v>
      </c>
      <c r="D312">
        <v>34956</v>
      </c>
      <c r="E312" t="s">
        <v>13</v>
      </c>
      <c r="F312" t="s">
        <v>14</v>
      </c>
      <c r="G312" t="s">
        <v>23</v>
      </c>
      <c r="H312">
        <v>3629</v>
      </c>
      <c r="I312">
        <v>366.7</v>
      </c>
      <c r="J312">
        <v>8.0299999999999994</v>
      </c>
      <c r="K312">
        <v>5</v>
      </c>
      <c r="L312">
        <v>101210.74</v>
      </c>
    </row>
    <row r="313" spans="1:12" x14ac:dyDescent="0.3">
      <c r="A313">
        <v>312</v>
      </c>
      <c r="B313" t="s">
        <v>28</v>
      </c>
      <c r="C313">
        <v>2017</v>
      </c>
      <c r="D313">
        <v>109797</v>
      </c>
      <c r="E313" t="s">
        <v>22</v>
      </c>
      <c r="F313" t="s">
        <v>14</v>
      </c>
      <c r="G313" t="s">
        <v>23</v>
      </c>
      <c r="H313">
        <v>3181</v>
      </c>
      <c r="I313">
        <v>535.20000000000005</v>
      </c>
      <c r="J313">
        <v>29.65</v>
      </c>
      <c r="K313">
        <v>5</v>
      </c>
      <c r="L313">
        <v>55435.99</v>
      </c>
    </row>
    <row r="314" spans="1:12" x14ac:dyDescent="0.3">
      <c r="A314">
        <v>313</v>
      </c>
      <c r="B314" t="s">
        <v>30</v>
      </c>
      <c r="C314">
        <v>2017</v>
      </c>
      <c r="D314">
        <v>129917</v>
      </c>
      <c r="E314" t="s">
        <v>26</v>
      </c>
      <c r="F314" t="s">
        <v>18</v>
      </c>
      <c r="G314" t="s">
        <v>23</v>
      </c>
      <c r="H314">
        <v>4418</v>
      </c>
      <c r="I314">
        <v>125</v>
      </c>
      <c r="J314">
        <v>24.52</v>
      </c>
      <c r="K314">
        <v>7</v>
      </c>
      <c r="L314">
        <v>77493.070000000007</v>
      </c>
    </row>
    <row r="315" spans="1:12" x14ac:dyDescent="0.3">
      <c r="A315">
        <v>314</v>
      </c>
      <c r="B315" t="s">
        <v>24</v>
      </c>
      <c r="C315">
        <v>2022</v>
      </c>
      <c r="D315">
        <v>131303</v>
      </c>
      <c r="E315" t="s">
        <v>17</v>
      </c>
      <c r="F315" t="s">
        <v>14</v>
      </c>
      <c r="G315" t="s">
        <v>20</v>
      </c>
      <c r="H315">
        <v>1597</v>
      </c>
      <c r="I315">
        <v>374.8</v>
      </c>
      <c r="J315">
        <v>14.76</v>
      </c>
      <c r="K315">
        <v>5</v>
      </c>
      <c r="L315">
        <v>28884.82</v>
      </c>
    </row>
    <row r="316" spans="1:12" x14ac:dyDescent="0.3">
      <c r="A316">
        <v>315</v>
      </c>
      <c r="B316" t="s">
        <v>27</v>
      </c>
      <c r="C316">
        <v>2007</v>
      </c>
      <c r="D316">
        <v>141511</v>
      </c>
      <c r="E316" t="s">
        <v>22</v>
      </c>
      <c r="F316" t="s">
        <v>18</v>
      </c>
      <c r="G316" t="s">
        <v>15</v>
      </c>
      <c r="H316">
        <v>1072</v>
      </c>
      <c r="I316">
        <v>412.3</v>
      </c>
      <c r="J316">
        <v>19.46</v>
      </c>
      <c r="K316">
        <v>4</v>
      </c>
      <c r="L316">
        <v>82217.62</v>
      </c>
    </row>
    <row r="317" spans="1:12" x14ac:dyDescent="0.3">
      <c r="A317">
        <v>316</v>
      </c>
      <c r="B317" t="s">
        <v>24</v>
      </c>
      <c r="C317">
        <v>2011</v>
      </c>
      <c r="D317">
        <v>183313</v>
      </c>
      <c r="E317" t="s">
        <v>22</v>
      </c>
      <c r="F317" t="s">
        <v>14</v>
      </c>
      <c r="G317" t="s">
        <v>20</v>
      </c>
      <c r="H317">
        <v>3810</v>
      </c>
      <c r="I317">
        <v>274.8</v>
      </c>
      <c r="J317">
        <v>27.78</v>
      </c>
      <c r="K317">
        <v>5</v>
      </c>
      <c r="L317">
        <v>93352.11</v>
      </c>
    </row>
    <row r="318" spans="1:12" x14ac:dyDescent="0.3">
      <c r="A318">
        <v>317</v>
      </c>
      <c r="B318" t="s">
        <v>25</v>
      </c>
      <c r="C318">
        <v>2018</v>
      </c>
      <c r="D318">
        <v>47533</v>
      </c>
      <c r="E318" t="s">
        <v>13</v>
      </c>
      <c r="F318" t="s">
        <v>18</v>
      </c>
      <c r="G318" t="s">
        <v>15</v>
      </c>
      <c r="H318">
        <v>2573</v>
      </c>
      <c r="I318">
        <v>432.6</v>
      </c>
      <c r="J318">
        <v>18.850000000000001</v>
      </c>
      <c r="K318">
        <v>4</v>
      </c>
      <c r="L318">
        <v>58365.94</v>
      </c>
    </row>
    <row r="319" spans="1:12" x14ac:dyDescent="0.3">
      <c r="A319">
        <v>318</v>
      </c>
      <c r="B319" t="s">
        <v>19</v>
      </c>
      <c r="C319">
        <v>2024</v>
      </c>
      <c r="D319">
        <v>164342</v>
      </c>
      <c r="E319" t="s">
        <v>22</v>
      </c>
      <c r="F319" t="s">
        <v>14</v>
      </c>
      <c r="G319" t="s">
        <v>20</v>
      </c>
      <c r="H319">
        <v>3347</v>
      </c>
      <c r="I319">
        <v>270</v>
      </c>
      <c r="J319">
        <v>9.36</v>
      </c>
      <c r="K319">
        <v>7</v>
      </c>
      <c r="L319">
        <v>75274.05</v>
      </c>
    </row>
    <row r="320" spans="1:12" x14ac:dyDescent="0.3">
      <c r="A320">
        <v>319</v>
      </c>
      <c r="B320" t="s">
        <v>19</v>
      </c>
      <c r="C320">
        <v>2021</v>
      </c>
      <c r="D320">
        <v>83815</v>
      </c>
      <c r="E320" t="s">
        <v>13</v>
      </c>
      <c r="F320" t="s">
        <v>18</v>
      </c>
      <c r="G320" t="s">
        <v>23</v>
      </c>
      <c r="H320">
        <v>3964</v>
      </c>
      <c r="I320">
        <v>322.60000000000002</v>
      </c>
      <c r="J320">
        <v>14.47</v>
      </c>
      <c r="K320">
        <v>6</v>
      </c>
      <c r="L320">
        <v>56390.13</v>
      </c>
    </row>
    <row r="321" spans="1:12" x14ac:dyDescent="0.3">
      <c r="A321">
        <v>320</v>
      </c>
      <c r="B321" t="s">
        <v>28</v>
      </c>
      <c r="C321">
        <v>2016</v>
      </c>
      <c r="D321">
        <v>44279</v>
      </c>
      <c r="E321" t="s">
        <v>17</v>
      </c>
      <c r="F321" t="s">
        <v>18</v>
      </c>
      <c r="G321" t="s">
        <v>23</v>
      </c>
      <c r="H321">
        <v>1746</v>
      </c>
      <c r="I321">
        <v>44.1</v>
      </c>
      <c r="J321">
        <v>26.08</v>
      </c>
      <c r="K321">
        <v>4</v>
      </c>
      <c r="L321">
        <v>107608.69</v>
      </c>
    </row>
    <row r="322" spans="1:12" x14ac:dyDescent="0.3">
      <c r="A322">
        <v>321</v>
      </c>
      <c r="B322" t="s">
        <v>27</v>
      </c>
      <c r="C322">
        <v>2020</v>
      </c>
      <c r="D322">
        <v>114787</v>
      </c>
      <c r="E322" t="s">
        <v>17</v>
      </c>
      <c r="F322" t="s">
        <v>18</v>
      </c>
      <c r="G322" t="s">
        <v>23</v>
      </c>
      <c r="H322">
        <v>3465</v>
      </c>
      <c r="I322">
        <v>427.4</v>
      </c>
      <c r="J322">
        <v>21.11</v>
      </c>
      <c r="K322">
        <v>6</v>
      </c>
      <c r="L322">
        <v>61250.69</v>
      </c>
    </row>
    <row r="323" spans="1:12" x14ac:dyDescent="0.3">
      <c r="A323">
        <v>322</v>
      </c>
      <c r="B323" t="s">
        <v>12</v>
      </c>
      <c r="C323">
        <v>2016</v>
      </c>
      <c r="D323">
        <v>159960</v>
      </c>
      <c r="E323" t="s">
        <v>26</v>
      </c>
      <c r="F323" t="s">
        <v>18</v>
      </c>
      <c r="G323" t="s">
        <v>20</v>
      </c>
      <c r="H323">
        <v>1306</v>
      </c>
      <c r="I323">
        <v>410.4</v>
      </c>
      <c r="J323">
        <v>21.27</v>
      </c>
      <c r="K323">
        <v>6</v>
      </c>
      <c r="L323">
        <v>101491.62</v>
      </c>
    </row>
    <row r="324" spans="1:12" x14ac:dyDescent="0.3">
      <c r="A324">
        <v>323</v>
      </c>
      <c r="B324" t="s">
        <v>28</v>
      </c>
      <c r="C324">
        <v>2019</v>
      </c>
      <c r="D324">
        <v>153702</v>
      </c>
      <c r="E324" t="s">
        <v>26</v>
      </c>
      <c r="F324" t="s">
        <v>14</v>
      </c>
      <c r="G324" t="s">
        <v>15</v>
      </c>
      <c r="H324">
        <v>1043</v>
      </c>
      <c r="I324">
        <v>61.5</v>
      </c>
      <c r="J324">
        <v>26.67</v>
      </c>
      <c r="K324">
        <v>4</v>
      </c>
      <c r="L324">
        <v>96758.19</v>
      </c>
    </row>
    <row r="325" spans="1:12" x14ac:dyDescent="0.3">
      <c r="A325">
        <v>324</v>
      </c>
      <c r="B325" t="s">
        <v>24</v>
      </c>
      <c r="C325">
        <v>2014</v>
      </c>
      <c r="D325">
        <v>66063</v>
      </c>
      <c r="E325" t="s">
        <v>26</v>
      </c>
      <c r="F325" t="s">
        <v>14</v>
      </c>
      <c r="G325" t="s">
        <v>15</v>
      </c>
      <c r="H325">
        <v>1305</v>
      </c>
      <c r="I325">
        <v>246.2</v>
      </c>
      <c r="J325">
        <v>27.35</v>
      </c>
      <c r="K325">
        <v>7</v>
      </c>
      <c r="L325">
        <v>51029.06</v>
      </c>
    </row>
    <row r="326" spans="1:12" x14ac:dyDescent="0.3">
      <c r="A326">
        <v>325</v>
      </c>
      <c r="B326" t="s">
        <v>28</v>
      </c>
      <c r="C326">
        <v>2011</v>
      </c>
      <c r="D326">
        <v>132896</v>
      </c>
      <c r="E326" t="s">
        <v>22</v>
      </c>
      <c r="F326" t="s">
        <v>18</v>
      </c>
      <c r="G326" t="s">
        <v>23</v>
      </c>
      <c r="H326">
        <v>3958</v>
      </c>
      <c r="I326">
        <v>588.29999999999995</v>
      </c>
      <c r="J326">
        <v>27.99</v>
      </c>
      <c r="K326">
        <v>2</v>
      </c>
      <c r="L326">
        <v>29919.89</v>
      </c>
    </row>
    <row r="327" spans="1:12" x14ac:dyDescent="0.3">
      <c r="A327">
        <v>326</v>
      </c>
      <c r="B327" t="s">
        <v>24</v>
      </c>
      <c r="C327">
        <v>2024</v>
      </c>
      <c r="D327">
        <v>171216</v>
      </c>
      <c r="E327" t="s">
        <v>17</v>
      </c>
      <c r="F327" t="s">
        <v>14</v>
      </c>
      <c r="G327" t="s">
        <v>23</v>
      </c>
      <c r="H327">
        <v>4390</v>
      </c>
      <c r="I327">
        <v>275.60000000000002</v>
      </c>
      <c r="J327">
        <v>7.37</v>
      </c>
      <c r="K327">
        <v>6</v>
      </c>
      <c r="L327">
        <v>50511.61</v>
      </c>
    </row>
    <row r="328" spans="1:12" x14ac:dyDescent="0.3">
      <c r="A328">
        <v>327</v>
      </c>
      <c r="B328" t="s">
        <v>29</v>
      </c>
      <c r="C328">
        <v>2009</v>
      </c>
      <c r="D328">
        <v>188233</v>
      </c>
      <c r="E328" t="s">
        <v>13</v>
      </c>
      <c r="F328" t="s">
        <v>14</v>
      </c>
      <c r="G328" t="s">
        <v>23</v>
      </c>
      <c r="H328">
        <v>2672</v>
      </c>
      <c r="I328">
        <v>321.10000000000002</v>
      </c>
      <c r="J328">
        <v>18.600000000000001</v>
      </c>
      <c r="K328">
        <v>6</v>
      </c>
      <c r="L328">
        <v>99667.43</v>
      </c>
    </row>
    <row r="329" spans="1:12" x14ac:dyDescent="0.3">
      <c r="A329">
        <v>328</v>
      </c>
      <c r="B329" t="s">
        <v>19</v>
      </c>
      <c r="C329">
        <v>2005</v>
      </c>
      <c r="D329">
        <v>187051</v>
      </c>
      <c r="E329" t="s">
        <v>26</v>
      </c>
      <c r="F329" t="s">
        <v>14</v>
      </c>
      <c r="G329" t="s">
        <v>23</v>
      </c>
      <c r="H329">
        <v>4593</v>
      </c>
      <c r="I329">
        <v>549.6</v>
      </c>
      <c r="J329">
        <v>23.51</v>
      </c>
      <c r="K329">
        <v>7</v>
      </c>
      <c r="L329">
        <v>29633.01</v>
      </c>
    </row>
    <row r="330" spans="1:12" x14ac:dyDescent="0.3">
      <c r="A330">
        <v>329</v>
      </c>
      <c r="B330" t="s">
        <v>29</v>
      </c>
      <c r="C330">
        <v>2021</v>
      </c>
      <c r="D330">
        <v>102661</v>
      </c>
      <c r="E330" t="s">
        <v>13</v>
      </c>
      <c r="F330" t="s">
        <v>14</v>
      </c>
      <c r="G330" t="s">
        <v>15</v>
      </c>
      <c r="H330">
        <v>1992</v>
      </c>
      <c r="I330">
        <v>441.7</v>
      </c>
      <c r="J330">
        <v>23.92</v>
      </c>
      <c r="K330">
        <v>7</v>
      </c>
      <c r="L330">
        <v>64359.05</v>
      </c>
    </row>
    <row r="331" spans="1:12" x14ac:dyDescent="0.3">
      <c r="A331">
        <v>330</v>
      </c>
      <c r="B331" t="s">
        <v>30</v>
      </c>
      <c r="C331">
        <v>2007</v>
      </c>
      <c r="D331">
        <v>143051</v>
      </c>
      <c r="E331" t="s">
        <v>13</v>
      </c>
      <c r="F331" t="s">
        <v>14</v>
      </c>
      <c r="G331" t="s">
        <v>20</v>
      </c>
      <c r="H331">
        <v>2264</v>
      </c>
      <c r="I331">
        <v>366</v>
      </c>
      <c r="J331">
        <v>20.170000000000002</v>
      </c>
      <c r="K331">
        <v>5</v>
      </c>
      <c r="L331">
        <v>97313.32</v>
      </c>
    </row>
    <row r="332" spans="1:12" x14ac:dyDescent="0.3">
      <c r="A332">
        <v>331</v>
      </c>
      <c r="B332" t="s">
        <v>27</v>
      </c>
      <c r="C332">
        <v>2017</v>
      </c>
      <c r="D332">
        <v>162261</v>
      </c>
      <c r="E332" t="s">
        <v>26</v>
      </c>
      <c r="F332" t="s">
        <v>18</v>
      </c>
      <c r="G332" t="s">
        <v>20</v>
      </c>
      <c r="H332">
        <v>1190</v>
      </c>
      <c r="I332">
        <v>486.8</v>
      </c>
      <c r="J332">
        <v>9.17</v>
      </c>
      <c r="K332">
        <v>7</v>
      </c>
      <c r="L332">
        <v>44356.86</v>
      </c>
    </row>
    <row r="333" spans="1:12" x14ac:dyDescent="0.3">
      <c r="A333">
        <v>332</v>
      </c>
      <c r="B333" t="s">
        <v>12</v>
      </c>
      <c r="C333">
        <v>2018</v>
      </c>
      <c r="D333">
        <v>178672</v>
      </c>
      <c r="E333" t="s">
        <v>17</v>
      </c>
      <c r="F333" t="s">
        <v>18</v>
      </c>
      <c r="G333" t="s">
        <v>20</v>
      </c>
      <c r="H333">
        <v>4177</v>
      </c>
      <c r="I333">
        <v>524</v>
      </c>
      <c r="J333">
        <v>24.94</v>
      </c>
      <c r="K333">
        <v>6</v>
      </c>
      <c r="L333">
        <v>78138.53</v>
      </c>
    </row>
    <row r="334" spans="1:12" x14ac:dyDescent="0.3">
      <c r="A334">
        <v>333</v>
      </c>
      <c r="B334" t="s">
        <v>24</v>
      </c>
      <c r="C334">
        <v>2022</v>
      </c>
      <c r="D334">
        <v>195632</v>
      </c>
      <c r="E334" t="s">
        <v>26</v>
      </c>
      <c r="F334" t="s">
        <v>18</v>
      </c>
      <c r="G334" t="s">
        <v>20</v>
      </c>
      <c r="H334">
        <v>1472</v>
      </c>
      <c r="I334">
        <v>295.89999999999998</v>
      </c>
      <c r="J334">
        <v>23</v>
      </c>
      <c r="K334">
        <v>4</v>
      </c>
      <c r="L334">
        <v>31738.89</v>
      </c>
    </row>
    <row r="335" spans="1:12" x14ac:dyDescent="0.3">
      <c r="A335">
        <v>334</v>
      </c>
      <c r="B335" t="s">
        <v>12</v>
      </c>
      <c r="C335">
        <v>2008</v>
      </c>
      <c r="D335">
        <v>128257</v>
      </c>
      <c r="E335" t="s">
        <v>13</v>
      </c>
      <c r="F335" t="s">
        <v>18</v>
      </c>
      <c r="G335" t="s">
        <v>23</v>
      </c>
      <c r="H335">
        <v>3360</v>
      </c>
      <c r="I335">
        <v>306.10000000000002</v>
      </c>
      <c r="J335">
        <v>7.15</v>
      </c>
      <c r="K335">
        <v>2</v>
      </c>
      <c r="L335">
        <v>15785.7</v>
      </c>
    </row>
    <row r="336" spans="1:12" x14ac:dyDescent="0.3">
      <c r="A336">
        <v>335</v>
      </c>
      <c r="B336" t="s">
        <v>24</v>
      </c>
      <c r="C336">
        <v>2022</v>
      </c>
      <c r="D336">
        <v>197630</v>
      </c>
      <c r="E336" t="s">
        <v>26</v>
      </c>
      <c r="F336" t="s">
        <v>14</v>
      </c>
      <c r="G336" t="s">
        <v>23</v>
      </c>
      <c r="H336">
        <v>2011</v>
      </c>
      <c r="I336">
        <v>256.2</v>
      </c>
      <c r="J336">
        <v>16.600000000000001</v>
      </c>
      <c r="K336">
        <v>5</v>
      </c>
      <c r="L336">
        <v>95942.95</v>
      </c>
    </row>
    <row r="337" spans="1:12" x14ac:dyDescent="0.3">
      <c r="A337">
        <v>336</v>
      </c>
      <c r="B337" t="s">
        <v>25</v>
      </c>
      <c r="C337">
        <v>2009</v>
      </c>
      <c r="D337">
        <v>91205</v>
      </c>
      <c r="E337" t="s">
        <v>13</v>
      </c>
      <c r="F337" t="s">
        <v>14</v>
      </c>
      <c r="G337" t="s">
        <v>23</v>
      </c>
      <c r="H337">
        <v>1729</v>
      </c>
      <c r="I337">
        <v>581.4</v>
      </c>
      <c r="J337">
        <v>9.35</v>
      </c>
      <c r="K337">
        <v>4</v>
      </c>
      <c r="L337">
        <v>14579.33</v>
      </c>
    </row>
    <row r="338" spans="1:12" x14ac:dyDescent="0.3">
      <c r="A338">
        <v>337</v>
      </c>
      <c r="B338" t="s">
        <v>28</v>
      </c>
      <c r="C338">
        <v>2020</v>
      </c>
      <c r="D338">
        <v>11910</v>
      </c>
      <c r="E338" t="s">
        <v>13</v>
      </c>
      <c r="F338" t="s">
        <v>18</v>
      </c>
      <c r="G338" t="s">
        <v>20</v>
      </c>
      <c r="H338">
        <v>2339</v>
      </c>
      <c r="I338">
        <v>430.4</v>
      </c>
      <c r="J338">
        <v>13.44</v>
      </c>
      <c r="K338">
        <v>2</v>
      </c>
      <c r="L338">
        <v>34751.620000000003</v>
      </c>
    </row>
    <row r="339" spans="1:12" x14ac:dyDescent="0.3">
      <c r="A339">
        <v>338</v>
      </c>
      <c r="B339" t="s">
        <v>30</v>
      </c>
      <c r="C339">
        <v>2005</v>
      </c>
      <c r="D339">
        <v>193785</v>
      </c>
      <c r="E339" t="s">
        <v>26</v>
      </c>
      <c r="F339" t="s">
        <v>14</v>
      </c>
      <c r="G339" t="s">
        <v>23</v>
      </c>
      <c r="H339">
        <v>1712</v>
      </c>
      <c r="I339">
        <v>86.6</v>
      </c>
      <c r="J339">
        <v>5.45</v>
      </c>
      <c r="K339">
        <v>2</v>
      </c>
      <c r="L339">
        <v>103047.8</v>
      </c>
    </row>
    <row r="340" spans="1:12" x14ac:dyDescent="0.3">
      <c r="A340">
        <v>339</v>
      </c>
      <c r="B340" t="s">
        <v>19</v>
      </c>
      <c r="C340">
        <v>2018</v>
      </c>
      <c r="D340">
        <v>51857</v>
      </c>
      <c r="E340" t="s">
        <v>22</v>
      </c>
      <c r="F340" t="s">
        <v>14</v>
      </c>
      <c r="G340" t="s">
        <v>23</v>
      </c>
      <c r="H340">
        <v>1443</v>
      </c>
      <c r="I340">
        <v>523.29999999999995</v>
      </c>
      <c r="J340">
        <v>15.01</v>
      </c>
      <c r="K340">
        <v>2</v>
      </c>
      <c r="L340">
        <v>43536.91</v>
      </c>
    </row>
    <row r="341" spans="1:12" x14ac:dyDescent="0.3">
      <c r="A341">
        <v>340</v>
      </c>
      <c r="B341" t="s">
        <v>24</v>
      </c>
      <c r="C341">
        <v>2019</v>
      </c>
      <c r="D341">
        <v>39964</v>
      </c>
      <c r="E341" t="s">
        <v>26</v>
      </c>
      <c r="F341" t="s">
        <v>18</v>
      </c>
      <c r="G341" t="s">
        <v>15</v>
      </c>
      <c r="H341">
        <v>1301</v>
      </c>
      <c r="I341">
        <v>309.10000000000002</v>
      </c>
      <c r="J341">
        <v>18.75</v>
      </c>
      <c r="K341">
        <v>4</v>
      </c>
      <c r="L341">
        <v>116846.31</v>
      </c>
    </row>
    <row r="342" spans="1:12" x14ac:dyDescent="0.3">
      <c r="A342">
        <v>341</v>
      </c>
      <c r="B342" t="s">
        <v>12</v>
      </c>
      <c r="C342">
        <v>2013</v>
      </c>
      <c r="D342">
        <v>161299</v>
      </c>
      <c r="E342" t="s">
        <v>22</v>
      </c>
      <c r="F342" t="s">
        <v>14</v>
      </c>
      <c r="G342" t="s">
        <v>15</v>
      </c>
      <c r="H342">
        <v>1529</v>
      </c>
      <c r="I342">
        <v>78.5</v>
      </c>
      <c r="J342">
        <v>20.49</v>
      </c>
      <c r="K342">
        <v>5</v>
      </c>
      <c r="L342">
        <v>117628.92</v>
      </c>
    </row>
    <row r="343" spans="1:12" x14ac:dyDescent="0.3">
      <c r="A343">
        <v>342</v>
      </c>
      <c r="B343" t="s">
        <v>30</v>
      </c>
      <c r="C343">
        <v>2019</v>
      </c>
      <c r="D343">
        <v>142050</v>
      </c>
      <c r="E343" t="s">
        <v>13</v>
      </c>
      <c r="F343" t="s">
        <v>18</v>
      </c>
      <c r="G343" t="s">
        <v>23</v>
      </c>
      <c r="H343">
        <v>2083</v>
      </c>
      <c r="I343">
        <v>347.8</v>
      </c>
      <c r="J343">
        <v>21.59</v>
      </c>
      <c r="K343">
        <v>5</v>
      </c>
      <c r="L343">
        <v>34388.29</v>
      </c>
    </row>
    <row r="344" spans="1:12" x14ac:dyDescent="0.3">
      <c r="A344">
        <v>343</v>
      </c>
      <c r="B344" t="s">
        <v>16</v>
      </c>
      <c r="C344">
        <v>2021</v>
      </c>
      <c r="D344">
        <v>22153</v>
      </c>
      <c r="E344" t="s">
        <v>13</v>
      </c>
      <c r="F344" t="s">
        <v>18</v>
      </c>
      <c r="G344" t="s">
        <v>15</v>
      </c>
      <c r="H344">
        <v>2918</v>
      </c>
      <c r="I344">
        <v>273.60000000000002</v>
      </c>
      <c r="J344">
        <v>25.91</v>
      </c>
      <c r="K344">
        <v>2</v>
      </c>
      <c r="L344">
        <v>7794.45</v>
      </c>
    </row>
    <row r="345" spans="1:12" x14ac:dyDescent="0.3">
      <c r="A345">
        <v>344</v>
      </c>
      <c r="B345" t="s">
        <v>16</v>
      </c>
      <c r="C345">
        <v>2008</v>
      </c>
      <c r="D345">
        <v>64765</v>
      </c>
      <c r="E345" t="s">
        <v>22</v>
      </c>
      <c r="F345" t="s">
        <v>14</v>
      </c>
      <c r="G345" t="s">
        <v>15</v>
      </c>
      <c r="H345">
        <v>4636</v>
      </c>
      <c r="I345">
        <v>531.5</v>
      </c>
      <c r="J345">
        <v>10.39</v>
      </c>
      <c r="K345">
        <v>4</v>
      </c>
      <c r="L345">
        <v>85492.4</v>
      </c>
    </row>
    <row r="346" spans="1:12" x14ac:dyDescent="0.3">
      <c r="A346">
        <v>345</v>
      </c>
      <c r="B346" t="s">
        <v>29</v>
      </c>
      <c r="C346">
        <v>2016</v>
      </c>
      <c r="D346">
        <v>113212</v>
      </c>
      <c r="E346" t="s">
        <v>13</v>
      </c>
      <c r="F346" t="s">
        <v>14</v>
      </c>
      <c r="G346" t="s">
        <v>23</v>
      </c>
      <c r="H346">
        <v>1719</v>
      </c>
      <c r="I346">
        <v>154.19999999999999</v>
      </c>
      <c r="J346">
        <v>8.01</v>
      </c>
      <c r="K346">
        <v>2</v>
      </c>
      <c r="L346">
        <v>55765.42</v>
      </c>
    </row>
    <row r="347" spans="1:12" x14ac:dyDescent="0.3">
      <c r="A347">
        <v>346</v>
      </c>
      <c r="B347" t="s">
        <v>19</v>
      </c>
      <c r="C347">
        <v>2009</v>
      </c>
      <c r="D347">
        <v>44071</v>
      </c>
      <c r="E347" t="s">
        <v>22</v>
      </c>
      <c r="F347" t="s">
        <v>18</v>
      </c>
      <c r="G347" t="s">
        <v>23</v>
      </c>
      <c r="H347">
        <v>4850</v>
      </c>
      <c r="I347">
        <v>502.8</v>
      </c>
      <c r="J347">
        <v>26.29</v>
      </c>
      <c r="K347">
        <v>7</v>
      </c>
      <c r="L347">
        <v>14788.08</v>
      </c>
    </row>
    <row r="348" spans="1:12" x14ac:dyDescent="0.3">
      <c r="A348">
        <v>347</v>
      </c>
      <c r="B348" t="s">
        <v>25</v>
      </c>
      <c r="C348">
        <v>2009</v>
      </c>
      <c r="D348">
        <v>117990</v>
      </c>
      <c r="E348" t="s">
        <v>22</v>
      </c>
      <c r="F348" t="s">
        <v>18</v>
      </c>
      <c r="G348" t="s">
        <v>23</v>
      </c>
      <c r="H348">
        <v>3139</v>
      </c>
      <c r="I348">
        <v>352.3</v>
      </c>
      <c r="J348">
        <v>8.92</v>
      </c>
      <c r="K348">
        <v>5</v>
      </c>
      <c r="L348">
        <v>85780.17</v>
      </c>
    </row>
    <row r="349" spans="1:12" x14ac:dyDescent="0.3">
      <c r="A349">
        <v>348</v>
      </c>
      <c r="B349" t="s">
        <v>12</v>
      </c>
      <c r="C349">
        <v>2015</v>
      </c>
      <c r="D349">
        <v>74519</v>
      </c>
      <c r="E349" t="s">
        <v>13</v>
      </c>
      <c r="F349" t="s">
        <v>14</v>
      </c>
      <c r="G349" t="s">
        <v>23</v>
      </c>
      <c r="H349">
        <v>1555</v>
      </c>
      <c r="I349">
        <v>70.599999999999994</v>
      </c>
      <c r="J349">
        <v>29.37</v>
      </c>
      <c r="K349">
        <v>6</v>
      </c>
      <c r="L349">
        <v>6647.46</v>
      </c>
    </row>
    <row r="350" spans="1:12" x14ac:dyDescent="0.3">
      <c r="A350">
        <v>349</v>
      </c>
      <c r="B350" t="s">
        <v>28</v>
      </c>
      <c r="C350">
        <v>2010</v>
      </c>
      <c r="D350">
        <v>14503</v>
      </c>
      <c r="E350" t="s">
        <v>17</v>
      </c>
      <c r="F350" t="s">
        <v>18</v>
      </c>
      <c r="G350" t="s">
        <v>20</v>
      </c>
      <c r="H350">
        <v>2669</v>
      </c>
      <c r="I350">
        <v>584.20000000000005</v>
      </c>
      <c r="J350">
        <v>26.06</v>
      </c>
      <c r="K350">
        <v>2</v>
      </c>
      <c r="L350">
        <v>104813.01</v>
      </c>
    </row>
    <row r="351" spans="1:12" x14ac:dyDescent="0.3">
      <c r="A351">
        <v>350</v>
      </c>
      <c r="B351" t="s">
        <v>28</v>
      </c>
      <c r="C351">
        <v>2011</v>
      </c>
      <c r="D351">
        <v>196775</v>
      </c>
      <c r="E351" t="s">
        <v>22</v>
      </c>
      <c r="F351" t="s">
        <v>18</v>
      </c>
      <c r="G351" t="s">
        <v>20</v>
      </c>
      <c r="H351">
        <v>1307</v>
      </c>
      <c r="I351">
        <v>327.10000000000002</v>
      </c>
      <c r="J351">
        <v>17.52</v>
      </c>
      <c r="K351">
        <v>7</v>
      </c>
      <c r="L351">
        <v>19222.349999999999</v>
      </c>
    </row>
    <row r="352" spans="1:12" x14ac:dyDescent="0.3">
      <c r="A352">
        <v>351</v>
      </c>
      <c r="B352" t="s">
        <v>12</v>
      </c>
      <c r="C352">
        <v>2018</v>
      </c>
      <c r="D352">
        <v>100457</v>
      </c>
      <c r="E352" t="s">
        <v>26</v>
      </c>
      <c r="F352" t="s">
        <v>18</v>
      </c>
      <c r="G352" t="s">
        <v>23</v>
      </c>
      <c r="H352">
        <v>2236</v>
      </c>
      <c r="I352">
        <v>202.9</v>
      </c>
      <c r="J352">
        <v>29.54</v>
      </c>
      <c r="K352">
        <v>5</v>
      </c>
      <c r="L352">
        <v>17895.490000000002</v>
      </c>
    </row>
    <row r="353" spans="1:12" x14ac:dyDescent="0.3">
      <c r="A353">
        <v>352</v>
      </c>
      <c r="B353" t="s">
        <v>27</v>
      </c>
      <c r="C353">
        <v>2015</v>
      </c>
      <c r="D353">
        <v>193938</v>
      </c>
      <c r="E353" t="s">
        <v>26</v>
      </c>
      <c r="F353" t="s">
        <v>14</v>
      </c>
      <c r="G353" t="s">
        <v>15</v>
      </c>
      <c r="H353">
        <v>3375</v>
      </c>
      <c r="I353">
        <v>302.89999999999998</v>
      </c>
      <c r="J353">
        <v>7.43</v>
      </c>
      <c r="K353">
        <v>4</v>
      </c>
      <c r="L353">
        <v>23553.66</v>
      </c>
    </row>
    <row r="354" spans="1:12" x14ac:dyDescent="0.3">
      <c r="A354">
        <v>353</v>
      </c>
      <c r="B354" t="s">
        <v>25</v>
      </c>
      <c r="C354">
        <v>2017</v>
      </c>
      <c r="D354">
        <v>152977</v>
      </c>
      <c r="E354" t="s">
        <v>13</v>
      </c>
      <c r="F354" t="s">
        <v>18</v>
      </c>
      <c r="G354" t="s">
        <v>23</v>
      </c>
      <c r="H354">
        <v>4226</v>
      </c>
      <c r="I354">
        <v>520.4</v>
      </c>
      <c r="J354">
        <v>12.58</v>
      </c>
      <c r="K354">
        <v>5</v>
      </c>
      <c r="L354">
        <v>115351.16</v>
      </c>
    </row>
    <row r="355" spans="1:12" x14ac:dyDescent="0.3">
      <c r="A355">
        <v>354</v>
      </c>
      <c r="B355" t="s">
        <v>30</v>
      </c>
      <c r="C355">
        <v>2006</v>
      </c>
      <c r="D355">
        <v>50838</v>
      </c>
      <c r="E355" t="s">
        <v>17</v>
      </c>
      <c r="F355" t="s">
        <v>14</v>
      </c>
      <c r="G355" t="s">
        <v>23</v>
      </c>
      <c r="H355">
        <v>1358</v>
      </c>
      <c r="I355">
        <v>210.7</v>
      </c>
      <c r="J355">
        <v>20.96</v>
      </c>
      <c r="K355">
        <v>4</v>
      </c>
      <c r="L355">
        <v>84100.82</v>
      </c>
    </row>
    <row r="356" spans="1:12" x14ac:dyDescent="0.3">
      <c r="A356">
        <v>355</v>
      </c>
      <c r="B356" t="s">
        <v>24</v>
      </c>
      <c r="C356">
        <v>2011</v>
      </c>
      <c r="D356">
        <v>130200</v>
      </c>
      <c r="E356" t="s">
        <v>13</v>
      </c>
      <c r="F356" t="s">
        <v>18</v>
      </c>
      <c r="G356" t="s">
        <v>15</v>
      </c>
      <c r="H356">
        <v>3902</v>
      </c>
      <c r="I356">
        <v>147.9</v>
      </c>
      <c r="J356">
        <v>13.75</v>
      </c>
      <c r="K356">
        <v>4</v>
      </c>
      <c r="L356">
        <v>96760.47</v>
      </c>
    </row>
    <row r="357" spans="1:12" x14ac:dyDescent="0.3">
      <c r="A357">
        <v>356</v>
      </c>
      <c r="B357" t="s">
        <v>27</v>
      </c>
      <c r="C357">
        <v>2024</v>
      </c>
      <c r="D357">
        <v>194351</v>
      </c>
      <c r="E357" t="s">
        <v>17</v>
      </c>
      <c r="F357" t="s">
        <v>14</v>
      </c>
      <c r="G357" t="s">
        <v>20</v>
      </c>
      <c r="H357">
        <v>4422</v>
      </c>
      <c r="I357">
        <v>112.3</v>
      </c>
      <c r="J357">
        <v>28.21</v>
      </c>
      <c r="K357">
        <v>2</v>
      </c>
      <c r="L357">
        <v>49523.29</v>
      </c>
    </row>
    <row r="358" spans="1:12" x14ac:dyDescent="0.3">
      <c r="A358">
        <v>357</v>
      </c>
      <c r="B358" t="s">
        <v>24</v>
      </c>
      <c r="C358">
        <v>2008</v>
      </c>
      <c r="D358">
        <v>94489</v>
      </c>
      <c r="E358" t="s">
        <v>22</v>
      </c>
      <c r="F358" t="s">
        <v>18</v>
      </c>
      <c r="G358" t="s">
        <v>23</v>
      </c>
      <c r="H358">
        <v>4857</v>
      </c>
      <c r="I358">
        <v>206.8</v>
      </c>
      <c r="J358">
        <v>6.64</v>
      </c>
      <c r="K358">
        <v>2</v>
      </c>
      <c r="L358">
        <v>42348.59</v>
      </c>
    </row>
    <row r="359" spans="1:12" x14ac:dyDescent="0.3">
      <c r="A359">
        <v>358</v>
      </c>
      <c r="B359" t="s">
        <v>24</v>
      </c>
      <c r="C359">
        <v>2012</v>
      </c>
      <c r="D359">
        <v>31806</v>
      </c>
      <c r="E359" t="s">
        <v>22</v>
      </c>
      <c r="F359" t="s">
        <v>14</v>
      </c>
      <c r="G359" t="s">
        <v>23</v>
      </c>
      <c r="H359">
        <v>4515</v>
      </c>
      <c r="I359">
        <v>476.8</v>
      </c>
      <c r="J359">
        <v>18.739999999999998</v>
      </c>
      <c r="K359">
        <v>5</v>
      </c>
      <c r="L359">
        <v>30434.63</v>
      </c>
    </row>
    <row r="360" spans="1:12" x14ac:dyDescent="0.3">
      <c r="A360">
        <v>359</v>
      </c>
      <c r="B360" t="s">
        <v>27</v>
      </c>
      <c r="C360">
        <v>2024</v>
      </c>
      <c r="D360">
        <v>181072</v>
      </c>
      <c r="E360" t="s">
        <v>22</v>
      </c>
      <c r="F360" t="s">
        <v>14</v>
      </c>
      <c r="G360" t="s">
        <v>20</v>
      </c>
      <c r="H360">
        <v>2101</v>
      </c>
      <c r="I360">
        <v>304.10000000000002</v>
      </c>
      <c r="J360">
        <v>19.77</v>
      </c>
      <c r="K360">
        <v>7</v>
      </c>
      <c r="L360">
        <v>59235.82</v>
      </c>
    </row>
    <row r="361" spans="1:12" x14ac:dyDescent="0.3">
      <c r="A361">
        <v>360</v>
      </c>
      <c r="B361" t="s">
        <v>29</v>
      </c>
      <c r="C361">
        <v>2023</v>
      </c>
      <c r="D361">
        <v>158240</v>
      </c>
      <c r="E361" t="s">
        <v>22</v>
      </c>
      <c r="F361" t="s">
        <v>14</v>
      </c>
      <c r="G361" t="s">
        <v>20</v>
      </c>
      <c r="H361">
        <v>2955</v>
      </c>
      <c r="I361">
        <v>167.4</v>
      </c>
      <c r="J361">
        <v>21.32</v>
      </c>
      <c r="K361">
        <v>5</v>
      </c>
      <c r="L361">
        <v>67563.960000000006</v>
      </c>
    </row>
    <row r="362" spans="1:12" x14ac:dyDescent="0.3">
      <c r="A362">
        <v>361</v>
      </c>
      <c r="B362" t="s">
        <v>16</v>
      </c>
      <c r="C362">
        <v>2017</v>
      </c>
      <c r="D362">
        <v>75119</v>
      </c>
      <c r="E362" t="s">
        <v>26</v>
      </c>
      <c r="F362" t="s">
        <v>18</v>
      </c>
      <c r="G362" t="s">
        <v>15</v>
      </c>
      <c r="H362">
        <v>1492</v>
      </c>
      <c r="I362">
        <v>133.1</v>
      </c>
      <c r="J362">
        <v>11.39</v>
      </c>
      <c r="K362">
        <v>6</v>
      </c>
      <c r="L362">
        <v>76917.66</v>
      </c>
    </row>
    <row r="363" spans="1:12" x14ac:dyDescent="0.3">
      <c r="A363">
        <v>362</v>
      </c>
      <c r="B363" t="s">
        <v>24</v>
      </c>
      <c r="C363">
        <v>2018</v>
      </c>
      <c r="D363">
        <v>43714</v>
      </c>
      <c r="E363" t="s">
        <v>26</v>
      </c>
      <c r="F363" t="s">
        <v>18</v>
      </c>
      <c r="G363" t="s">
        <v>20</v>
      </c>
      <c r="H363">
        <v>2278</v>
      </c>
      <c r="I363">
        <v>226.3</v>
      </c>
      <c r="J363">
        <v>14.11</v>
      </c>
      <c r="K363">
        <v>4</v>
      </c>
      <c r="L363">
        <v>33082.86</v>
      </c>
    </row>
    <row r="364" spans="1:12" x14ac:dyDescent="0.3">
      <c r="A364">
        <v>363</v>
      </c>
      <c r="B364" t="s">
        <v>27</v>
      </c>
      <c r="C364">
        <v>2014</v>
      </c>
      <c r="D364">
        <v>190165</v>
      </c>
      <c r="E364" t="s">
        <v>13</v>
      </c>
      <c r="F364" t="s">
        <v>18</v>
      </c>
      <c r="G364" t="s">
        <v>20</v>
      </c>
      <c r="H364">
        <v>1056</v>
      </c>
      <c r="I364">
        <v>566.4</v>
      </c>
      <c r="J364">
        <v>26.09</v>
      </c>
      <c r="K364">
        <v>4</v>
      </c>
      <c r="L364">
        <v>113992.53</v>
      </c>
    </row>
    <row r="365" spans="1:12" x14ac:dyDescent="0.3">
      <c r="A365">
        <v>364</v>
      </c>
      <c r="B365" t="s">
        <v>27</v>
      </c>
      <c r="C365">
        <v>2015</v>
      </c>
      <c r="D365">
        <v>60419</v>
      </c>
      <c r="E365" t="s">
        <v>17</v>
      </c>
      <c r="F365" t="s">
        <v>14</v>
      </c>
      <c r="G365" t="s">
        <v>20</v>
      </c>
      <c r="H365">
        <v>3230</v>
      </c>
      <c r="I365">
        <v>232.1</v>
      </c>
      <c r="J365">
        <v>9.8699999999999992</v>
      </c>
      <c r="K365">
        <v>2</v>
      </c>
      <c r="L365">
        <v>22861.74</v>
      </c>
    </row>
    <row r="366" spans="1:12" x14ac:dyDescent="0.3">
      <c r="A366">
        <v>365</v>
      </c>
      <c r="B366" t="s">
        <v>21</v>
      </c>
      <c r="C366">
        <v>2006</v>
      </c>
      <c r="D366">
        <v>185217</v>
      </c>
      <c r="E366" t="s">
        <v>22</v>
      </c>
      <c r="F366" t="s">
        <v>18</v>
      </c>
      <c r="G366" t="s">
        <v>15</v>
      </c>
      <c r="H366">
        <v>1241</v>
      </c>
      <c r="I366">
        <v>593.29999999999995</v>
      </c>
      <c r="J366">
        <v>25.67</v>
      </c>
      <c r="K366">
        <v>7</v>
      </c>
      <c r="L366">
        <v>115981.42</v>
      </c>
    </row>
    <row r="367" spans="1:12" x14ac:dyDescent="0.3">
      <c r="A367">
        <v>366</v>
      </c>
      <c r="B367" t="s">
        <v>29</v>
      </c>
      <c r="C367">
        <v>2013</v>
      </c>
      <c r="D367">
        <v>110432</v>
      </c>
      <c r="E367" t="s">
        <v>22</v>
      </c>
      <c r="F367" t="s">
        <v>14</v>
      </c>
      <c r="G367" t="s">
        <v>20</v>
      </c>
      <c r="H367">
        <v>2681</v>
      </c>
      <c r="I367">
        <v>311.7</v>
      </c>
      <c r="J367">
        <v>19.07</v>
      </c>
      <c r="K367">
        <v>2</v>
      </c>
      <c r="L367">
        <v>4738.17</v>
      </c>
    </row>
    <row r="368" spans="1:12" x14ac:dyDescent="0.3">
      <c r="A368">
        <v>367</v>
      </c>
      <c r="B368" t="s">
        <v>19</v>
      </c>
      <c r="C368">
        <v>2021</v>
      </c>
      <c r="D368">
        <v>97949</v>
      </c>
      <c r="E368" t="s">
        <v>17</v>
      </c>
      <c r="F368" t="s">
        <v>18</v>
      </c>
      <c r="G368" t="s">
        <v>20</v>
      </c>
      <c r="H368">
        <v>3446</v>
      </c>
      <c r="I368">
        <v>140.30000000000001</v>
      </c>
      <c r="J368">
        <v>24.05</v>
      </c>
      <c r="K368">
        <v>6</v>
      </c>
      <c r="L368">
        <v>59291.71</v>
      </c>
    </row>
    <row r="369" spans="1:12" x14ac:dyDescent="0.3">
      <c r="A369">
        <v>368</v>
      </c>
      <c r="B369" t="s">
        <v>21</v>
      </c>
      <c r="C369">
        <v>2007</v>
      </c>
      <c r="D369">
        <v>138533</v>
      </c>
      <c r="E369" t="s">
        <v>17</v>
      </c>
      <c r="F369" t="s">
        <v>14</v>
      </c>
      <c r="G369" t="s">
        <v>15</v>
      </c>
      <c r="H369">
        <v>4620</v>
      </c>
      <c r="I369">
        <v>539</v>
      </c>
      <c r="J369">
        <v>22.84</v>
      </c>
      <c r="K369">
        <v>5</v>
      </c>
      <c r="L369">
        <v>42004.04</v>
      </c>
    </row>
    <row r="370" spans="1:12" x14ac:dyDescent="0.3">
      <c r="A370">
        <v>369</v>
      </c>
      <c r="B370" t="s">
        <v>21</v>
      </c>
      <c r="C370">
        <v>2010</v>
      </c>
      <c r="D370">
        <v>150363</v>
      </c>
      <c r="E370" t="s">
        <v>13</v>
      </c>
      <c r="F370" t="s">
        <v>14</v>
      </c>
      <c r="G370" t="s">
        <v>20</v>
      </c>
      <c r="H370">
        <v>2535</v>
      </c>
      <c r="I370">
        <v>297.8</v>
      </c>
      <c r="J370">
        <v>10.19</v>
      </c>
      <c r="K370">
        <v>5</v>
      </c>
      <c r="L370">
        <v>55547.44</v>
      </c>
    </row>
    <row r="371" spans="1:12" x14ac:dyDescent="0.3">
      <c r="A371">
        <v>370</v>
      </c>
      <c r="B371" t="s">
        <v>12</v>
      </c>
      <c r="C371">
        <v>2009</v>
      </c>
      <c r="D371">
        <v>182876</v>
      </c>
      <c r="E371" t="s">
        <v>17</v>
      </c>
      <c r="F371" t="s">
        <v>14</v>
      </c>
      <c r="G371" t="s">
        <v>20</v>
      </c>
      <c r="H371">
        <v>4535</v>
      </c>
      <c r="I371">
        <v>437.4</v>
      </c>
      <c r="J371">
        <v>19.22</v>
      </c>
      <c r="K371">
        <v>7</v>
      </c>
      <c r="L371">
        <v>69767.759999999995</v>
      </c>
    </row>
    <row r="372" spans="1:12" x14ac:dyDescent="0.3">
      <c r="A372">
        <v>371</v>
      </c>
      <c r="B372" t="s">
        <v>16</v>
      </c>
      <c r="C372">
        <v>2009</v>
      </c>
      <c r="D372">
        <v>81971</v>
      </c>
      <c r="E372" t="s">
        <v>22</v>
      </c>
      <c r="F372" t="s">
        <v>18</v>
      </c>
      <c r="G372" t="s">
        <v>15</v>
      </c>
      <c r="H372">
        <v>3445</v>
      </c>
      <c r="I372">
        <v>590.9</v>
      </c>
      <c r="J372">
        <v>26.69</v>
      </c>
      <c r="K372">
        <v>2</v>
      </c>
      <c r="L372">
        <v>53963.93</v>
      </c>
    </row>
    <row r="373" spans="1:12" x14ac:dyDescent="0.3">
      <c r="A373">
        <v>372</v>
      </c>
      <c r="B373" t="s">
        <v>27</v>
      </c>
      <c r="C373">
        <v>2019</v>
      </c>
      <c r="D373">
        <v>98471</v>
      </c>
      <c r="E373" t="s">
        <v>22</v>
      </c>
      <c r="F373" t="s">
        <v>18</v>
      </c>
      <c r="G373" t="s">
        <v>23</v>
      </c>
      <c r="H373">
        <v>818</v>
      </c>
      <c r="I373">
        <v>68.099999999999994</v>
      </c>
      <c r="J373">
        <v>15.8</v>
      </c>
      <c r="K373">
        <v>2</v>
      </c>
      <c r="L373">
        <v>51537.08</v>
      </c>
    </row>
    <row r="374" spans="1:12" x14ac:dyDescent="0.3">
      <c r="A374">
        <v>373</v>
      </c>
      <c r="B374" t="s">
        <v>16</v>
      </c>
      <c r="C374">
        <v>2021</v>
      </c>
      <c r="D374">
        <v>69946</v>
      </c>
      <c r="E374" t="s">
        <v>22</v>
      </c>
      <c r="F374" t="s">
        <v>18</v>
      </c>
      <c r="G374" t="s">
        <v>15</v>
      </c>
      <c r="H374">
        <v>1924</v>
      </c>
      <c r="I374">
        <v>94.1</v>
      </c>
      <c r="J374">
        <v>29.16</v>
      </c>
      <c r="K374">
        <v>6</v>
      </c>
      <c r="L374">
        <v>88728.639999999999</v>
      </c>
    </row>
    <row r="375" spans="1:12" x14ac:dyDescent="0.3">
      <c r="A375">
        <v>374</v>
      </c>
      <c r="B375" t="s">
        <v>25</v>
      </c>
      <c r="C375">
        <v>2013</v>
      </c>
      <c r="D375">
        <v>103989</v>
      </c>
      <c r="E375" t="s">
        <v>22</v>
      </c>
      <c r="F375" t="s">
        <v>14</v>
      </c>
      <c r="G375" t="s">
        <v>20</v>
      </c>
      <c r="H375">
        <v>4785</v>
      </c>
      <c r="I375">
        <v>443.5</v>
      </c>
      <c r="J375">
        <v>16.309999999999999</v>
      </c>
      <c r="K375">
        <v>5</v>
      </c>
      <c r="L375">
        <v>83247.520000000004</v>
      </c>
    </row>
    <row r="376" spans="1:12" x14ac:dyDescent="0.3">
      <c r="A376">
        <v>375</v>
      </c>
      <c r="B376" t="s">
        <v>12</v>
      </c>
      <c r="C376">
        <v>2007</v>
      </c>
      <c r="D376">
        <v>89080</v>
      </c>
      <c r="E376" t="s">
        <v>22</v>
      </c>
      <c r="F376" t="s">
        <v>14</v>
      </c>
      <c r="G376" t="s">
        <v>20</v>
      </c>
      <c r="H376">
        <v>3454</v>
      </c>
      <c r="I376">
        <v>197.8</v>
      </c>
      <c r="J376">
        <v>8.57</v>
      </c>
      <c r="K376">
        <v>2</v>
      </c>
      <c r="L376">
        <v>100492.74</v>
      </c>
    </row>
    <row r="377" spans="1:12" x14ac:dyDescent="0.3">
      <c r="A377">
        <v>376</v>
      </c>
      <c r="B377" t="s">
        <v>19</v>
      </c>
      <c r="C377">
        <v>2024</v>
      </c>
      <c r="D377">
        <v>197404</v>
      </c>
      <c r="E377" t="s">
        <v>13</v>
      </c>
      <c r="F377" t="s">
        <v>18</v>
      </c>
      <c r="G377" t="s">
        <v>20</v>
      </c>
      <c r="H377">
        <v>2880</v>
      </c>
      <c r="I377">
        <v>143.19999999999999</v>
      </c>
      <c r="J377">
        <v>14.74</v>
      </c>
      <c r="K377">
        <v>7</v>
      </c>
      <c r="L377">
        <v>32245.200000000001</v>
      </c>
    </row>
    <row r="378" spans="1:12" x14ac:dyDescent="0.3">
      <c r="A378">
        <v>377</v>
      </c>
      <c r="B378" t="s">
        <v>16</v>
      </c>
      <c r="C378">
        <v>2021</v>
      </c>
      <c r="D378">
        <v>82794</v>
      </c>
      <c r="E378" t="s">
        <v>22</v>
      </c>
      <c r="F378" t="s">
        <v>18</v>
      </c>
      <c r="G378" t="s">
        <v>15</v>
      </c>
      <c r="H378">
        <v>2347</v>
      </c>
      <c r="I378">
        <v>62</v>
      </c>
      <c r="J378">
        <v>28.79</v>
      </c>
      <c r="K378">
        <v>5</v>
      </c>
      <c r="L378">
        <v>74314.84</v>
      </c>
    </row>
    <row r="379" spans="1:12" x14ac:dyDescent="0.3">
      <c r="A379">
        <v>378</v>
      </c>
      <c r="B379" t="s">
        <v>28</v>
      </c>
      <c r="C379">
        <v>2014</v>
      </c>
      <c r="D379">
        <v>35841</v>
      </c>
      <c r="E379" t="s">
        <v>13</v>
      </c>
      <c r="F379" t="s">
        <v>18</v>
      </c>
      <c r="G379" t="s">
        <v>20</v>
      </c>
      <c r="H379">
        <v>1661</v>
      </c>
      <c r="I379">
        <v>52.2</v>
      </c>
      <c r="J379">
        <v>12.99</v>
      </c>
      <c r="K379">
        <v>6</v>
      </c>
      <c r="L379">
        <v>71467.789999999994</v>
      </c>
    </row>
    <row r="380" spans="1:12" x14ac:dyDescent="0.3">
      <c r="A380">
        <v>379</v>
      </c>
      <c r="B380" t="s">
        <v>24</v>
      </c>
      <c r="C380">
        <v>2007</v>
      </c>
      <c r="D380">
        <v>129447</v>
      </c>
      <c r="E380" t="s">
        <v>22</v>
      </c>
      <c r="F380" t="s">
        <v>14</v>
      </c>
      <c r="G380" t="s">
        <v>20</v>
      </c>
      <c r="H380">
        <v>954</v>
      </c>
      <c r="I380">
        <v>473.7</v>
      </c>
      <c r="J380">
        <v>26.7</v>
      </c>
      <c r="K380">
        <v>7</v>
      </c>
      <c r="L380">
        <v>46259.32</v>
      </c>
    </row>
    <row r="381" spans="1:12" x14ac:dyDescent="0.3">
      <c r="A381">
        <v>380</v>
      </c>
      <c r="B381" t="s">
        <v>25</v>
      </c>
      <c r="C381">
        <v>2022</v>
      </c>
      <c r="D381">
        <v>125029</v>
      </c>
      <c r="E381" t="s">
        <v>26</v>
      </c>
      <c r="F381" t="s">
        <v>14</v>
      </c>
      <c r="G381" t="s">
        <v>15</v>
      </c>
      <c r="H381">
        <v>4294</v>
      </c>
      <c r="I381">
        <v>115.3</v>
      </c>
      <c r="J381">
        <v>27.03</v>
      </c>
      <c r="K381">
        <v>4</v>
      </c>
      <c r="L381">
        <v>59868.73</v>
      </c>
    </row>
    <row r="382" spans="1:12" x14ac:dyDescent="0.3">
      <c r="A382">
        <v>381</v>
      </c>
      <c r="B382" t="s">
        <v>29</v>
      </c>
      <c r="C382">
        <v>2022</v>
      </c>
      <c r="D382">
        <v>184830</v>
      </c>
      <c r="E382" t="s">
        <v>26</v>
      </c>
      <c r="F382" t="s">
        <v>14</v>
      </c>
      <c r="G382" t="s">
        <v>23</v>
      </c>
      <c r="H382">
        <v>1704</v>
      </c>
      <c r="I382">
        <v>301.89999999999998</v>
      </c>
      <c r="J382">
        <v>13.75</v>
      </c>
      <c r="K382">
        <v>6</v>
      </c>
      <c r="L382">
        <v>39712.51</v>
      </c>
    </row>
    <row r="383" spans="1:12" x14ac:dyDescent="0.3">
      <c r="A383">
        <v>382</v>
      </c>
      <c r="B383" t="s">
        <v>19</v>
      </c>
      <c r="C383">
        <v>2021</v>
      </c>
      <c r="D383">
        <v>81272</v>
      </c>
      <c r="E383" t="s">
        <v>26</v>
      </c>
      <c r="F383" t="s">
        <v>14</v>
      </c>
      <c r="G383" t="s">
        <v>23</v>
      </c>
      <c r="H383">
        <v>2069</v>
      </c>
      <c r="I383">
        <v>379.3</v>
      </c>
      <c r="J383">
        <v>7.08</v>
      </c>
      <c r="K383">
        <v>7</v>
      </c>
      <c r="L383">
        <v>19595.79</v>
      </c>
    </row>
    <row r="384" spans="1:12" x14ac:dyDescent="0.3">
      <c r="A384">
        <v>383</v>
      </c>
      <c r="B384" t="s">
        <v>25</v>
      </c>
      <c r="C384">
        <v>2007</v>
      </c>
      <c r="D384">
        <v>42643</v>
      </c>
      <c r="E384" t="s">
        <v>26</v>
      </c>
      <c r="F384" t="s">
        <v>14</v>
      </c>
      <c r="G384" t="s">
        <v>20</v>
      </c>
      <c r="H384">
        <v>1204</v>
      </c>
      <c r="I384">
        <v>279.89999999999998</v>
      </c>
      <c r="J384">
        <v>23.11</v>
      </c>
      <c r="K384">
        <v>2</v>
      </c>
      <c r="L384">
        <v>28014.74</v>
      </c>
    </row>
    <row r="385" spans="1:12" x14ac:dyDescent="0.3">
      <c r="A385">
        <v>384</v>
      </c>
      <c r="B385" t="s">
        <v>24</v>
      </c>
      <c r="C385">
        <v>2007</v>
      </c>
      <c r="D385">
        <v>186480</v>
      </c>
      <c r="E385" t="s">
        <v>13</v>
      </c>
      <c r="F385" t="s">
        <v>18</v>
      </c>
      <c r="G385" t="s">
        <v>15</v>
      </c>
      <c r="H385">
        <v>1643</v>
      </c>
      <c r="I385">
        <v>55.2</v>
      </c>
      <c r="J385">
        <v>12.79</v>
      </c>
      <c r="K385">
        <v>4</v>
      </c>
      <c r="L385">
        <v>15345.1</v>
      </c>
    </row>
    <row r="386" spans="1:12" x14ac:dyDescent="0.3">
      <c r="A386">
        <v>385</v>
      </c>
      <c r="B386" t="s">
        <v>12</v>
      </c>
      <c r="C386">
        <v>2010</v>
      </c>
      <c r="D386">
        <v>48950</v>
      </c>
      <c r="E386" t="s">
        <v>13</v>
      </c>
      <c r="F386" t="s">
        <v>14</v>
      </c>
      <c r="G386" t="s">
        <v>20</v>
      </c>
      <c r="H386">
        <v>2582</v>
      </c>
      <c r="I386">
        <v>478.8</v>
      </c>
      <c r="J386">
        <v>24.57</v>
      </c>
      <c r="K386">
        <v>6</v>
      </c>
      <c r="L386">
        <v>82919.14</v>
      </c>
    </row>
    <row r="387" spans="1:12" x14ac:dyDescent="0.3">
      <c r="A387">
        <v>386</v>
      </c>
      <c r="B387" t="s">
        <v>24</v>
      </c>
      <c r="C387">
        <v>2017</v>
      </c>
      <c r="D387">
        <v>192921</v>
      </c>
      <c r="E387" t="s">
        <v>17</v>
      </c>
      <c r="F387" t="s">
        <v>14</v>
      </c>
      <c r="G387" t="s">
        <v>15</v>
      </c>
      <c r="H387">
        <v>2364</v>
      </c>
      <c r="I387">
        <v>45.9</v>
      </c>
      <c r="J387">
        <v>16.07</v>
      </c>
      <c r="K387">
        <v>2</v>
      </c>
      <c r="L387">
        <v>80305.100000000006</v>
      </c>
    </row>
    <row r="388" spans="1:12" x14ac:dyDescent="0.3">
      <c r="A388">
        <v>387</v>
      </c>
      <c r="B388" t="s">
        <v>21</v>
      </c>
      <c r="C388">
        <v>2019</v>
      </c>
      <c r="D388">
        <v>105500</v>
      </c>
      <c r="E388" t="s">
        <v>22</v>
      </c>
      <c r="F388" t="s">
        <v>14</v>
      </c>
      <c r="G388" t="s">
        <v>15</v>
      </c>
      <c r="H388">
        <v>1984</v>
      </c>
      <c r="I388">
        <v>466.7</v>
      </c>
      <c r="J388">
        <v>17.13</v>
      </c>
      <c r="K388">
        <v>4</v>
      </c>
      <c r="L388">
        <v>114220.95</v>
      </c>
    </row>
    <row r="389" spans="1:12" x14ac:dyDescent="0.3">
      <c r="A389">
        <v>388</v>
      </c>
      <c r="B389" t="s">
        <v>24</v>
      </c>
      <c r="C389">
        <v>2013</v>
      </c>
      <c r="D389">
        <v>164116</v>
      </c>
      <c r="E389" t="s">
        <v>26</v>
      </c>
      <c r="F389" t="s">
        <v>14</v>
      </c>
      <c r="G389" t="s">
        <v>23</v>
      </c>
      <c r="H389">
        <v>1546</v>
      </c>
      <c r="I389">
        <v>540.29999999999995</v>
      </c>
      <c r="J389">
        <v>24.45</v>
      </c>
      <c r="K389">
        <v>5</v>
      </c>
      <c r="L389">
        <v>88372.37</v>
      </c>
    </row>
    <row r="390" spans="1:12" x14ac:dyDescent="0.3">
      <c r="A390">
        <v>389</v>
      </c>
      <c r="B390" t="s">
        <v>21</v>
      </c>
      <c r="C390">
        <v>2008</v>
      </c>
      <c r="D390">
        <v>130588</v>
      </c>
      <c r="E390" t="s">
        <v>13</v>
      </c>
      <c r="F390" t="s">
        <v>14</v>
      </c>
      <c r="G390" t="s">
        <v>23</v>
      </c>
      <c r="H390">
        <v>2525</v>
      </c>
      <c r="I390">
        <v>282.39999999999998</v>
      </c>
      <c r="J390">
        <v>14.56</v>
      </c>
      <c r="K390">
        <v>2</v>
      </c>
      <c r="L390">
        <v>9089.36</v>
      </c>
    </row>
    <row r="391" spans="1:12" x14ac:dyDescent="0.3">
      <c r="A391">
        <v>390</v>
      </c>
      <c r="B391" t="s">
        <v>12</v>
      </c>
      <c r="C391">
        <v>2018</v>
      </c>
      <c r="D391">
        <v>20997</v>
      </c>
      <c r="E391" t="s">
        <v>22</v>
      </c>
      <c r="F391" t="s">
        <v>18</v>
      </c>
      <c r="G391" t="s">
        <v>15</v>
      </c>
      <c r="H391">
        <v>3988</v>
      </c>
      <c r="I391">
        <v>339.9</v>
      </c>
      <c r="J391">
        <v>16.079999999999998</v>
      </c>
      <c r="K391">
        <v>7</v>
      </c>
      <c r="L391">
        <v>106456.69</v>
      </c>
    </row>
    <row r="392" spans="1:12" x14ac:dyDescent="0.3">
      <c r="A392">
        <v>391</v>
      </c>
      <c r="B392" t="s">
        <v>30</v>
      </c>
      <c r="C392">
        <v>2009</v>
      </c>
      <c r="D392">
        <v>84751</v>
      </c>
      <c r="E392" t="s">
        <v>22</v>
      </c>
      <c r="F392" t="s">
        <v>14</v>
      </c>
      <c r="G392" t="s">
        <v>20</v>
      </c>
      <c r="H392">
        <v>1070</v>
      </c>
      <c r="I392">
        <v>307.10000000000002</v>
      </c>
      <c r="J392">
        <v>14.4</v>
      </c>
      <c r="K392">
        <v>6</v>
      </c>
      <c r="L392">
        <v>103932.99</v>
      </c>
    </row>
    <row r="393" spans="1:12" x14ac:dyDescent="0.3">
      <c r="A393">
        <v>392</v>
      </c>
      <c r="B393" t="s">
        <v>21</v>
      </c>
      <c r="C393">
        <v>2006</v>
      </c>
      <c r="D393">
        <v>103605</v>
      </c>
      <c r="E393" t="s">
        <v>13</v>
      </c>
      <c r="F393" t="s">
        <v>14</v>
      </c>
      <c r="G393" t="s">
        <v>23</v>
      </c>
      <c r="H393">
        <v>4756</v>
      </c>
      <c r="I393">
        <v>258</v>
      </c>
      <c r="J393">
        <v>14.18</v>
      </c>
      <c r="K393">
        <v>4</v>
      </c>
      <c r="L393">
        <v>54868.480000000003</v>
      </c>
    </row>
    <row r="394" spans="1:12" x14ac:dyDescent="0.3">
      <c r="A394">
        <v>393</v>
      </c>
      <c r="B394" t="s">
        <v>29</v>
      </c>
      <c r="C394">
        <v>2015</v>
      </c>
      <c r="D394">
        <v>159983</v>
      </c>
      <c r="E394" t="s">
        <v>26</v>
      </c>
      <c r="F394" t="s">
        <v>14</v>
      </c>
      <c r="G394" t="s">
        <v>20</v>
      </c>
      <c r="H394">
        <v>971</v>
      </c>
      <c r="I394">
        <v>537</v>
      </c>
      <c r="J394">
        <v>18.149999999999999</v>
      </c>
      <c r="K394">
        <v>2</v>
      </c>
      <c r="L394">
        <v>71545.98</v>
      </c>
    </row>
    <row r="395" spans="1:12" x14ac:dyDescent="0.3">
      <c r="A395">
        <v>394</v>
      </c>
      <c r="B395" t="s">
        <v>24</v>
      </c>
      <c r="C395">
        <v>2013</v>
      </c>
      <c r="D395">
        <v>60533</v>
      </c>
      <c r="E395" t="s">
        <v>17</v>
      </c>
      <c r="F395" t="s">
        <v>18</v>
      </c>
      <c r="G395" t="s">
        <v>23</v>
      </c>
      <c r="H395">
        <v>1073</v>
      </c>
      <c r="I395">
        <v>540.6</v>
      </c>
      <c r="J395">
        <v>25.22</v>
      </c>
      <c r="K395">
        <v>5</v>
      </c>
      <c r="L395">
        <v>117201.16</v>
      </c>
    </row>
    <row r="396" spans="1:12" x14ac:dyDescent="0.3">
      <c r="A396">
        <v>395</v>
      </c>
      <c r="B396" t="s">
        <v>24</v>
      </c>
      <c r="C396">
        <v>2007</v>
      </c>
      <c r="D396">
        <v>87566</v>
      </c>
      <c r="E396" t="s">
        <v>22</v>
      </c>
      <c r="F396" t="s">
        <v>18</v>
      </c>
      <c r="G396" t="s">
        <v>23</v>
      </c>
      <c r="H396">
        <v>3106</v>
      </c>
      <c r="I396">
        <v>228.1</v>
      </c>
      <c r="J396">
        <v>14.04</v>
      </c>
      <c r="K396">
        <v>6</v>
      </c>
      <c r="L396">
        <v>65279.61</v>
      </c>
    </row>
    <row r="397" spans="1:12" x14ac:dyDescent="0.3">
      <c r="A397">
        <v>396</v>
      </c>
      <c r="B397" t="s">
        <v>29</v>
      </c>
      <c r="C397">
        <v>2013</v>
      </c>
      <c r="D397">
        <v>150643</v>
      </c>
      <c r="E397" t="s">
        <v>17</v>
      </c>
      <c r="F397" t="s">
        <v>18</v>
      </c>
      <c r="G397" t="s">
        <v>20</v>
      </c>
      <c r="H397">
        <v>1958</v>
      </c>
      <c r="I397">
        <v>384.4</v>
      </c>
      <c r="J397">
        <v>18.11</v>
      </c>
      <c r="K397">
        <v>6</v>
      </c>
      <c r="L397">
        <v>108922.65</v>
      </c>
    </row>
    <row r="398" spans="1:12" x14ac:dyDescent="0.3">
      <c r="A398">
        <v>397</v>
      </c>
      <c r="B398" t="s">
        <v>28</v>
      </c>
      <c r="C398">
        <v>2007</v>
      </c>
      <c r="D398">
        <v>113255</v>
      </c>
      <c r="E398" t="s">
        <v>26</v>
      </c>
      <c r="F398" t="s">
        <v>14</v>
      </c>
      <c r="G398" t="s">
        <v>23</v>
      </c>
      <c r="H398">
        <v>2506</v>
      </c>
      <c r="I398">
        <v>559.1</v>
      </c>
      <c r="J398">
        <v>21.77</v>
      </c>
      <c r="K398">
        <v>2</v>
      </c>
      <c r="L398">
        <v>12715.53</v>
      </c>
    </row>
    <row r="399" spans="1:12" x14ac:dyDescent="0.3">
      <c r="A399">
        <v>398</v>
      </c>
      <c r="B399" t="s">
        <v>27</v>
      </c>
      <c r="C399">
        <v>2006</v>
      </c>
      <c r="D399">
        <v>194013</v>
      </c>
      <c r="E399" t="s">
        <v>26</v>
      </c>
      <c r="F399" t="s">
        <v>18</v>
      </c>
      <c r="G399" t="s">
        <v>23</v>
      </c>
      <c r="H399">
        <v>2571</v>
      </c>
      <c r="I399">
        <v>578.79999999999995</v>
      </c>
      <c r="J399">
        <v>11.74</v>
      </c>
      <c r="K399">
        <v>5</v>
      </c>
      <c r="L399">
        <v>25353.07</v>
      </c>
    </row>
    <row r="400" spans="1:12" x14ac:dyDescent="0.3">
      <c r="A400">
        <v>399</v>
      </c>
      <c r="B400" t="s">
        <v>30</v>
      </c>
      <c r="C400">
        <v>2016</v>
      </c>
      <c r="D400">
        <v>63005</v>
      </c>
      <c r="E400" t="s">
        <v>17</v>
      </c>
      <c r="F400" t="s">
        <v>14</v>
      </c>
      <c r="G400" t="s">
        <v>20</v>
      </c>
      <c r="H400">
        <v>1221</v>
      </c>
      <c r="I400">
        <v>325</v>
      </c>
      <c r="J400">
        <v>11.94</v>
      </c>
      <c r="K400">
        <v>4</v>
      </c>
      <c r="L400">
        <v>54568.33</v>
      </c>
    </row>
    <row r="401" spans="1:12" x14ac:dyDescent="0.3">
      <c r="A401">
        <v>400</v>
      </c>
      <c r="B401" t="s">
        <v>19</v>
      </c>
      <c r="C401">
        <v>2014</v>
      </c>
      <c r="D401">
        <v>194784</v>
      </c>
      <c r="E401" t="s">
        <v>26</v>
      </c>
      <c r="F401" t="s">
        <v>14</v>
      </c>
      <c r="G401" t="s">
        <v>23</v>
      </c>
      <c r="H401">
        <v>2009</v>
      </c>
      <c r="I401">
        <v>293.60000000000002</v>
      </c>
      <c r="J401">
        <v>28.34</v>
      </c>
      <c r="K401">
        <v>2</v>
      </c>
      <c r="L401">
        <v>71416.55</v>
      </c>
    </row>
    <row r="402" spans="1:12" x14ac:dyDescent="0.3">
      <c r="A402">
        <v>401</v>
      </c>
      <c r="B402" t="s">
        <v>21</v>
      </c>
      <c r="C402">
        <v>2013</v>
      </c>
      <c r="D402">
        <v>48541</v>
      </c>
      <c r="E402" t="s">
        <v>22</v>
      </c>
      <c r="F402" t="s">
        <v>18</v>
      </c>
      <c r="G402" t="s">
        <v>23</v>
      </c>
      <c r="H402">
        <v>1690</v>
      </c>
      <c r="I402">
        <v>196.1</v>
      </c>
      <c r="J402">
        <v>23.09</v>
      </c>
      <c r="K402">
        <v>4</v>
      </c>
      <c r="L402">
        <v>98498.66</v>
      </c>
    </row>
    <row r="403" spans="1:12" x14ac:dyDescent="0.3">
      <c r="A403">
        <v>402</v>
      </c>
      <c r="B403" t="s">
        <v>29</v>
      </c>
      <c r="C403">
        <v>2019</v>
      </c>
      <c r="D403">
        <v>28387</v>
      </c>
      <c r="E403" t="s">
        <v>17</v>
      </c>
      <c r="F403" t="s">
        <v>14</v>
      </c>
      <c r="G403" t="s">
        <v>23</v>
      </c>
      <c r="H403">
        <v>4067</v>
      </c>
      <c r="I403">
        <v>577</v>
      </c>
      <c r="J403">
        <v>19.43</v>
      </c>
      <c r="K403">
        <v>6</v>
      </c>
      <c r="L403">
        <v>118626.67</v>
      </c>
    </row>
    <row r="404" spans="1:12" x14ac:dyDescent="0.3">
      <c r="A404">
        <v>403</v>
      </c>
      <c r="B404" t="s">
        <v>12</v>
      </c>
      <c r="C404">
        <v>2012</v>
      </c>
      <c r="D404">
        <v>98980</v>
      </c>
      <c r="E404" t="s">
        <v>26</v>
      </c>
      <c r="F404" t="s">
        <v>14</v>
      </c>
      <c r="G404" t="s">
        <v>20</v>
      </c>
      <c r="H404">
        <v>2273</v>
      </c>
      <c r="I404">
        <v>120</v>
      </c>
      <c r="J404">
        <v>21.19</v>
      </c>
      <c r="K404">
        <v>4</v>
      </c>
      <c r="L404">
        <v>48495.63</v>
      </c>
    </row>
    <row r="405" spans="1:12" x14ac:dyDescent="0.3">
      <c r="A405">
        <v>404</v>
      </c>
      <c r="B405" t="s">
        <v>21</v>
      </c>
      <c r="C405">
        <v>2009</v>
      </c>
      <c r="D405">
        <v>184980</v>
      </c>
      <c r="E405" t="s">
        <v>17</v>
      </c>
      <c r="F405" t="s">
        <v>14</v>
      </c>
      <c r="G405" t="s">
        <v>15</v>
      </c>
      <c r="H405">
        <v>4043</v>
      </c>
      <c r="I405">
        <v>364.7</v>
      </c>
      <c r="J405">
        <v>5.73</v>
      </c>
      <c r="K405">
        <v>5</v>
      </c>
      <c r="L405">
        <v>8547.6299999999992</v>
      </c>
    </row>
    <row r="406" spans="1:12" x14ac:dyDescent="0.3">
      <c r="A406">
        <v>405</v>
      </c>
      <c r="B406" t="s">
        <v>27</v>
      </c>
      <c r="C406">
        <v>2015</v>
      </c>
      <c r="D406">
        <v>90457</v>
      </c>
      <c r="E406" t="s">
        <v>22</v>
      </c>
      <c r="F406" t="s">
        <v>18</v>
      </c>
      <c r="G406" t="s">
        <v>20</v>
      </c>
      <c r="H406">
        <v>2981</v>
      </c>
      <c r="I406">
        <v>198.2</v>
      </c>
      <c r="J406">
        <v>20.45</v>
      </c>
      <c r="K406">
        <v>7</v>
      </c>
      <c r="L406">
        <v>96737.07</v>
      </c>
    </row>
    <row r="407" spans="1:12" x14ac:dyDescent="0.3">
      <c r="A407">
        <v>406</v>
      </c>
      <c r="B407" t="s">
        <v>12</v>
      </c>
      <c r="C407">
        <v>2006</v>
      </c>
      <c r="D407">
        <v>149129</v>
      </c>
      <c r="E407" t="s">
        <v>26</v>
      </c>
      <c r="F407" t="s">
        <v>14</v>
      </c>
      <c r="G407" t="s">
        <v>15</v>
      </c>
      <c r="H407">
        <v>2249</v>
      </c>
      <c r="I407">
        <v>196.2</v>
      </c>
      <c r="J407">
        <v>17.739999999999998</v>
      </c>
      <c r="K407">
        <v>5</v>
      </c>
      <c r="L407">
        <v>73712.539999999994</v>
      </c>
    </row>
    <row r="408" spans="1:12" x14ac:dyDescent="0.3">
      <c r="A408">
        <v>407</v>
      </c>
      <c r="B408" t="s">
        <v>25</v>
      </c>
      <c r="C408">
        <v>2019</v>
      </c>
      <c r="D408">
        <v>69028</v>
      </c>
      <c r="E408" t="s">
        <v>22</v>
      </c>
      <c r="F408" t="s">
        <v>14</v>
      </c>
      <c r="G408" t="s">
        <v>23</v>
      </c>
      <c r="H408">
        <v>3896</v>
      </c>
      <c r="I408">
        <v>266.8</v>
      </c>
      <c r="J408">
        <v>18.64</v>
      </c>
      <c r="K408">
        <v>4</v>
      </c>
      <c r="L408">
        <v>26229.51</v>
      </c>
    </row>
    <row r="409" spans="1:12" x14ac:dyDescent="0.3">
      <c r="A409">
        <v>408</v>
      </c>
      <c r="B409" t="s">
        <v>24</v>
      </c>
      <c r="C409">
        <v>2010</v>
      </c>
      <c r="D409">
        <v>124246</v>
      </c>
      <c r="E409" t="s">
        <v>26</v>
      </c>
      <c r="F409" t="s">
        <v>18</v>
      </c>
      <c r="G409" t="s">
        <v>15</v>
      </c>
      <c r="H409">
        <v>4056</v>
      </c>
      <c r="I409">
        <v>599.29999999999995</v>
      </c>
      <c r="J409">
        <v>13.99</v>
      </c>
      <c r="K409">
        <v>2</v>
      </c>
      <c r="L409">
        <v>60894.93</v>
      </c>
    </row>
    <row r="410" spans="1:12" x14ac:dyDescent="0.3">
      <c r="A410">
        <v>409</v>
      </c>
      <c r="B410" t="s">
        <v>25</v>
      </c>
      <c r="C410">
        <v>2012</v>
      </c>
      <c r="D410">
        <v>60731</v>
      </c>
      <c r="E410" t="s">
        <v>13</v>
      </c>
      <c r="F410" t="s">
        <v>14</v>
      </c>
      <c r="G410" t="s">
        <v>20</v>
      </c>
      <c r="H410">
        <v>3956</v>
      </c>
      <c r="I410">
        <v>70.8</v>
      </c>
      <c r="J410">
        <v>7.04</v>
      </c>
      <c r="K410">
        <v>6</v>
      </c>
      <c r="L410">
        <v>89850.3</v>
      </c>
    </row>
    <row r="411" spans="1:12" x14ac:dyDescent="0.3">
      <c r="A411">
        <v>410</v>
      </c>
      <c r="B411" t="s">
        <v>21</v>
      </c>
      <c r="C411">
        <v>2009</v>
      </c>
      <c r="D411">
        <v>160930</v>
      </c>
      <c r="E411" t="s">
        <v>26</v>
      </c>
      <c r="F411" t="s">
        <v>14</v>
      </c>
      <c r="G411" t="s">
        <v>20</v>
      </c>
      <c r="H411">
        <v>2390</v>
      </c>
      <c r="I411">
        <v>364</v>
      </c>
      <c r="J411">
        <v>9.83</v>
      </c>
      <c r="K411">
        <v>7</v>
      </c>
      <c r="L411">
        <v>93138.18</v>
      </c>
    </row>
    <row r="412" spans="1:12" x14ac:dyDescent="0.3">
      <c r="A412">
        <v>411</v>
      </c>
      <c r="B412" t="s">
        <v>27</v>
      </c>
      <c r="C412">
        <v>2020</v>
      </c>
      <c r="D412">
        <v>184761</v>
      </c>
      <c r="E412" t="s">
        <v>17</v>
      </c>
      <c r="F412" t="s">
        <v>18</v>
      </c>
      <c r="G412" t="s">
        <v>23</v>
      </c>
      <c r="H412">
        <v>4781</v>
      </c>
      <c r="I412">
        <v>86.2</v>
      </c>
      <c r="J412">
        <v>28.77</v>
      </c>
      <c r="K412">
        <v>2</v>
      </c>
      <c r="L412">
        <v>61455.35</v>
      </c>
    </row>
    <row r="413" spans="1:12" x14ac:dyDescent="0.3">
      <c r="A413">
        <v>412</v>
      </c>
      <c r="B413" t="s">
        <v>30</v>
      </c>
      <c r="C413">
        <v>2022</v>
      </c>
      <c r="D413">
        <v>49638</v>
      </c>
      <c r="E413" t="s">
        <v>26</v>
      </c>
      <c r="F413" t="s">
        <v>14</v>
      </c>
      <c r="G413" t="s">
        <v>15</v>
      </c>
      <c r="H413">
        <v>2235</v>
      </c>
      <c r="I413">
        <v>126.5</v>
      </c>
      <c r="J413">
        <v>15.22</v>
      </c>
      <c r="K413">
        <v>2</v>
      </c>
      <c r="L413">
        <v>38710.1</v>
      </c>
    </row>
    <row r="414" spans="1:12" x14ac:dyDescent="0.3">
      <c r="A414">
        <v>413</v>
      </c>
      <c r="B414" t="s">
        <v>21</v>
      </c>
      <c r="C414">
        <v>2010</v>
      </c>
      <c r="D414">
        <v>182558</v>
      </c>
      <c r="E414" t="s">
        <v>22</v>
      </c>
      <c r="F414" t="s">
        <v>14</v>
      </c>
      <c r="G414" t="s">
        <v>23</v>
      </c>
      <c r="H414">
        <v>1023</v>
      </c>
      <c r="I414">
        <v>286.2</v>
      </c>
      <c r="J414">
        <v>16.670000000000002</v>
      </c>
      <c r="K414">
        <v>5</v>
      </c>
      <c r="L414">
        <v>116927.88</v>
      </c>
    </row>
    <row r="415" spans="1:12" x14ac:dyDescent="0.3">
      <c r="A415">
        <v>414</v>
      </c>
      <c r="B415" t="s">
        <v>29</v>
      </c>
      <c r="C415">
        <v>2009</v>
      </c>
      <c r="D415">
        <v>25567</v>
      </c>
      <c r="E415" t="s">
        <v>22</v>
      </c>
      <c r="F415" t="s">
        <v>14</v>
      </c>
      <c r="G415" t="s">
        <v>23</v>
      </c>
      <c r="H415">
        <v>1019</v>
      </c>
      <c r="I415">
        <v>325.89999999999998</v>
      </c>
      <c r="J415">
        <v>6.32</v>
      </c>
      <c r="K415">
        <v>4</v>
      </c>
      <c r="L415">
        <v>80613.429999999993</v>
      </c>
    </row>
    <row r="416" spans="1:12" x14ac:dyDescent="0.3">
      <c r="A416">
        <v>415</v>
      </c>
      <c r="B416" t="s">
        <v>16</v>
      </c>
      <c r="C416">
        <v>2020</v>
      </c>
      <c r="D416">
        <v>165811</v>
      </c>
      <c r="E416" t="s">
        <v>26</v>
      </c>
      <c r="F416" t="s">
        <v>14</v>
      </c>
      <c r="G416" t="s">
        <v>20</v>
      </c>
      <c r="H416">
        <v>2454</v>
      </c>
      <c r="I416">
        <v>184.9</v>
      </c>
      <c r="J416">
        <v>5.94</v>
      </c>
      <c r="K416">
        <v>5</v>
      </c>
      <c r="L416">
        <v>50763.79</v>
      </c>
    </row>
    <row r="417" spans="1:12" x14ac:dyDescent="0.3">
      <c r="A417">
        <v>416</v>
      </c>
      <c r="B417" t="s">
        <v>21</v>
      </c>
      <c r="C417">
        <v>2017</v>
      </c>
      <c r="D417">
        <v>62804</v>
      </c>
      <c r="E417" t="s">
        <v>17</v>
      </c>
      <c r="F417" t="s">
        <v>14</v>
      </c>
      <c r="G417" t="s">
        <v>15</v>
      </c>
      <c r="H417">
        <v>1064</v>
      </c>
      <c r="I417">
        <v>217.2</v>
      </c>
      <c r="J417">
        <v>22.93</v>
      </c>
      <c r="K417">
        <v>4</v>
      </c>
      <c r="L417">
        <v>35814.199999999997</v>
      </c>
    </row>
    <row r="418" spans="1:12" x14ac:dyDescent="0.3">
      <c r="A418">
        <v>417</v>
      </c>
      <c r="B418" t="s">
        <v>24</v>
      </c>
      <c r="C418">
        <v>2009</v>
      </c>
      <c r="D418">
        <v>113821</v>
      </c>
      <c r="E418" t="s">
        <v>13</v>
      </c>
      <c r="F418" t="s">
        <v>18</v>
      </c>
      <c r="G418" t="s">
        <v>15</v>
      </c>
      <c r="H418">
        <v>1753</v>
      </c>
      <c r="I418">
        <v>88.7</v>
      </c>
      <c r="J418">
        <v>18.45</v>
      </c>
      <c r="K418">
        <v>5</v>
      </c>
      <c r="L418">
        <v>88539.05</v>
      </c>
    </row>
    <row r="419" spans="1:12" x14ac:dyDescent="0.3">
      <c r="A419">
        <v>418</v>
      </c>
      <c r="B419" t="s">
        <v>24</v>
      </c>
      <c r="C419">
        <v>2017</v>
      </c>
      <c r="D419">
        <v>8754</v>
      </c>
      <c r="E419" t="s">
        <v>17</v>
      </c>
      <c r="F419" t="s">
        <v>18</v>
      </c>
      <c r="G419" t="s">
        <v>15</v>
      </c>
      <c r="H419">
        <v>4533</v>
      </c>
      <c r="I419">
        <v>209.8</v>
      </c>
      <c r="J419">
        <v>17.72</v>
      </c>
      <c r="K419">
        <v>2</v>
      </c>
      <c r="L419">
        <v>31335.46</v>
      </c>
    </row>
    <row r="420" spans="1:12" x14ac:dyDescent="0.3">
      <c r="A420">
        <v>419</v>
      </c>
      <c r="B420" t="s">
        <v>21</v>
      </c>
      <c r="C420">
        <v>2021</v>
      </c>
      <c r="D420">
        <v>32044</v>
      </c>
      <c r="E420" t="s">
        <v>13</v>
      </c>
      <c r="F420" t="s">
        <v>18</v>
      </c>
      <c r="G420" t="s">
        <v>15</v>
      </c>
      <c r="H420">
        <v>3574</v>
      </c>
      <c r="I420">
        <v>581.29999999999995</v>
      </c>
      <c r="J420">
        <v>11.08</v>
      </c>
      <c r="K420">
        <v>6</v>
      </c>
      <c r="L420">
        <v>23090.07</v>
      </c>
    </row>
    <row r="421" spans="1:12" x14ac:dyDescent="0.3">
      <c r="A421">
        <v>420</v>
      </c>
      <c r="B421" t="s">
        <v>12</v>
      </c>
      <c r="C421">
        <v>2022</v>
      </c>
      <c r="D421">
        <v>72260</v>
      </c>
      <c r="E421" t="s">
        <v>22</v>
      </c>
      <c r="F421" t="s">
        <v>18</v>
      </c>
      <c r="G421" t="s">
        <v>23</v>
      </c>
      <c r="H421">
        <v>3924</v>
      </c>
      <c r="I421">
        <v>569</v>
      </c>
      <c r="J421">
        <v>23.62</v>
      </c>
      <c r="K421">
        <v>4</v>
      </c>
      <c r="L421">
        <v>64990.57</v>
      </c>
    </row>
    <row r="422" spans="1:12" x14ac:dyDescent="0.3">
      <c r="A422">
        <v>421</v>
      </c>
      <c r="B422" t="s">
        <v>16</v>
      </c>
      <c r="C422">
        <v>2012</v>
      </c>
      <c r="D422">
        <v>71912</v>
      </c>
      <c r="E422" t="s">
        <v>17</v>
      </c>
      <c r="F422" t="s">
        <v>14</v>
      </c>
      <c r="G422" t="s">
        <v>23</v>
      </c>
      <c r="H422">
        <v>1279</v>
      </c>
      <c r="I422">
        <v>227.5</v>
      </c>
      <c r="J422">
        <v>9.2100000000000009</v>
      </c>
      <c r="K422">
        <v>7</v>
      </c>
      <c r="L422">
        <v>36928.519999999997</v>
      </c>
    </row>
    <row r="423" spans="1:12" x14ac:dyDescent="0.3">
      <c r="A423">
        <v>422</v>
      </c>
      <c r="B423" t="s">
        <v>29</v>
      </c>
      <c r="C423">
        <v>2017</v>
      </c>
      <c r="D423">
        <v>13706</v>
      </c>
      <c r="E423" t="s">
        <v>13</v>
      </c>
      <c r="F423" t="s">
        <v>14</v>
      </c>
      <c r="G423" t="s">
        <v>20</v>
      </c>
      <c r="H423">
        <v>4314</v>
      </c>
      <c r="I423">
        <v>359.7</v>
      </c>
      <c r="J423">
        <v>9.75</v>
      </c>
      <c r="K423">
        <v>7</v>
      </c>
      <c r="L423">
        <v>76581.899999999994</v>
      </c>
    </row>
    <row r="424" spans="1:12" x14ac:dyDescent="0.3">
      <c r="A424">
        <v>423</v>
      </c>
      <c r="B424" t="s">
        <v>21</v>
      </c>
      <c r="C424">
        <v>2023</v>
      </c>
      <c r="D424">
        <v>13894</v>
      </c>
      <c r="E424" t="s">
        <v>26</v>
      </c>
      <c r="F424" t="s">
        <v>14</v>
      </c>
      <c r="G424" t="s">
        <v>23</v>
      </c>
      <c r="H424">
        <v>2153</v>
      </c>
      <c r="I424">
        <v>549.4</v>
      </c>
      <c r="J424">
        <v>16.52</v>
      </c>
      <c r="K424">
        <v>2</v>
      </c>
      <c r="L424">
        <v>16798.82</v>
      </c>
    </row>
    <row r="425" spans="1:12" x14ac:dyDescent="0.3">
      <c r="A425">
        <v>424</v>
      </c>
      <c r="B425" t="s">
        <v>12</v>
      </c>
      <c r="C425">
        <v>2007</v>
      </c>
      <c r="D425">
        <v>154109</v>
      </c>
      <c r="E425" t="s">
        <v>22</v>
      </c>
      <c r="F425" t="s">
        <v>14</v>
      </c>
      <c r="G425" t="s">
        <v>23</v>
      </c>
      <c r="H425">
        <v>4122</v>
      </c>
      <c r="I425">
        <v>43.5</v>
      </c>
      <c r="J425">
        <v>12.16</v>
      </c>
      <c r="K425">
        <v>5</v>
      </c>
      <c r="L425">
        <v>79628.11</v>
      </c>
    </row>
    <row r="426" spans="1:12" x14ac:dyDescent="0.3">
      <c r="A426">
        <v>425</v>
      </c>
      <c r="B426" t="s">
        <v>24</v>
      </c>
      <c r="C426">
        <v>2012</v>
      </c>
      <c r="D426">
        <v>88986</v>
      </c>
      <c r="E426" t="s">
        <v>26</v>
      </c>
      <c r="F426" t="s">
        <v>14</v>
      </c>
      <c r="G426" t="s">
        <v>20</v>
      </c>
      <c r="H426">
        <v>4678</v>
      </c>
      <c r="I426">
        <v>494</v>
      </c>
      <c r="J426">
        <v>11.19</v>
      </c>
      <c r="K426">
        <v>5</v>
      </c>
      <c r="L426">
        <v>36145.69</v>
      </c>
    </row>
    <row r="427" spans="1:12" x14ac:dyDescent="0.3">
      <c r="A427">
        <v>426</v>
      </c>
      <c r="B427" t="s">
        <v>24</v>
      </c>
      <c r="C427">
        <v>2006</v>
      </c>
      <c r="D427">
        <v>86942</v>
      </c>
      <c r="E427" t="s">
        <v>22</v>
      </c>
      <c r="F427" t="s">
        <v>18</v>
      </c>
      <c r="G427" t="s">
        <v>20</v>
      </c>
      <c r="H427">
        <v>1689</v>
      </c>
      <c r="I427">
        <v>571.1</v>
      </c>
      <c r="J427">
        <v>21.13</v>
      </c>
      <c r="K427">
        <v>2</v>
      </c>
      <c r="L427">
        <v>3028.42</v>
      </c>
    </row>
    <row r="428" spans="1:12" x14ac:dyDescent="0.3">
      <c r="A428">
        <v>427</v>
      </c>
      <c r="B428" t="s">
        <v>27</v>
      </c>
      <c r="C428">
        <v>2012</v>
      </c>
      <c r="D428">
        <v>187684</v>
      </c>
      <c r="E428" t="s">
        <v>17</v>
      </c>
      <c r="F428" t="s">
        <v>18</v>
      </c>
      <c r="G428" t="s">
        <v>20</v>
      </c>
      <c r="H428">
        <v>4654</v>
      </c>
      <c r="I428">
        <v>91.1</v>
      </c>
      <c r="J428">
        <v>21.27</v>
      </c>
      <c r="K428">
        <v>7</v>
      </c>
      <c r="L428">
        <v>17851.52</v>
      </c>
    </row>
    <row r="429" spans="1:12" x14ac:dyDescent="0.3">
      <c r="A429">
        <v>428</v>
      </c>
      <c r="B429" t="s">
        <v>21</v>
      </c>
      <c r="C429">
        <v>2017</v>
      </c>
      <c r="D429">
        <v>34725</v>
      </c>
      <c r="E429" t="s">
        <v>17</v>
      </c>
      <c r="F429" t="s">
        <v>14</v>
      </c>
      <c r="G429" t="s">
        <v>23</v>
      </c>
      <c r="H429">
        <v>1724</v>
      </c>
      <c r="I429">
        <v>130.4</v>
      </c>
      <c r="J429">
        <v>25.61</v>
      </c>
      <c r="K429">
        <v>7</v>
      </c>
      <c r="L429">
        <v>112233</v>
      </c>
    </row>
    <row r="430" spans="1:12" x14ac:dyDescent="0.3">
      <c r="A430">
        <v>429</v>
      </c>
      <c r="B430" t="s">
        <v>16</v>
      </c>
      <c r="C430">
        <v>2017</v>
      </c>
      <c r="D430">
        <v>141998</v>
      </c>
      <c r="E430" t="s">
        <v>22</v>
      </c>
      <c r="F430" t="s">
        <v>14</v>
      </c>
      <c r="G430" t="s">
        <v>23</v>
      </c>
      <c r="H430">
        <v>2970</v>
      </c>
      <c r="I430">
        <v>578</v>
      </c>
      <c r="J430">
        <v>15.44</v>
      </c>
      <c r="K430">
        <v>5</v>
      </c>
      <c r="L430">
        <v>104480.49</v>
      </c>
    </row>
    <row r="431" spans="1:12" x14ac:dyDescent="0.3">
      <c r="A431">
        <v>430</v>
      </c>
      <c r="B431" t="s">
        <v>28</v>
      </c>
      <c r="C431">
        <v>2005</v>
      </c>
      <c r="D431">
        <v>109555</v>
      </c>
      <c r="E431" t="s">
        <v>22</v>
      </c>
      <c r="F431" t="s">
        <v>14</v>
      </c>
      <c r="G431" t="s">
        <v>20</v>
      </c>
      <c r="H431">
        <v>2702</v>
      </c>
      <c r="I431">
        <v>341</v>
      </c>
      <c r="J431">
        <v>6.83</v>
      </c>
      <c r="K431">
        <v>4</v>
      </c>
      <c r="L431">
        <v>30332.26</v>
      </c>
    </row>
    <row r="432" spans="1:12" x14ac:dyDescent="0.3">
      <c r="A432">
        <v>431</v>
      </c>
      <c r="B432" t="s">
        <v>16</v>
      </c>
      <c r="C432">
        <v>2010</v>
      </c>
      <c r="D432">
        <v>14496</v>
      </c>
      <c r="E432" t="s">
        <v>22</v>
      </c>
      <c r="F432" t="s">
        <v>18</v>
      </c>
      <c r="G432" t="s">
        <v>20</v>
      </c>
      <c r="H432">
        <v>3195</v>
      </c>
      <c r="I432">
        <v>48</v>
      </c>
      <c r="J432">
        <v>11.84</v>
      </c>
      <c r="K432">
        <v>6</v>
      </c>
      <c r="L432">
        <v>94069.51</v>
      </c>
    </row>
    <row r="433" spans="1:12" x14ac:dyDescent="0.3">
      <c r="A433">
        <v>432</v>
      </c>
      <c r="B433" t="s">
        <v>24</v>
      </c>
      <c r="C433">
        <v>2023</v>
      </c>
      <c r="D433">
        <v>61447</v>
      </c>
      <c r="E433" t="s">
        <v>17</v>
      </c>
      <c r="F433" t="s">
        <v>14</v>
      </c>
      <c r="G433" t="s">
        <v>20</v>
      </c>
      <c r="H433">
        <v>828</v>
      </c>
      <c r="I433">
        <v>184.3</v>
      </c>
      <c r="J433">
        <v>29.5</v>
      </c>
      <c r="K433">
        <v>4</v>
      </c>
      <c r="L433">
        <v>74202.880000000005</v>
      </c>
    </row>
    <row r="434" spans="1:12" x14ac:dyDescent="0.3">
      <c r="A434">
        <v>433</v>
      </c>
      <c r="B434" t="s">
        <v>24</v>
      </c>
      <c r="C434">
        <v>2020</v>
      </c>
      <c r="D434">
        <v>106604</v>
      </c>
      <c r="E434" t="s">
        <v>13</v>
      </c>
      <c r="F434" t="s">
        <v>14</v>
      </c>
      <c r="G434" t="s">
        <v>23</v>
      </c>
      <c r="H434">
        <v>834</v>
      </c>
      <c r="I434">
        <v>292</v>
      </c>
      <c r="J434">
        <v>19.91</v>
      </c>
      <c r="K434">
        <v>7</v>
      </c>
      <c r="L434">
        <v>116595.85</v>
      </c>
    </row>
    <row r="435" spans="1:12" x14ac:dyDescent="0.3">
      <c r="A435">
        <v>434</v>
      </c>
      <c r="B435" t="s">
        <v>25</v>
      </c>
      <c r="C435">
        <v>2012</v>
      </c>
      <c r="D435">
        <v>165878</v>
      </c>
      <c r="E435" t="s">
        <v>26</v>
      </c>
      <c r="F435" t="s">
        <v>14</v>
      </c>
      <c r="G435" t="s">
        <v>23</v>
      </c>
      <c r="H435">
        <v>4389</v>
      </c>
      <c r="I435">
        <v>428</v>
      </c>
      <c r="J435">
        <v>22.74</v>
      </c>
      <c r="K435">
        <v>4</v>
      </c>
      <c r="L435">
        <v>46711.86</v>
      </c>
    </row>
    <row r="436" spans="1:12" x14ac:dyDescent="0.3">
      <c r="A436">
        <v>435</v>
      </c>
      <c r="B436" t="s">
        <v>24</v>
      </c>
      <c r="C436">
        <v>2005</v>
      </c>
      <c r="D436">
        <v>93199</v>
      </c>
      <c r="E436" t="s">
        <v>26</v>
      </c>
      <c r="F436" t="s">
        <v>18</v>
      </c>
      <c r="G436" t="s">
        <v>15</v>
      </c>
      <c r="H436">
        <v>3470</v>
      </c>
      <c r="I436">
        <v>450.6</v>
      </c>
      <c r="J436">
        <v>5.18</v>
      </c>
      <c r="K436">
        <v>6</v>
      </c>
      <c r="L436">
        <v>82730.89</v>
      </c>
    </row>
    <row r="437" spans="1:12" x14ac:dyDescent="0.3">
      <c r="A437">
        <v>436</v>
      </c>
      <c r="B437" t="s">
        <v>29</v>
      </c>
      <c r="C437">
        <v>2020</v>
      </c>
      <c r="D437">
        <v>46321</v>
      </c>
      <c r="E437" t="s">
        <v>17</v>
      </c>
      <c r="F437" t="s">
        <v>14</v>
      </c>
      <c r="G437" t="s">
        <v>23</v>
      </c>
      <c r="H437">
        <v>4165</v>
      </c>
      <c r="I437">
        <v>597.4</v>
      </c>
      <c r="J437">
        <v>17.96</v>
      </c>
      <c r="K437">
        <v>4</v>
      </c>
      <c r="L437">
        <v>10433.68</v>
      </c>
    </row>
    <row r="438" spans="1:12" x14ac:dyDescent="0.3">
      <c r="A438">
        <v>437</v>
      </c>
      <c r="B438" t="s">
        <v>19</v>
      </c>
      <c r="C438">
        <v>2013</v>
      </c>
      <c r="D438">
        <v>158728</v>
      </c>
      <c r="E438" t="s">
        <v>26</v>
      </c>
      <c r="F438" t="s">
        <v>18</v>
      </c>
      <c r="G438" t="s">
        <v>23</v>
      </c>
      <c r="H438">
        <v>1388</v>
      </c>
      <c r="I438">
        <v>201</v>
      </c>
      <c r="J438">
        <v>5.94</v>
      </c>
      <c r="K438">
        <v>4</v>
      </c>
      <c r="L438">
        <v>49360.94</v>
      </c>
    </row>
    <row r="439" spans="1:12" x14ac:dyDescent="0.3">
      <c r="A439">
        <v>438</v>
      </c>
      <c r="B439" t="s">
        <v>21</v>
      </c>
      <c r="C439">
        <v>2017</v>
      </c>
      <c r="D439">
        <v>60147</v>
      </c>
      <c r="E439" t="s">
        <v>22</v>
      </c>
      <c r="F439" t="s">
        <v>18</v>
      </c>
      <c r="G439" t="s">
        <v>23</v>
      </c>
      <c r="H439">
        <v>4018</v>
      </c>
      <c r="I439">
        <v>341.4</v>
      </c>
      <c r="J439">
        <v>19.23</v>
      </c>
      <c r="K439">
        <v>4</v>
      </c>
      <c r="L439">
        <v>115766.67</v>
      </c>
    </row>
    <row r="440" spans="1:12" x14ac:dyDescent="0.3">
      <c r="A440">
        <v>439</v>
      </c>
      <c r="B440" t="s">
        <v>16</v>
      </c>
      <c r="C440">
        <v>2015</v>
      </c>
      <c r="D440">
        <v>96396</v>
      </c>
      <c r="E440" t="s">
        <v>13</v>
      </c>
      <c r="F440" t="s">
        <v>18</v>
      </c>
      <c r="G440" t="s">
        <v>20</v>
      </c>
      <c r="H440">
        <v>3938</v>
      </c>
      <c r="I440">
        <v>338.7</v>
      </c>
      <c r="J440">
        <v>28.02</v>
      </c>
      <c r="K440">
        <v>4</v>
      </c>
      <c r="L440">
        <v>66060.759999999995</v>
      </c>
    </row>
    <row r="441" spans="1:12" x14ac:dyDescent="0.3">
      <c r="A441">
        <v>440</v>
      </c>
      <c r="B441" t="s">
        <v>19</v>
      </c>
      <c r="C441">
        <v>2017</v>
      </c>
      <c r="D441">
        <v>185738</v>
      </c>
      <c r="E441" t="s">
        <v>26</v>
      </c>
      <c r="F441" t="s">
        <v>18</v>
      </c>
      <c r="G441" t="s">
        <v>23</v>
      </c>
      <c r="H441">
        <v>1703</v>
      </c>
      <c r="I441">
        <v>267.2</v>
      </c>
      <c r="J441">
        <v>29.21</v>
      </c>
      <c r="K441">
        <v>2</v>
      </c>
      <c r="L441">
        <v>36681.9</v>
      </c>
    </row>
    <row r="442" spans="1:12" x14ac:dyDescent="0.3">
      <c r="A442">
        <v>441</v>
      </c>
      <c r="B442" t="s">
        <v>12</v>
      </c>
      <c r="C442">
        <v>2014</v>
      </c>
      <c r="D442">
        <v>43787</v>
      </c>
      <c r="E442" t="s">
        <v>13</v>
      </c>
      <c r="F442" t="s">
        <v>18</v>
      </c>
      <c r="G442" t="s">
        <v>20</v>
      </c>
      <c r="H442">
        <v>4886</v>
      </c>
      <c r="I442">
        <v>134.69999999999999</v>
      </c>
      <c r="J442">
        <v>18.510000000000002</v>
      </c>
      <c r="K442">
        <v>7</v>
      </c>
      <c r="L442">
        <v>17071.7</v>
      </c>
    </row>
    <row r="443" spans="1:12" x14ac:dyDescent="0.3">
      <c r="A443">
        <v>442</v>
      </c>
      <c r="B443" t="s">
        <v>28</v>
      </c>
      <c r="C443">
        <v>2008</v>
      </c>
      <c r="D443">
        <v>199018</v>
      </c>
      <c r="E443" t="s">
        <v>22</v>
      </c>
      <c r="F443" t="s">
        <v>18</v>
      </c>
      <c r="G443" t="s">
        <v>15</v>
      </c>
      <c r="H443">
        <v>2969</v>
      </c>
      <c r="I443">
        <v>587.4</v>
      </c>
      <c r="J443">
        <v>16.46</v>
      </c>
      <c r="K443">
        <v>6</v>
      </c>
      <c r="L443">
        <v>85312.82</v>
      </c>
    </row>
    <row r="444" spans="1:12" x14ac:dyDescent="0.3">
      <c r="A444">
        <v>443</v>
      </c>
      <c r="B444" t="s">
        <v>29</v>
      </c>
      <c r="C444">
        <v>2010</v>
      </c>
      <c r="D444">
        <v>26727</v>
      </c>
      <c r="E444" t="s">
        <v>26</v>
      </c>
      <c r="F444" t="s">
        <v>14</v>
      </c>
      <c r="G444" t="s">
        <v>15</v>
      </c>
      <c r="H444">
        <v>1139</v>
      </c>
      <c r="I444">
        <v>517.9</v>
      </c>
      <c r="J444">
        <v>28.63</v>
      </c>
      <c r="K444">
        <v>7</v>
      </c>
      <c r="L444">
        <v>78448.160000000003</v>
      </c>
    </row>
    <row r="445" spans="1:12" x14ac:dyDescent="0.3">
      <c r="A445">
        <v>444</v>
      </c>
      <c r="B445" t="s">
        <v>16</v>
      </c>
      <c r="C445">
        <v>2011</v>
      </c>
      <c r="D445">
        <v>100081</v>
      </c>
      <c r="E445" t="s">
        <v>17</v>
      </c>
      <c r="F445" t="s">
        <v>14</v>
      </c>
      <c r="G445" t="s">
        <v>20</v>
      </c>
      <c r="H445">
        <v>2514</v>
      </c>
      <c r="I445">
        <v>319.10000000000002</v>
      </c>
      <c r="J445">
        <v>21.84</v>
      </c>
      <c r="K445">
        <v>2</v>
      </c>
      <c r="L445">
        <v>46750.83</v>
      </c>
    </row>
    <row r="446" spans="1:12" x14ac:dyDescent="0.3">
      <c r="A446">
        <v>445</v>
      </c>
      <c r="B446" t="s">
        <v>19</v>
      </c>
      <c r="C446">
        <v>2009</v>
      </c>
      <c r="D446">
        <v>127721</v>
      </c>
      <c r="E446" t="s">
        <v>13</v>
      </c>
      <c r="F446" t="s">
        <v>14</v>
      </c>
      <c r="G446" t="s">
        <v>20</v>
      </c>
      <c r="H446">
        <v>1356</v>
      </c>
      <c r="I446">
        <v>377.8</v>
      </c>
      <c r="J446">
        <v>6.62</v>
      </c>
      <c r="K446">
        <v>2</v>
      </c>
      <c r="L446">
        <v>114260.14</v>
      </c>
    </row>
    <row r="447" spans="1:12" x14ac:dyDescent="0.3">
      <c r="A447">
        <v>446</v>
      </c>
      <c r="B447" t="s">
        <v>28</v>
      </c>
      <c r="C447">
        <v>2015</v>
      </c>
      <c r="D447">
        <v>73056</v>
      </c>
      <c r="E447" t="s">
        <v>22</v>
      </c>
      <c r="F447" t="s">
        <v>18</v>
      </c>
      <c r="G447" t="s">
        <v>20</v>
      </c>
      <c r="H447">
        <v>3887</v>
      </c>
      <c r="I447">
        <v>167.3</v>
      </c>
      <c r="J447">
        <v>16.64</v>
      </c>
      <c r="K447">
        <v>2</v>
      </c>
      <c r="L447">
        <v>5597.73</v>
      </c>
    </row>
    <row r="448" spans="1:12" x14ac:dyDescent="0.3">
      <c r="A448">
        <v>447</v>
      </c>
      <c r="B448" t="s">
        <v>25</v>
      </c>
      <c r="C448">
        <v>2017</v>
      </c>
      <c r="D448">
        <v>139153</v>
      </c>
      <c r="E448" t="s">
        <v>13</v>
      </c>
      <c r="F448" t="s">
        <v>14</v>
      </c>
      <c r="G448" t="s">
        <v>23</v>
      </c>
      <c r="H448">
        <v>4066</v>
      </c>
      <c r="I448">
        <v>344.5</v>
      </c>
      <c r="J448">
        <v>11.01</v>
      </c>
      <c r="K448">
        <v>2</v>
      </c>
      <c r="L448">
        <v>38535.69</v>
      </c>
    </row>
    <row r="449" spans="1:12" x14ac:dyDescent="0.3">
      <c r="A449">
        <v>448</v>
      </c>
      <c r="B449" t="s">
        <v>29</v>
      </c>
      <c r="C449">
        <v>2023</v>
      </c>
      <c r="D449">
        <v>170268</v>
      </c>
      <c r="E449" t="s">
        <v>26</v>
      </c>
      <c r="F449" t="s">
        <v>18</v>
      </c>
      <c r="G449" t="s">
        <v>15</v>
      </c>
      <c r="H449">
        <v>4367</v>
      </c>
      <c r="I449">
        <v>429.2</v>
      </c>
      <c r="J449">
        <v>16.75</v>
      </c>
      <c r="K449">
        <v>4</v>
      </c>
      <c r="L449">
        <v>110765.13</v>
      </c>
    </row>
    <row r="450" spans="1:12" x14ac:dyDescent="0.3">
      <c r="A450">
        <v>449</v>
      </c>
      <c r="B450" t="s">
        <v>29</v>
      </c>
      <c r="C450">
        <v>2014</v>
      </c>
      <c r="D450">
        <v>172807</v>
      </c>
      <c r="E450" t="s">
        <v>26</v>
      </c>
      <c r="F450" t="s">
        <v>18</v>
      </c>
      <c r="G450" t="s">
        <v>20</v>
      </c>
      <c r="H450">
        <v>2856</v>
      </c>
      <c r="I450">
        <v>328.5</v>
      </c>
      <c r="J450">
        <v>16.39</v>
      </c>
      <c r="K450">
        <v>7</v>
      </c>
      <c r="L450">
        <v>40549.449999999997</v>
      </c>
    </row>
    <row r="451" spans="1:12" x14ac:dyDescent="0.3">
      <c r="A451">
        <v>450</v>
      </c>
      <c r="B451" t="s">
        <v>25</v>
      </c>
      <c r="C451">
        <v>2014</v>
      </c>
      <c r="D451">
        <v>85102</v>
      </c>
      <c r="E451" t="s">
        <v>17</v>
      </c>
      <c r="F451" t="s">
        <v>18</v>
      </c>
      <c r="G451" t="s">
        <v>23</v>
      </c>
      <c r="H451">
        <v>4699</v>
      </c>
      <c r="I451">
        <v>594.6</v>
      </c>
      <c r="J451">
        <v>19.55</v>
      </c>
      <c r="K451">
        <v>5</v>
      </c>
      <c r="L451">
        <v>32513.58</v>
      </c>
    </row>
    <row r="452" spans="1:12" x14ac:dyDescent="0.3">
      <c r="A452">
        <v>451</v>
      </c>
      <c r="B452" t="s">
        <v>21</v>
      </c>
      <c r="C452">
        <v>2015</v>
      </c>
      <c r="D452">
        <v>161570</v>
      </c>
      <c r="E452" t="s">
        <v>22</v>
      </c>
      <c r="F452" t="s">
        <v>14</v>
      </c>
      <c r="G452" t="s">
        <v>15</v>
      </c>
      <c r="H452">
        <v>1816</v>
      </c>
      <c r="I452">
        <v>382.4</v>
      </c>
      <c r="J452">
        <v>13.92</v>
      </c>
      <c r="K452">
        <v>6</v>
      </c>
      <c r="L452">
        <v>65503.79</v>
      </c>
    </row>
    <row r="453" spans="1:12" x14ac:dyDescent="0.3">
      <c r="A453">
        <v>452</v>
      </c>
      <c r="B453" t="s">
        <v>25</v>
      </c>
      <c r="C453">
        <v>2011</v>
      </c>
      <c r="D453">
        <v>81865</v>
      </c>
      <c r="E453" t="s">
        <v>22</v>
      </c>
      <c r="F453" t="s">
        <v>18</v>
      </c>
      <c r="G453" t="s">
        <v>23</v>
      </c>
      <c r="H453">
        <v>2862</v>
      </c>
      <c r="I453">
        <v>247.7</v>
      </c>
      <c r="J453">
        <v>9.11</v>
      </c>
      <c r="K453">
        <v>2</v>
      </c>
      <c r="L453">
        <v>99384.8</v>
      </c>
    </row>
    <row r="454" spans="1:12" x14ac:dyDescent="0.3">
      <c r="A454">
        <v>453</v>
      </c>
      <c r="B454" t="s">
        <v>29</v>
      </c>
      <c r="C454">
        <v>2022</v>
      </c>
      <c r="D454">
        <v>167728</v>
      </c>
      <c r="E454" t="s">
        <v>17</v>
      </c>
      <c r="F454" t="s">
        <v>18</v>
      </c>
      <c r="G454" t="s">
        <v>15</v>
      </c>
      <c r="H454">
        <v>1638</v>
      </c>
      <c r="I454">
        <v>472.4</v>
      </c>
      <c r="J454">
        <v>17.59</v>
      </c>
      <c r="K454">
        <v>7</v>
      </c>
      <c r="L454">
        <v>15068.17</v>
      </c>
    </row>
    <row r="455" spans="1:12" x14ac:dyDescent="0.3">
      <c r="A455">
        <v>454</v>
      </c>
      <c r="B455" t="s">
        <v>29</v>
      </c>
      <c r="C455">
        <v>2008</v>
      </c>
      <c r="D455">
        <v>72695</v>
      </c>
      <c r="E455" t="s">
        <v>17</v>
      </c>
      <c r="F455" t="s">
        <v>14</v>
      </c>
      <c r="G455" t="s">
        <v>23</v>
      </c>
      <c r="H455">
        <v>2437</v>
      </c>
      <c r="I455">
        <v>135.5</v>
      </c>
      <c r="J455">
        <v>25.76</v>
      </c>
      <c r="K455">
        <v>2</v>
      </c>
      <c r="L455">
        <v>113333.42</v>
      </c>
    </row>
    <row r="456" spans="1:12" x14ac:dyDescent="0.3">
      <c r="A456">
        <v>455</v>
      </c>
      <c r="B456" t="s">
        <v>19</v>
      </c>
      <c r="C456">
        <v>2006</v>
      </c>
      <c r="D456">
        <v>173972</v>
      </c>
      <c r="E456" t="s">
        <v>22</v>
      </c>
      <c r="F456" t="s">
        <v>14</v>
      </c>
      <c r="G456" t="s">
        <v>15</v>
      </c>
      <c r="H456">
        <v>4296</v>
      </c>
      <c r="I456">
        <v>255.3</v>
      </c>
      <c r="J456">
        <v>21.6</v>
      </c>
      <c r="K456">
        <v>2</v>
      </c>
      <c r="L456">
        <v>96023.53</v>
      </c>
    </row>
    <row r="457" spans="1:12" x14ac:dyDescent="0.3">
      <c r="A457">
        <v>456</v>
      </c>
      <c r="B457" t="s">
        <v>24</v>
      </c>
      <c r="C457">
        <v>2018</v>
      </c>
      <c r="D457">
        <v>122235</v>
      </c>
      <c r="E457" t="s">
        <v>13</v>
      </c>
      <c r="F457" t="s">
        <v>18</v>
      </c>
      <c r="G457" t="s">
        <v>15</v>
      </c>
      <c r="H457">
        <v>2613</v>
      </c>
      <c r="I457">
        <v>234.3</v>
      </c>
      <c r="J457">
        <v>13.46</v>
      </c>
      <c r="K457">
        <v>2</v>
      </c>
      <c r="L457">
        <v>24206.28</v>
      </c>
    </row>
    <row r="458" spans="1:12" x14ac:dyDescent="0.3">
      <c r="A458">
        <v>457</v>
      </c>
      <c r="B458" t="s">
        <v>28</v>
      </c>
      <c r="C458">
        <v>2017</v>
      </c>
      <c r="D458">
        <v>183773</v>
      </c>
      <c r="E458" t="s">
        <v>13</v>
      </c>
      <c r="F458" t="s">
        <v>18</v>
      </c>
      <c r="G458" t="s">
        <v>23</v>
      </c>
      <c r="H458">
        <v>4279</v>
      </c>
      <c r="I458">
        <v>281.8</v>
      </c>
      <c r="J458">
        <v>28.39</v>
      </c>
      <c r="K458">
        <v>2</v>
      </c>
      <c r="L458">
        <v>86304.93</v>
      </c>
    </row>
    <row r="459" spans="1:12" x14ac:dyDescent="0.3">
      <c r="A459">
        <v>458</v>
      </c>
      <c r="B459" t="s">
        <v>25</v>
      </c>
      <c r="C459">
        <v>2016</v>
      </c>
      <c r="D459">
        <v>113777</v>
      </c>
      <c r="E459" t="s">
        <v>17</v>
      </c>
      <c r="F459" t="s">
        <v>14</v>
      </c>
      <c r="G459" t="s">
        <v>20</v>
      </c>
      <c r="H459">
        <v>2251</v>
      </c>
      <c r="I459">
        <v>477.8</v>
      </c>
      <c r="J459">
        <v>27.81</v>
      </c>
      <c r="K459">
        <v>2</v>
      </c>
      <c r="L459">
        <v>48040.17</v>
      </c>
    </row>
    <row r="460" spans="1:12" x14ac:dyDescent="0.3">
      <c r="A460">
        <v>459</v>
      </c>
      <c r="B460" t="s">
        <v>28</v>
      </c>
      <c r="C460">
        <v>2011</v>
      </c>
      <c r="D460">
        <v>24033</v>
      </c>
      <c r="E460" t="s">
        <v>13</v>
      </c>
      <c r="F460" t="s">
        <v>14</v>
      </c>
      <c r="G460" t="s">
        <v>15</v>
      </c>
      <c r="H460">
        <v>3113</v>
      </c>
      <c r="I460">
        <v>311.10000000000002</v>
      </c>
      <c r="J460">
        <v>10.23</v>
      </c>
      <c r="K460">
        <v>6</v>
      </c>
      <c r="L460">
        <v>50068.480000000003</v>
      </c>
    </row>
    <row r="461" spans="1:12" x14ac:dyDescent="0.3">
      <c r="A461">
        <v>460</v>
      </c>
      <c r="B461" t="s">
        <v>25</v>
      </c>
      <c r="C461">
        <v>2006</v>
      </c>
      <c r="D461">
        <v>146877</v>
      </c>
      <c r="E461" t="s">
        <v>22</v>
      </c>
      <c r="F461" t="s">
        <v>14</v>
      </c>
      <c r="G461" t="s">
        <v>20</v>
      </c>
      <c r="H461">
        <v>2314</v>
      </c>
      <c r="I461">
        <v>484.6</v>
      </c>
      <c r="J461">
        <v>5.99</v>
      </c>
      <c r="K461">
        <v>7</v>
      </c>
      <c r="L461">
        <v>94644.94</v>
      </c>
    </row>
    <row r="462" spans="1:12" x14ac:dyDescent="0.3">
      <c r="A462">
        <v>461</v>
      </c>
      <c r="B462" t="s">
        <v>12</v>
      </c>
      <c r="C462">
        <v>2017</v>
      </c>
      <c r="D462">
        <v>171923</v>
      </c>
      <c r="E462" t="s">
        <v>26</v>
      </c>
      <c r="F462" t="s">
        <v>18</v>
      </c>
      <c r="G462" t="s">
        <v>23</v>
      </c>
      <c r="H462">
        <v>2031</v>
      </c>
      <c r="I462">
        <v>362.8</v>
      </c>
      <c r="J462">
        <v>23.53</v>
      </c>
      <c r="K462">
        <v>2</v>
      </c>
      <c r="L462">
        <v>115645.82</v>
      </c>
    </row>
    <row r="463" spans="1:12" x14ac:dyDescent="0.3">
      <c r="A463">
        <v>462</v>
      </c>
      <c r="B463" t="s">
        <v>29</v>
      </c>
      <c r="C463">
        <v>2018</v>
      </c>
      <c r="D463">
        <v>31832</v>
      </c>
      <c r="E463" t="s">
        <v>26</v>
      </c>
      <c r="F463" t="s">
        <v>14</v>
      </c>
      <c r="G463" t="s">
        <v>20</v>
      </c>
      <c r="H463">
        <v>2445</v>
      </c>
      <c r="I463">
        <v>231.6</v>
      </c>
      <c r="J463">
        <v>25.69</v>
      </c>
      <c r="K463">
        <v>2</v>
      </c>
      <c r="L463">
        <v>17818.740000000002</v>
      </c>
    </row>
    <row r="464" spans="1:12" x14ac:dyDescent="0.3">
      <c r="A464">
        <v>463</v>
      </c>
      <c r="B464" t="s">
        <v>24</v>
      </c>
      <c r="C464">
        <v>2021</v>
      </c>
      <c r="D464">
        <v>199509</v>
      </c>
      <c r="E464" t="s">
        <v>13</v>
      </c>
      <c r="F464" t="s">
        <v>14</v>
      </c>
      <c r="G464" t="s">
        <v>20</v>
      </c>
      <c r="H464">
        <v>3799</v>
      </c>
      <c r="I464">
        <v>493.6</v>
      </c>
      <c r="J464">
        <v>29.2</v>
      </c>
      <c r="K464">
        <v>2</v>
      </c>
      <c r="L464">
        <v>52213.74</v>
      </c>
    </row>
    <row r="465" spans="1:12" x14ac:dyDescent="0.3">
      <c r="A465">
        <v>464</v>
      </c>
      <c r="B465" t="s">
        <v>19</v>
      </c>
      <c r="C465">
        <v>2013</v>
      </c>
      <c r="D465">
        <v>120725</v>
      </c>
      <c r="E465" t="s">
        <v>17</v>
      </c>
      <c r="F465" t="s">
        <v>14</v>
      </c>
      <c r="G465" t="s">
        <v>20</v>
      </c>
      <c r="H465">
        <v>4240</v>
      </c>
      <c r="I465">
        <v>173.4</v>
      </c>
      <c r="J465">
        <v>27.25</v>
      </c>
      <c r="K465">
        <v>2</v>
      </c>
      <c r="L465">
        <v>59270.17</v>
      </c>
    </row>
    <row r="466" spans="1:12" x14ac:dyDescent="0.3">
      <c r="A466">
        <v>465</v>
      </c>
      <c r="B466" t="s">
        <v>24</v>
      </c>
      <c r="C466">
        <v>2021</v>
      </c>
      <c r="D466">
        <v>150016</v>
      </c>
      <c r="E466" t="s">
        <v>17</v>
      </c>
      <c r="F466" t="s">
        <v>18</v>
      </c>
      <c r="G466" t="s">
        <v>20</v>
      </c>
      <c r="H466">
        <v>4856</v>
      </c>
      <c r="I466">
        <v>165.7</v>
      </c>
      <c r="J466">
        <v>20.010000000000002</v>
      </c>
      <c r="K466">
        <v>4</v>
      </c>
      <c r="L466">
        <v>47028.480000000003</v>
      </c>
    </row>
    <row r="467" spans="1:12" x14ac:dyDescent="0.3">
      <c r="A467">
        <v>466</v>
      </c>
      <c r="B467" t="s">
        <v>24</v>
      </c>
      <c r="C467">
        <v>2012</v>
      </c>
      <c r="D467">
        <v>24873</v>
      </c>
      <c r="E467" t="s">
        <v>17</v>
      </c>
      <c r="F467" t="s">
        <v>14</v>
      </c>
      <c r="G467" t="s">
        <v>20</v>
      </c>
      <c r="H467">
        <v>1105</v>
      </c>
      <c r="I467">
        <v>322.5</v>
      </c>
      <c r="J467">
        <v>18.25</v>
      </c>
      <c r="K467">
        <v>4</v>
      </c>
      <c r="L467">
        <v>45493.13</v>
      </c>
    </row>
    <row r="468" spans="1:12" x14ac:dyDescent="0.3">
      <c r="A468">
        <v>467</v>
      </c>
      <c r="B468" t="s">
        <v>24</v>
      </c>
      <c r="C468">
        <v>2006</v>
      </c>
      <c r="D468">
        <v>45372</v>
      </c>
      <c r="E468" t="s">
        <v>17</v>
      </c>
      <c r="F468" t="s">
        <v>14</v>
      </c>
      <c r="G468" t="s">
        <v>15</v>
      </c>
      <c r="H468">
        <v>4336</v>
      </c>
      <c r="I468">
        <v>186.1</v>
      </c>
      <c r="J468">
        <v>5.7</v>
      </c>
      <c r="K468">
        <v>5</v>
      </c>
      <c r="L468">
        <v>9115.43</v>
      </c>
    </row>
    <row r="469" spans="1:12" x14ac:dyDescent="0.3">
      <c r="A469">
        <v>468</v>
      </c>
      <c r="B469" t="s">
        <v>28</v>
      </c>
      <c r="C469">
        <v>2017</v>
      </c>
      <c r="D469">
        <v>94464</v>
      </c>
      <c r="E469" t="s">
        <v>17</v>
      </c>
      <c r="F469" t="s">
        <v>14</v>
      </c>
      <c r="G469" t="s">
        <v>15</v>
      </c>
      <c r="H469">
        <v>2523</v>
      </c>
      <c r="I469">
        <v>45.1</v>
      </c>
      <c r="J469">
        <v>11.17</v>
      </c>
      <c r="K469">
        <v>2</v>
      </c>
      <c r="L469">
        <v>83208.02</v>
      </c>
    </row>
    <row r="470" spans="1:12" x14ac:dyDescent="0.3">
      <c r="A470">
        <v>469</v>
      </c>
      <c r="B470" t="s">
        <v>25</v>
      </c>
      <c r="C470">
        <v>2007</v>
      </c>
      <c r="D470">
        <v>151451</v>
      </c>
      <c r="E470" t="s">
        <v>13</v>
      </c>
      <c r="F470" t="s">
        <v>14</v>
      </c>
      <c r="G470" t="s">
        <v>15</v>
      </c>
      <c r="H470">
        <v>2489</v>
      </c>
      <c r="I470">
        <v>403</v>
      </c>
      <c r="J470">
        <v>16.489999999999998</v>
      </c>
      <c r="K470">
        <v>5</v>
      </c>
      <c r="L470">
        <v>54037.09</v>
      </c>
    </row>
    <row r="471" spans="1:12" x14ac:dyDescent="0.3">
      <c r="A471">
        <v>470</v>
      </c>
      <c r="B471" t="s">
        <v>30</v>
      </c>
      <c r="C471">
        <v>2020</v>
      </c>
      <c r="D471">
        <v>122322</v>
      </c>
      <c r="E471" t="s">
        <v>26</v>
      </c>
      <c r="F471" t="s">
        <v>14</v>
      </c>
      <c r="G471" t="s">
        <v>23</v>
      </c>
      <c r="H471">
        <v>2317</v>
      </c>
      <c r="I471">
        <v>326.2</v>
      </c>
      <c r="J471">
        <v>20.71</v>
      </c>
      <c r="K471">
        <v>6</v>
      </c>
      <c r="L471">
        <v>25790.87</v>
      </c>
    </row>
    <row r="472" spans="1:12" x14ac:dyDescent="0.3">
      <c r="A472">
        <v>471</v>
      </c>
      <c r="B472" t="s">
        <v>12</v>
      </c>
      <c r="C472">
        <v>2010</v>
      </c>
      <c r="D472">
        <v>172823</v>
      </c>
      <c r="E472" t="s">
        <v>26</v>
      </c>
      <c r="F472" t="s">
        <v>18</v>
      </c>
      <c r="G472" t="s">
        <v>20</v>
      </c>
      <c r="H472">
        <v>4717</v>
      </c>
      <c r="I472">
        <v>289.5</v>
      </c>
      <c r="J472">
        <v>18.93</v>
      </c>
      <c r="K472">
        <v>5</v>
      </c>
      <c r="L472">
        <v>98475.92</v>
      </c>
    </row>
    <row r="473" spans="1:12" x14ac:dyDescent="0.3">
      <c r="A473">
        <v>472</v>
      </c>
      <c r="B473" t="s">
        <v>16</v>
      </c>
      <c r="C473">
        <v>2023</v>
      </c>
      <c r="D473">
        <v>105082</v>
      </c>
      <c r="E473" t="s">
        <v>13</v>
      </c>
      <c r="F473" t="s">
        <v>18</v>
      </c>
      <c r="G473" t="s">
        <v>15</v>
      </c>
      <c r="H473">
        <v>1219</v>
      </c>
      <c r="I473">
        <v>581.5</v>
      </c>
      <c r="J473">
        <v>23.57</v>
      </c>
      <c r="K473">
        <v>7</v>
      </c>
      <c r="L473">
        <v>96899.61</v>
      </c>
    </row>
    <row r="474" spans="1:12" x14ac:dyDescent="0.3">
      <c r="A474">
        <v>473</v>
      </c>
      <c r="B474" t="s">
        <v>24</v>
      </c>
      <c r="C474">
        <v>2011</v>
      </c>
      <c r="D474">
        <v>10110</v>
      </c>
      <c r="E474" t="s">
        <v>17</v>
      </c>
      <c r="F474" t="s">
        <v>18</v>
      </c>
      <c r="G474" t="s">
        <v>23</v>
      </c>
      <c r="H474">
        <v>3736</v>
      </c>
      <c r="I474">
        <v>359.9</v>
      </c>
      <c r="J474">
        <v>11.99</v>
      </c>
      <c r="K474">
        <v>4</v>
      </c>
      <c r="L474">
        <v>59907.82</v>
      </c>
    </row>
    <row r="475" spans="1:12" x14ac:dyDescent="0.3">
      <c r="A475">
        <v>474</v>
      </c>
      <c r="B475" t="s">
        <v>21</v>
      </c>
      <c r="C475">
        <v>2014</v>
      </c>
      <c r="D475">
        <v>190413</v>
      </c>
      <c r="E475" t="s">
        <v>13</v>
      </c>
      <c r="F475" t="s">
        <v>14</v>
      </c>
      <c r="G475" t="s">
        <v>15</v>
      </c>
      <c r="H475">
        <v>4662</v>
      </c>
      <c r="I475">
        <v>523.5</v>
      </c>
      <c r="J475">
        <v>19.12</v>
      </c>
      <c r="K475">
        <v>4</v>
      </c>
      <c r="L475">
        <v>37918.730000000003</v>
      </c>
    </row>
    <row r="476" spans="1:12" x14ac:dyDescent="0.3">
      <c r="A476">
        <v>475</v>
      </c>
      <c r="B476" t="s">
        <v>28</v>
      </c>
      <c r="C476">
        <v>2013</v>
      </c>
      <c r="D476">
        <v>17087</v>
      </c>
      <c r="E476" t="s">
        <v>26</v>
      </c>
      <c r="F476" t="s">
        <v>18</v>
      </c>
      <c r="G476" t="s">
        <v>15</v>
      </c>
      <c r="H476">
        <v>2250</v>
      </c>
      <c r="I476">
        <v>118.1</v>
      </c>
      <c r="J476">
        <v>7.2</v>
      </c>
      <c r="K476">
        <v>2</v>
      </c>
      <c r="L476">
        <v>77656.850000000006</v>
      </c>
    </row>
    <row r="477" spans="1:12" x14ac:dyDescent="0.3">
      <c r="A477">
        <v>476</v>
      </c>
      <c r="B477" t="s">
        <v>19</v>
      </c>
      <c r="C477">
        <v>2006</v>
      </c>
      <c r="D477">
        <v>159834</v>
      </c>
      <c r="E477" t="s">
        <v>22</v>
      </c>
      <c r="F477" t="s">
        <v>18</v>
      </c>
      <c r="G477" t="s">
        <v>20</v>
      </c>
      <c r="H477">
        <v>3896</v>
      </c>
      <c r="I477">
        <v>358.8</v>
      </c>
      <c r="J477">
        <v>15.34</v>
      </c>
      <c r="K477">
        <v>2</v>
      </c>
      <c r="L477">
        <v>36713.800000000003</v>
      </c>
    </row>
    <row r="478" spans="1:12" x14ac:dyDescent="0.3">
      <c r="A478">
        <v>477</v>
      </c>
      <c r="B478" t="s">
        <v>16</v>
      </c>
      <c r="C478">
        <v>2019</v>
      </c>
      <c r="D478">
        <v>87617</v>
      </c>
      <c r="E478" t="s">
        <v>13</v>
      </c>
      <c r="F478" t="s">
        <v>18</v>
      </c>
      <c r="G478" t="s">
        <v>23</v>
      </c>
      <c r="H478">
        <v>4061</v>
      </c>
      <c r="I478">
        <v>526.1</v>
      </c>
      <c r="J478">
        <v>23.75</v>
      </c>
      <c r="K478">
        <v>6</v>
      </c>
      <c r="L478">
        <v>30612.93</v>
      </c>
    </row>
    <row r="479" spans="1:12" x14ac:dyDescent="0.3">
      <c r="A479">
        <v>478</v>
      </c>
      <c r="B479" t="s">
        <v>30</v>
      </c>
      <c r="C479">
        <v>2009</v>
      </c>
      <c r="D479">
        <v>105483</v>
      </c>
      <c r="E479" t="s">
        <v>17</v>
      </c>
      <c r="F479" t="s">
        <v>14</v>
      </c>
      <c r="G479" t="s">
        <v>20</v>
      </c>
      <c r="H479">
        <v>1964</v>
      </c>
      <c r="I479">
        <v>366.5</v>
      </c>
      <c r="J479">
        <v>22.34</v>
      </c>
      <c r="K479">
        <v>6</v>
      </c>
      <c r="L479">
        <v>88470.21</v>
      </c>
    </row>
    <row r="480" spans="1:12" x14ac:dyDescent="0.3">
      <c r="A480">
        <v>479</v>
      </c>
      <c r="B480" t="s">
        <v>21</v>
      </c>
      <c r="C480">
        <v>2008</v>
      </c>
      <c r="D480">
        <v>14596</v>
      </c>
      <c r="E480" t="s">
        <v>26</v>
      </c>
      <c r="F480" t="s">
        <v>14</v>
      </c>
      <c r="G480" t="s">
        <v>20</v>
      </c>
      <c r="H480">
        <v>2669</v>
      </c>
      <c r="I480">
        <v>442.1</v>
      </c>
      <c r="J480">
        <v>29.77</v>
      </c>
      <c r="K480">
        <v>7</v>
      </c>
      <c r="L480">
        <v>7718.05</v>
      </c>
    </row>
    <row r="481" spans="1:12" x14ac:dyDescent="0.3">
      <c r="A481">
        <v>480</v>
      </c>
      <c r="B481" t="s">
        <v>30</v>
      </c>
      <c r="C481">
        <v>2024</v>
      </c>
      <c r="D481">
        <v>112539</v>
      </c>
      <c r="E481" t="s">
        <v>26</v>
      </c>
      <c r="F481" t="s">
        <v>18</v>
      </c>
      <c r="G481" t="s">
        <v>15</v>
      </c>
      <c r="H481">
        <v>2619</v>
      </c>
      <c r="I481">
        <v>248.3</v>
      </c>
      <c r="J481">
        <v>11.95</v>
      </c>
      <c r="K481">
        <v>2</v>
      </c>
      <c r="L481">
        <v>14087.91</v>
      </c>
    </row>
    <row r="482" spans="1:12" x14ac:dyDescent="0.3">
      <c r="A482">
        <v>481</v>
      </c>
      <c r="B482" t="s">
        <v>16</v>
      </c>
      <c r="C482">
        <v>2008</v>
      </c>
      <c r="D482">
        <v>23313</v>
      </c>
      <c r="E482" t="s">
        <v>26</v>
      </c>
      <c r="F482" t="s">
        <v>18</v>
      </c>
      <c r="G482" t="s">
        <v>20</v>
      </c>
      <c r="H482">
        <v>3505</v>
      </c>
      <c r="I482">
        <v>91.8</v>
      </c>
      <c r="J482">
        <v>17.45</v>
      </c>
      <c r="K482">
        <v>2</v>
      </c>
      <c r="L482">
        <v>3794.22</v>
      </c>
    </row>
    <row r="483" spans="1:12" x14ac:dyDescent="0.3">
      <c r="A483">
        <v>482</v>
      </c>
      <c r="B483" t="s">
        <v>24</v>
      </c>
      <c r="C483">
        <v>2022</v>
      </c>
      <c r="D483">
        <v>118175</v>
      </c>
      <c r="E483" t="s">
        <v>26</v>
      </c>
      <c r="F483" t="s">
        <v>14</v>
      </c>
      <c r="G483" t="s">
        <v>23</v>
      </c>
      <c r="H483">
        <v>4315</v>
      </c>
      <c r="I483">
        <v>296.39999999999998</v>
      </c>
      <c r="J483">
        <v>13.24</v>
      </c>
      <c r="K483">
        <v>6</v>
      </c>
      <c r="L483">
        <v>20894.349999999999</v>
      </c>
    </row>
    <row r="484" spans="1:12" x14ac:dyDescent="0.3">
      <c r="A484">
        <v>483</v>
      </c>
      <c r="B484" t="s">
        <v>21</v>
      </c>
      <c r="C484">
        <v>2008</v>
      </c>
      <c r="D484">
        <v>119914</v>
      </c>
      <c r="E484" t="s">
        <v>17</v>
      </c>
      <c r="F484" t="s">
        <v>14</v>
      </c>
      <c r="G484" t="s">
        <v>20</v>
      </c>
      <c r="H484">
        <v>2142</v>
      </c>
      <c r="I484">
        <v>260.89999999999998</v>
      </c>
      <c r="J484">
        <v>16.02</v>
      </c>
      <c r="K484">
        <v>6</v>
      </c>
      <c r="L484">
        <v>11071.83</v>
      </c>
    </row>
    <row r="485" spans="1:12" x14ac:dyDescent="0.3">
      <c r="A485">
        <v>484</v>
      </c>
      <c r="B485" t="s">
        <v>30</v>
      </c>
      <c r="C485">
        <v>2021</v>
      </c>
      <c r="D485">
        <v>28705</v>
      </c>
      <c r="E485" t="s">
        <v>22</v>
      </c>
      <c r="F485" t="s">
        <v>18</v>
      </c>
      <c r="G485" t="s">
        <v>20</v>
      </c>
      <c r="H485">
        <v>3026</v>
      </c>
      <c r="I485">
        <v>525.6</v>
      </c>
      <c r="J485">
        <v>26.42</v>
      </c>
      <c r="K485">
        <v>6</v>
      </c>
      <c r="L485">
        <v>119508.88</v>
      </c>
    </row>
    <row r="486" spans="1:12" x14ac:dyDescent="0.3">
      <c r="A486">
        <v>485</v>
      </c>
      <c r="B486" t="s">
        <v>19</v>
      </c>
      <c r="C486">
        <v>2016</v>
      </c>
      <c r="D486">
        <v>78445</v>
      </c>
      <c r="E486" t="s">
        <v>26</v>
      </c>
      <c r="F486" t="s">
        <v>14</v>
      </c>
      <c r="G486" t="s">
        <v>20</v>
      </c>
      <c r="H486">
        <v>1879</v>
      </c>
      <c r="I486">
        <v>176.6</v>
      </c>
      <c r="J486">
        <v>22.11</v>
      </c>
      <c r="K486">
        <v>4</v>
      </c>
      <c r="L486">
        <v>36790.769999999997</v>
      </c>
    </row>
    <row r="487" spans="1:12" x14ac:dyDescent="0.3">
      <c r="A487">
        <v>486</v>
      </c>
      <c r="B487" t="s">
        <v>25</v>
      </c>
      <c r="C487">
        <v>2021</v>
      </c>
      <c r="D487">
        <v>108892</v>
      </c>
      <c r="E487" t="s">
        <v>13</v>
      </c>
      <c r="F487" t="s">
        <v>18</v>
      </c>
      <c r="G487" t="s">
        <v>15</v>
      </c>
      <c r="H487">
        <v>3579</v>
      </c>
      <c r="I487">
        <v>581.4</v>
      </c>
      <c r="J487">
        <v>27.06</v>
      </c>
      <c r="K487">
        <v>5</v>
      </c>
      <c r="L487">
        <v>20464.36</v>
      </c>
    </row>
    <row r="488" spans="1:12" x14ac:dyDescent="0.3">
      <c r="A488">
        <v>487</v>
      </c>
      <c r="B488" t="s">
        <v>29</v>
      </c>
      <c r="C488">
        <v>2014</v>
      </c>
      <c r="D488">
        <v>7023</v>
      </c>
      <c r="E488" t="s">
        <v>22</v>
      </c>
      <c r="F488" t="s">
        <v>14</v>
      </c>
      <c r="G488" t="s">
        <v>23</v>
      </c>
      <c r="H488">
        <v>3328</v>
      </c>
      <c r="I488">
        <v>576.6</v>
      </c>
      <c r="J488">
        <v>10.09</v>
      </c>
      <c r="K488">
        <v>5</v>
      </c>
      <c r="L488">
        <v>31196.560000000001</v>
      </c>
    </row>
    <row r="489" spans="1:12" x14ac:dyDescent="0.3">
      <c r="A489">
        <v>488</v>
      </c>
      <c r="B489" t="s">
        <v>25</v>
      </c>
      <c r="C489">
        <v>2005</v>
      </c>
      <c r="D489">
        <v>124654</v>
      </c>
      <c r="E489" t="s">
        <v>26</v>
      </c>
      <c r="F489" t="s">
        <v>18</v>
      </c>
      <c r="G489" t="s">
        <v>15</v>
      </c>
      <c r="H489">
        <v>1613</v>
      </c>
      <c r="I489">
        <v>178.7</v>
      </c>
      <c r="J489">
        <v>26.83</v>
      </c>
      <c r="K489">
        <v>2</v>
      </c>
      <c r="L489">
        <v>112526.69</v>
      </c>
    </row>
    <row r="490" spans="1:12" x14ac:dyDescent="0.3">
      <c r="A490">
        <v>489</v>
      </c>
      <c r="B490" t="s">
        <v>16</v>
      </c>
      <c r="C490">
        <v>2022</v>
      </c>
      <c r="D490">
        <v>195868</v>
      </c>
      <c r="E490" t="s">
        <v>22</v>
      </c>
      <c r="F490" t="s">
        <v>18</v>
      </c>
      <c r="G490" t="s">
        <v>15</v>
      </c>
      <c r="H490">
        <v>2831</v>
      </c>
      <c r="I490">
        <v>234.9</v>
      </c>
      <c r="J490">
        <v>6.49</v>
      </c>
      <c r="K490">
        <v>4</v>
      </c>
      <c r="L490">
        <v>63858.75</v>
      </c>
    </row>
    <row r="491" spans="1:12" x14ac:dyDescent="0.3">
      <c r="A491">
        <v>490</v>
      </c>
      <c r="B491" t="s">
        <v>28</v>
      </c>
      <c r="C491">
        <v>2022</v>
      </c>
      <c r="D491">
        <v>85073</v>
      </c>
      <c r="E491" t="s">
        <v>13</v>
      </c>
      <c r="F491" t="s">
        <v>14</v>
      </c>
      <c r="G491" t="s">
        <v>15</v>
      </c>
      <c r="H491">
        <v>1122</v>
      </c>
      <c r="I491">
        <v>541.5</v>
      </c>
      <c r="J491">
        <v>27.21</v>
      </c>
      <c r="K491">
        <v>6</v>
      </c>
      <c r="L491">
        <v>45683.72</v>
      </c>
    </row>
    <row r="492" spans="1:12" x14ac:dyDescent="0.3">
      <c r="A492">
        <v>491</v>
      </c>
      <c r="B492" t="s">
        <v>29</v>
      </c>
      <c r="C492">
        <v>2018</v>
      </c>
      <c r="D492">
        <v>97197</v>
      </c>
      <c r="E492" t="s">
        <v>26</v>
      </c>
      <c r="F492" t="s">
        <v>18</v>
      </c>
      <c r="G492" t="s">
        <v>15</v>
      </c>
      <c r="H492">
        <v>3769</v>
      </c>
      <c r="I492">
        <v>581.29999999999995</v>
      </c>
      <c r="J492">
        <v>13.23</v>
      </c>
      <c r="K492">
        <v>2</v>
      </c>
      <c r="L492">
        <v>105186.8</v>
      </c>
    </row>
    <row r="493" spans="1:12" x14ac:dyDescent="0.3">
      <c r="A493">
        <v>492</v>
      </c>
      <c r="B493" t="s">
        <v>12</v>
      </c>
      <c r="C493">
        <v>2019</v>
      </c>
      <c r="D493">
        <v>69429</v>
      </c>
      <c r="E493" t="s">
        <v>13</v>
      </c>
      <c r="F493" t="s">
        <v>18</v>
      </c>
      <c r="G493" t="s">
        <v>15</v>
      </c>
      <c r="H493">
        <v>1703</v>
      </c>
      <c r="I493">
        <v>288.3</v>
      </c>
      <c r="J493">
        <v>12.86</v>
      </c>
      <c r="K493">
        <v>4</v>
      </c>
      <c r="L493">
        <v>49213.86</v>
      </c>
    </row>
    <row r="494" spans="1:12" x14ac:dyDescent="0.3">
      <c r="A494">
        <v>493</v>
      </c>
      <c r="B494" t="s">
        <v>19</v>
      </c>
      <c r="C494">
        <v>2016</v>
      </c>
      <c r="D494">
        <v>109195</v>
      </c>
      <c r="E494" t="s">
        <v>17</v>
      </c>
      <c r="F494" t="s">
        <v>18</v>
      </c>
      <c r="G494" t="s">
        <v>23</v>
      </c>
      <c r="H494">
        <v>2341</v>
      </c>
      <c r="I494">
        <v>219.8</v>
      </c>
      <c r="J494">
        <v>17.8</v>
      </c>
      <c r="K494">
        <v>7</v>
      </c>
      <c r="L494">
        <v>42196</v>
      </c>
    </row>
    <row r="495" spans="1:12" x14ac:dyDescent="0.3">
      <c r="A495">
        <v>494</v>
      </c>
      <c r="B495" t="s">
        <v>12</v>
      </c>
      <c r="C495">
        <v>2008</v>
      </c>
      <c r="D495">
        <v>197699</v>
      </c>
      <c r="E495" t="s">
        <v>26</v>
      </c>
      <c r="F495" t="s">
        <v>14</v>
      </c>
      <c r="G495" t="s">
        <v>20</v>
      </c>
      <c r="H495">
        <v>4303</v>
      </c>
      <c r="I495">
        <v>334.6</v>
      </c>
      <c r="J495">
        <v>28.52</v>
      </c>
      <c r="K495">
        <v>4</v>
      </c>
      <c r="L495">
        <v>27252.06</v>
      </c>
    </row>
    <row r="496" spans="1:12" x14ac:dyDescent="0.3">
      <c r="A496">
        <v>495</v>
      </c>
      <c r="B496" t="s">
        <v>21</v>
      </c>
      <c r="C496">
        <v>2007</v>
      </c>
      <c r="D496">
        <v>38848</v>
      </c>
      <c r="E496" t="s">
        <v>26</v>
      </c>
      <c r="F496" t="s">
        <v>14</v>
      </c>
      <c r="G496" t="s">
        <v>15</v>
      </c>
      <c r="H496">
        <v>3453</v>
      </c>
      <c r="I496">
        <v>425.2</v>
      </c>
      <c r="J496">
        <v>6.19</v>
      </c>
      <c r="K496">
        <v>2</v>
      </c>
      <c r="L496">
        <v>47202.23</v>
      </c>
    </row>
    <row r="497" spans="1:12" x14ac:dyDescent="0.3">
      <c r="A497">
        <v>496</v>
      </c>
      <c r="B497" t="s">
        <v>29</v>
      </c>
      <c r="C497">
        <v>2024</v>
      </c>
      <c r="D497">
        <v>173876</v>
      </c>
      <c r="E497" t="s">
        <v>26</v>
      </c>
      <c r="F497" t="s">
        <v>14</v>
      </c>
      <c r="G497" t="s">
        <v>15</v>
      </c>
      <c r="H497">
        <v>3276</v>
      </c>
      <c r="I497">
        <v>193.1</v>
      </c>
      <c r="J497">
        <v>13.81</v>
      </c>
      <c r="K497">
        <v>5</v>
      </c>
      <c r="L497">
        <v>40052.07</v>
      </c>
    </row>
    <row r="498" spans="1:12" x14ac:dyDescent="0.3">
      <c r="A498">
        <v>497</v>
      </c>
      <c r="B498" t="s">
        <v>12</v>
      </c>
      <c r="C498">
        <v>2016</v>
      </c>
      <c r="D498">
        <v>151451</v>
      </c>
      <c r="E498" t="s">
        <v>26</v>
      </c>
      <c r="F498" t="s">
        <v>18</v>
      </c>
      <c r="G498" t="s">
        <v>23</v>
      </c>
      <c r="H498">
        <v>4140</v>
      </c>
      <c r="I498">
        <v>452.4</v>
      </c>
      <c r="J498">
        <v>26.41</v>
      </c>
      <c r="K498">
        <v>6</v>
      </c>
      <c r="L498">
        <v>82244.56</v>
      </c>
    </row>
    <row r="499" spans="1:12" x14ac:dyDescent="0.3">
      <c r="A499">
        <v>498</v>
      </c>
      <c r="B499" t="s">
        <v>12</v>
      </c>
      <c r="C499">
        <v>2011</v>
      </c>
      <c r="D499">
        <v>195736</v>
      </c>
      <c r="E499" t="s">
        <v>17</v>
      </c>
      <c r="F499" t="s">
        <v>14</v>
      </c>
      <c r="G499" t="s">
        <v>23</v>
      </c>
      <c r="H499">
        <v>1941</v>
      </c>
      <c r="I499">
        <v>68.900000000000006</v>
      </c>
      <c r="J499">
        <v>14.9</v>
      </c>
      <c r="K499">
        <v>7</v>
      </c>
      <c r="L499">
        <v>36881.18</v>
      </c>
    </row>
    <row r="500" spans="1:12" x14ac:dyDescent="0.3">
      <c r="A500">
        <v>499</v>
      </c>
      <c r="B500" t="s">
        <v>30</v>
      </c>
      <c r="C500">
        <v>2015</v>
      </c>
      <c r="D500">
        <v>32766</v>
      </c>
      <c r="E500" t="s">
        <v>26</v>
      </c>
      <c r="F500" t="s">
        <v>18</v>
      </c>
      <c r="G500" t="s">
        <v>20</v>
      </c>
      <c r="H500">
        <v>1649</v>
      </c>
      <c r="I500">
        <v>67.599999999999994</v>
      </c>
      <c r="J500">
        <v>9.98</v>
      </c>
      <c r="K500">
        <v>4</v>
      </c>
      <c r="L500">
        <v>70532.37</v>
      </c>
    </row>
    <row r="501" spans="1:12" x14ac:dyDescent="0.3">
      <c r="A501">
        <v>500</v>
      </c>
      <c r="B501" t="s">
        <v>25</v>
      </c>
      <c r="C501">
        <v>2005</v>
      </c>
      <c r="D501">
        <v>73099</v>
      </c>
      <c r="E501" t="s">
        <v>22</v>
      </c>
      <c r="F501" t="s">
        <v>18</v>
      </c>
      <c r="G501" t="s">
        <v>23</v>
      </c>
      <c r="H501">
        <v>1166</v>
      </c>
      <c r="I501">
        <v>256.3</v>
      </c>
      <c r="J501">
        <v>15.62</v>
      </c>
      <c r="K501">
        <v>2</v>
      </c>
      <c r="L501">
        <v>10709.38</v>
      </c>
    </row>
    <row r="502" spans="1:12" x14ac:dyDescent="0.3">
      <c r="A502">
        <v>501</v>
      </c>
      <c r="B502" t="s">
        <v>30</v>
      </c>
      <c r="C502">
        <v>2010</v>
      </c>
      <c r="D502">
        <v>172132</v>
      </c>
      <c r="E502" t="s">
        <v>26</v>
      </c>
      <c r="F502" t="s">
        <v>14</v>
      </c>
      <c r="G502" t="s">
        <v>20</v>
      </c>
      <c r="H502">
        <v>3697</v>
      </c>
      <c r="I502">
        <v>237.9</v>
      </c>
      <c r="J502">
        <v>14.64</v>
      </c>
      <c r="K502">
        <v>2</v>
      </c>
      <c r="L502">
        <v>25380.83</v>
      </c>
    </row>
    <row r="503" spans="1:12" x14ac:dyDescent="0.3">
      <c r="A503">
        <v>502</v>
      </c>
      <c r="B503" t="s">
        <v>29</v>
      </c>
      <c r="C503">
        <v>2019</v>
      </c>
      <c r="D503">
        <v>74122</v>
      </c>
      <c r="E503" t="s">
        <v>17</v>
      </c>
      <c r="F503" t="s">
        <v>14</v>
      </c>
      <c r="G503" t="s">
        <v>15</v>
      </c>
      <c r="H503">
        <v>1889</v>
      </c>
      <c r="I503">
        <v>216.8</v>
      </c>
      <c r="J503">
        <v>27.89</v>
      </c>
      <c r="K503">
        <v>6</v>
      </c>
      <c r="L503">
        <v>50666.42</v>
      </c>
    </row>
    <row r="504" spans="1:12" x14ac:dyDescent="0.3">
      <c r="A504">
        <v>503</v>
      </c>
      <c r="B504" t="s">
        <v>29</v>
      </c>
      <c r="C504">
        <v>2019</v>
      </c>
      <c r="D504">
        <v>152159</v>
      </c>
      <c r="E504" t="s">
        <v>26</v>
      </c>
      <c r="F504" t="s">
        <v>18</v>
      </c>
      <c r="G504" t="s">
        <v>15</v>
      </c>
      <c r="H504">
        <v>4841</v>
      </c>
      <c r="I504">
        <v>315</v>
      </c>
      <c r="J504">
        <v>24.05</v>
      </c>
      <c r="K504">
        <v>2</v>
      </c>
      <c r="L504">
        <v>112623.06</v>
      </c>
    </row>
    <row r="505" spans="1:12" x14ac:dyDescent="0.3">
      <c r="A505">
        <v>504</v>
      </c>
      <c r="B505" t="s">
        <v>16</v>
      </c>
      <c r="C505">
        <v>2023</v>
      </c>
      <c r="D505">
        <v>53868</v>
      </c>
      <c r="E505" t="s">
        <v>22</v>
      </c>
      <c r="F505" t="s">
        <v>18</v>
      </c>
      <c r="G505" t="s">
        <v>20</v>
      </c>
      <c r="H505">
        <v>2838</v>
      </c>
      <c r="I505">
        <v>219.6</v>
      </c>
      <c r="J505">
        <v>17.63</v>
      </c>
      <c r="K505">
        <v>2</v>
      </c>
      <c r="L505">
        <v>47138.48</v>
      </c>
    </row>
    <row r="506" spans="1:12" x14ac:dyDescent="0.3">
      <c r="A506">
        <v>505</v>
      </c>
      <c r="B506" t="s">
        <v>30</v>
      </c>
      <c r="C506">
        <v>2015</v>
      </c>
      <c r="D506">
        <v>124119</v>
      </c>
      <c r="E506" t="s">
        <v>17</v>
      </c>
      <c r="F506" t="s">
        <v>14</v>
      </c>
      <c r="G506" t="s">
        <v>23</v>
      </c>
      <c r="H506">
        <v>3660</v>
      </c>
      <c r="I506">
        <v>147.69999999999999</v>
      </c>
      <c r="J506">
        <v>29.71</v>
      </c>
      <c r="K506">
        <v>6</v>
      </c>
      <c r="L506">
        <v>80696.67</v>
      </c>
    </row>
    <row r="507" spans="1:12" x14ac:dyDescent="0.3">
      <c r="A507">
        <v>506</v>
      </c>
      <c r="B507" t="s">
        <v>27</v>
      </c>
      <c r="C507">
        <v>2006</v>
      </c>
      <c r="D507">
        <v>159297</v>
      </c>
      <c r="E507" t="s">
        <v>17</v>
      </c>
      <c r="F507" t="s">
        <v>14</v>
      </c>
      <c r="G507" t="s">
        <v>20</v>
      </c>
      <c r="H507">
        <v>2654</v>
      </c>
      <c r="I507">
        <v>213.3</v>
      </c>
      <c r="J507">
        <v>16.63</v>
      </c>
      <c r="K507">
        <v>7</v>
      </c>
      <c r="L507">
        <v>32845.21</v>
      </c>
    </row>
    <row r="508" spans="1:12" x14ac:dyDescent="0.3">
      <c r="A508">
        <v>507</v>
      </c>
      <c r="B508" t="s">
        <v>25</v>
      </c>
      <c r="C508">
        <v>2018</v>
      </c>
      <c r="D508">
        <v>100286</v>
      </c>
      <c r="E508" t="s">
        <v>22</v>
      </c>
      <c r="F508" t="s">
        <v>14</v>
      </c>
      <c r="G508" t="s">
        <v>23</v>
      </c>
      <c r="H508">
        <v>1294</v>
      </c>
      <c r="I508">
        <v>585.9</v>
      </c>
      <c r="J508">
        <v>6.46</v>
      </c>
      <c r="K508">
        <v>5</v>
      </c>
      <c r="L508">
        <v>17862.93</v>
      </c>
    </row>
    <row r="509" spans="1:12" x14ac:dyDescent="0.3">
      <c r="A509">
        <v>508</v>
      </c>
      <c r="B509" t="s">
        <v>29</v>
      </c>
      <c r="C509">
        <v>2006</v>
      </c>
      <c r="D509">
        <v>11643</v>
      </c>
      <c r="E509" t="s">
        <v>22</v>
      </c>
      <c r="F509" t="s">
        <v>18</v>
      </c>
      <c r="G509" t="s">
        <v>15</v>
      </c>
      <c r="H509">
        <v>3982</v>
      </c>
      <c r="I509">
        <v>270.2</v>
      </c>
      <c r="J509">
        <v>11.56</v>
      </c>
      <c r="K509">
        <v>5</v>
      </c>
      <c r="L509">
        <v>9848.7800000000007</v>
      </c>
    </row>
    <row r="510" spans="1:12" x14ac:dyDescent="0.3">
      <c r="A510">
        <v>509</v>
      </c>
      <c r="B510" t="s">
        <v>16</v>
      </c>
      <c r="C510">
        <v>2008</v>
      </c>
      <c r="D510">
        <v>41727</v>
      </c>
      <c r="E510" t="s">
        <v>22</v>
      </c>
      <c r="F510" t="s">
        <v>18</v>
      </c>
      <c r="G510" t="s">
        <v>23</v>
      </c>
      <c r="H510">
        <v>2584</v>
      </c>
      <c r="I510">
        <v>289</v>
      </c>
      <c r="J510">
        <v>15.9</v>
      </c>
      <c r="K510">
        <v>4</v>
      </c>
      <c r="L510">
        <v>38733.379999999997</v>
      </c>
    </row>
    <row r="511" spans="1:12" x14ac:dyDescent="0.3">
      <c r="A511">
        <v>510</v>
      </c>
      <c r="B511" t="s">
        <v>30</v>
      </c>
      <c r="C511">
        <v>2021</v>
      </c>
      <c r="D511">
        <v>147077</v>
      </c>
      <c r="E511" t="s">
        <v>22</v>
      </c>
      <c r="F511" t="s">
        <v>18</v>
      </c>
      <c r="G511" t="s">
        <v>20</v>
      </c>
      <c r="H511">
        <v>4310</v>
      </c>
      <c r="I511">
        <v>362.9</v>
      </c>
      <c r="J511">
        <v>8.92</v>
      </c>
      <c r="K511">
        <v>7</v>
      </c>
      <c r="L511">
        <v>21446.34</v>
      </c>
    </row>
    <row r="512" spans="1:12" x14ac:dyDescent="0.3">
      <c r="A512">
        <v>511</v>
      </c>
      <c r="B512" t="s">
        <v>25</v>
      </c>
      <c r="C512">
        <v>2007</v>
      </c>
      <c r="D512">
        <v>114079</v>
      </c>
      <c r="E512" t="s">
        <v>22</v>
      </c>
      <c r="F512" t="s">
        <v>18</v>
      </c>
      <c r="G512" t="s">
        <v>20</v>
      </c>
      <c r="H512">
        <v>4586</v>
      </c>
      <c r="I512">
        <v>590.70000000000005</v>
      </c>
      <c r="J512">
        <v>28.69</v>
      </c>
      <c r="K512">
        <v>4</v>
      </c>
      <c r="L512">
        <v>23359.22</v>
      </c>
    </row>
    <row r="513" spans="1:12" x14ac:dyDescent="0.3">
      <c r="A513">
        <v>512</v>
      </c>
      <c r="B513" t="s">
        <v>30</v>
      </c>
      <c r="C513">
        <v>2017</v>
      </c>
      <c r="D513">
        <v>70697</v>
      </c>
      <c r="E513" t="s">
        <v>17</v>
      </c>
      <c r="F513" t="s">
        <v>18</v>
      </c>
      <c r="G513" t="s">
        <v>15</v>
      </c>
      <c r="H513">
        <v>4930</v>
      </c>
      <c r="I513">
        <v>175.3</v>
      </c>
      <c r="J513">
        <v>24.17</v>
      </c>
      <c r="K513">
        <v>5</v>
      </c>
      <c r="L513">
        <v>92008.84</v>
      </c>
    </row>
    <row r="514" spans="1:12" x14ac:dyDescent="0.3">
      <c r="A514">
        <v>513</v>
      </c>
      <c r="B514" t="s">
        <v>12</v>
      </c>
      <c r="C514">
        <v>2013</v>
      </c>
      <c r="D514">
        <v>21029</v>
      </c>
      <c r="E514" t="s">
        <v>17</v>
      </c>
      <c r="F514" t="s">
        <v>14</v>
      </c>
      <c r="G514" t="s">
        <v>23</v>
      </c>
      <c r="H514">
        <v>1798</v>
      </c>
      <c r="I514">
        <v>421.5</v>
      </c>
      <c r="J514">
        <v>11.71</v>
      </c>
      <c r="K514">
        <v>6</v>
      </c>
      <c r="L514">
        <v>4853.05</v>
      </c>
    </row>
    <row r="515" spans="1:12" x14ac:dyDescent="0.3">
      <c r="A515">
        <v>514</v>
      </c>
      <c r="B515" t="s">
        <v>16</v>
      </c>
      <c r="C515">
        <v>2011</v>
      </c>
      <c r="D515">
        <v>150298</v>
      </c>
      <c r="E515" t="s">
        <v>26</v>
      </c>
      <c r="F515" t="s">
        <v>14</v>
      </c>
      <c r="G515" t="s">
        <v>23</v>
      </c>
      <c r="H515">
        <v>2251</v>
      </c>
      <c r="I515">
        <v>441</v>
      </c>
      <c r="J515">
        <v>19.77</v>
      </c>
      <c r="K515">
        <v>2</v>
      </c>
      <c r="L515">
        <v>68263.78</v>
      </c>
    </row>
    <row r="516" spans="1:12" x14ac:dyDescent="0.3">
      <c r="A516">
        <v>515</v>
      </c>
      <c r="B516" t="s">
        <v>25</v>
      </c>
      <c r="C516">
        <v>2019</v>
      </c>
      <c r="D516">
        <v>199718</v>
      </c>
      <c r="E516" t="s">
        <v>26</v>
      </c>
      <c r="F516" t="s">
        <v>18</v>
      </c>
      <c r="G516" t="s">
        <v>23</v>
      </c>
      <c r="H516">
        <v>2551</v>
      </c>
      <c r="I516">
        <v>380.1</v>
      </c>
      <c r="J516">
        <v>23.04</v>
      </c>
      <c r="K516">
        <v>5</v>
      </c>
      <c r="L516">
        <v>47396.98</v>
      </c>
    </row>
    <row r="517" spans="1:12" x14ac:dyDescent="0.3">
      <c r="A517">
        <v>516</v>
      </c>
      <c r="B517" t="s">
        <v>24</v>
      </c>
      <c r="C517">
        <v>2015</v>
      </c>
      <c r="D517">
        <v>196675</v>
      </c>
      <c r="E517" t="s">
        <v>13</v>
      </c>
      <c r="F517" t="s">
        <v>18</v>
      </c>
      <c r="G517" t="s">
        <v>15</v>
      </c>
      <c r="H517">
        <v>3080</v>
      </c>
      <c r="I517">
        <v>89.6</v>
      </c>
      <c r="J517">
        <v>28.53</v>
      </c>
      <c r="K517">
        <v>7</v>
      </c>
      <c r="L517">
        <v>62266.35</v>
      </c>
    </row>
    <row r="518" spans="1:12" x14ac:dyDescent="0.3">
      <c r="A518">
        <v>517</v>
      </c>
      <c r="B518" t="s">
        <v>21</v>
      </c>
      <c r="C518">
        <v>2024</v>
      </c>
      <c r="D518">
        <v>164803</v>
      </c>
      <c r="E518" t="s">
        <v>26</v>
      </c>
      <c r="F518" t="s">
        <v>14</v>
      </c>
      <c r="G518" t="s">
        <v>23</v>
      </c>
      <c r="H518">
        <v>3734</v>
      </c>
      <c r="I518">
        <v>419</v>
      </c>
      <c r="J518">
        <v>27.04</v>
      </c>
      <c r="K518">
        <v>5</v>
      </c>
      <c r="L518">
        <v>68851.14</v>
      </c>
    </row>
    <row r="519" spans="1:12" x14ac:dyDescent="0.3">
      <c r="A519">
        <v>518</v>
      </c>
      <c r="B519" t="s">
        <v>21</v>
      </c>
      <c r="C519">
        <v>2006</v>
      </c>
      <c r="D519">
        <v>114458</v>
      </c>
      <c r="E519" t="s">
        <v>26</v>
      </c>
      <c r="F519" t="s">
        <v>14</v>
      </c>
      <c r="G519" t="s">
        <v>20</v>
      </c>
      <c r="H519">
        <v>4534</v>
      </c>
      <c r="I519">
        <v>75.900000000000006</v>
      </c>
      <c r="J519">
        <v>17.88</v>
      </c>
      <c r="K519">
        <v>7</v>
      </c>
      <c r="L519">
        <v>39664.019999999997</v>
      </c>
    </row>
    <row r="520" spans="1:12" x14ac:dyDescent="0.3">
      <c r="A520">
        <v>519</v>
      </c>
      <c r="B520" t="s">
        <v>25</v>
      </c>
      <c r="C520">
        <v>2019</v>
      </c>
      <c r="D520">
        <v>115384</v>
      </c>
      <c r="E520" t="s">
        <v>22</v>
      </c>
      <c r="F520" t="s">
        <v>14</v>
      </c>
      <c r="G520" t="s">
        <v>23</v>
      </c>
      <c r="H520">
        <v>4146</v>
      </c>
      <c r="I520">
        <v>373.8</v>
      </c>
      <c r="J520">
        <v>24.37</v>
      </c>
      <c r="K520">
        <v>7</v>
      </c>
      <c r="L520">
        <v>37527.74</v>
      </c>
    </row>
    <row r="521" spans="1:12" x14ac:dyDescent="0.3">
      <c r="A521">
        <v>520</v>
      </c>
      <c r="B521" t="s">
        <v>30</v>
      </c>
      <c r="C521">
        <v>2018</v>
      </c>
      <c r="D521">
        <v>73926</v>
      </c>
      <c r="E521" t="s">
        <v>22</v>
      </c>
      <c r="F521" t="s">
        <v>14</v>
      </c>
      <c r="G521" t="s">
        <v>15</v>
      </c>
      <c r="H521">
        <v>2673</v>
      </c>
      <c r="I521">
        <v>454.2</v>
      </c>
      <c r="J521">
        <v>19.05</v>
      </c>
      <c r="K521">
        <v>7</v>
      </c>
      <c r="L521">
        <v>88808.02</v>
      </c>
    </row>
    <row r="522" spans="1:12" x14ac:dyDescent="0.3">
      <c r="A522">
        <v>521</v>
      </c>
      <c r="B522" t="s">
        <v>16</v>
      </c>
      <c r="C522">
        <v>2024</v>
      </c>
      <c r="D522">
        <v>142069</v>
      </c>
      <c r="E522" t="s">
        <v>26</v>
      </c>
      <c r="F522" t="s">
        <v>18</v>
      </c>
      <c r="G522" t="s">
        <v>23</v>
      </c>
      <c r="H522">
        <v>4603</v>
      </c>
      <c r="I522">
        <v>158.1</v>
      </c>
      <c r="J522">
        <v>18.82</v>
      </c>
      <c r="K522">
        <v>4</v>
      </c>
      <c r="L522">
        <v>104939.41</v>
      </c>
    </row>
    <row r="523" spans="1:12" x14ac:dyDescent="0.3">
      <c r="A523">
        <v>522</v>
      </c>
      <c r="B523" t="s">
        <v>21</v>
      </c>
      <c r="C523">
        <v>2015</v>
      </c>
      <c r="D523">
        <v>60506</v>
      </c>
      <c r="E523" t="s">
        <v>13</v>
      </c>
      <c r="F523" t="s">
        <v>14</v>
      </c>
      <c r="G523" t="s">
        <v>23</v>
      </c>
      <c r="H523">
        <v>2779</v>
      </c>
      <c r="I523">
        <v>511.3</v>
      </c>
      <c r="J523">
        <v>7.87</v>
      </c>
      <c r="K523">
        <v>6</v>
      </c>
      <c r="L523">
        <v>25532.05</v>
      </c>
    </row>
    <row r="524" spans="1:12" x14ac:dyDescent="0.3">
      <c r="A524">
        <v>523</v>
      </c>
      <c r="B524" t="s">
        <v>16</v>
      </c>
      <c r="C524">
        <v>2007</v>
      </c>
      <c r="D524">
        <v>83229</v>
      </c>
      <c r="E524" t="s">
        <v>22</v>
      </c>
      <c r="F524" t="s">
        <v>18</v>
      </c>
      <c r="G524" t="s">
        <v>20</v>
      </c>
      <c r="H524">
        <v>1498</v>
      </c>
      <c r="I524">
        <v>57</v>
      </c>
      <c r="J524">
        <v>8.15</v>
      </c>
      <c r="K524">
        <v>5</v>
      </c>
      <c r="L524">
        <v>14421.39</v>
      </c>
    </row>
    <row r="525" spans="1:12" x14ac:dyDescent="0.3">
      <c r="A525">
        <v>524</v>
      </c>
      <c r="B525" t="s">
        <v>21</v>
      </c>
      <c r="C525">
        <v>2021</v>
      </c>
      <c r="D525">
        <v>185887</v>
      </c>
      <c r="E525" t="s">
        <v>26</v>
      </c>
      <c r="F525" t="s">
        <v>14</v>
      </c>
      <c r="G525" t="s">
        <v>23</v>
      </c>
      <c r="H525">
        <v>2112</v>
      </c>
      <c r="I525">
        <v>512.5</v>
      </c>
      <c r="J525">
        <v>18.239999999999998</v>
      </c>
      <c r="K525">
        <v>6</v>
      </c>
      <c r="L525">
        <v>108042.11</v>
      </c>
    </row>
    <row r="526" spans="1:12" x14ac:dyDescent="0.3">
      <c r="A526">
        <v>525</v>
      </c>
      <c r="B526" t="s">
        <v>12</v>
      </c>
      <c r="C526">
        <v>2016</v>
      </c>
      <c r="D526">
        <v>47092</v>
      </c>
      <c r="E526" t="s">
        <v>26</v>
      </c>
      <c r="F526" t="s">
        <v>14</v>
      </c>
      <c r="G526" t="s">
        <v>20</v>
      </c>
      <c r="H526">
        <v>3762</v>
      </c>
      <c r="I526">
        <v>297.8</v>
      </c>
      <c r="J526">
        <v>11.72</v>
      </c>
      <c r="K526">
        <v>2</v>
      </c>
      <c r="L526">
        <v>43937.77</v>
      </c>
    </row>
    <row r="527" spans="1:12" x14ac:dyDescent="0.3">
      <c r="A527">
        <v>526</v>
      </c>
      <c r="B527" t="s">
        <v>30</v>
      </c>
      <c r="C527">
        <v>2019</v>
      </c>
      <c r="D527">
        <v>67539</v>
      </c>
      <c r="E527" t="s">
        <v>17</v>
      </c>
      <c r="F527" t="s">
        <v>14</v>
      </c>
      <c r="G527" t="s">
        <v>20</v>
      </c>
      <c r="H527">
        <v>3738</v>
      </c>
      <c r="I527">
        <v>161.80000000000001</v>
      </c>
      <c r="J527">
        <v>5.53</v>
      </c>
      <c r="K527">
        <v>5</v>
      </c>
      <c r="L527">
        <v>67504.13</v>
      </c>
    </row>
    <row r="528" spans="1:12" x14ac:dyDescent="0.3">
      <c r="A528">
        <v>527</v>
      </c>
      <c r="B528" t="s">
        <v>12</v>
      </c>
      <c r="C528">
        <v>2020</v>
      </c>
      <c r="D528">
        <v>157889</v>
      </c>
      <c r="E528" t="s">
        <v>13</v>
      </c>
      <c r="F528" t="s">
        <v>18</v>
      </c>
      <c r="G528" t="s">
        <v>15</v>
      </c>
      <c r="H528">
        <v>3100</v>
      </c>
      <c r="I528">
        <v>114.9</v>
      </c>
      <c r="J528">
        <v>23.07</v>
      </c>
      <c r="K528">
        <v>6</v>
      </c>
      <c r="L528">
        <v>45066.55</v>
      </c>
    </row>
    <row r="529" spans="1:12" x14ac:dyDescent="0.3">
      <c r="A529">
        <v>528</v>
      </c>
      <c r="B529" t="s">
        <v>21</v>
      </c>
      <c r="C529">
        <v>2009</v>
      </c>
      <c r="D529">
        <v>173933</v>
      </c>
      <c r="E529" t="s">
        <v>17</v>
      </c>
      <c r="F529" t="s">
        <v>18</v>
      </c>
      <c r="G529" t="s">
        <v>20</v>
      </c>
      <c r="H529">
        <v>3997</v>
      </c>
      <c r="I529">
        <v>573.9</v>
      </c>
      <c r="J529">
        <v>5.81</v>
      </c>
      <c r="K529">
        <v>6</v>
      </c>
      <c r="L529">
        <v>17718.87</v>
      </c>
    </row>
    <row r="530" spans="1:12" x14ac:dyDescent="0.3">
      <c r="A530">
        <v>529</v>
      </c>
      <c r="B530" t="s">
        <v>24</v>
      </c>
      <c r="C530">
        <v>2024</v>
      </c>
      <c r="D530">
        <v>18428</v>
      </c>
      <c r="E530" t="s">
        <v>13</v>
      </c>
      <c r="F530" t="s">
        <v>14</v>
      </c>
      <c r="G530" t="s">
        <v>20</v>
      </c>
      <c r="H530">
        <v>926</v>
      </c>
      <c r="I530">
        <v>80.7</v>
      </c>
      <c r="J530">
        <v>19.88</v>
      </c>
      <c r="K530">
        <v>2</v>
      </c>
      <c r="L530">
        <v>71951.8</v>
      </c>
    </row>
    <row r="531" spans="1:12" x14ac:dyDescent="0.3">
      <c r="A531">
        <v>530</v>
      </c>
      <c r="B531" t="s">
        <v>24</v>
      </c>
      <c r="C531">
        <v>2010</v>
      </c>
      <c r="D531">
        <v>180006</v>
      </c>
      <c r="E531" t="s">
        <v>22</v>
      </c>
      <c r="F531" t="s">
        <v>18</v>
      </c>
      <c r="G531" t="s">
        <v>15</v>
      </c>
      <c r="H531">
        <v>1991</v>
      </c>
      <c r="I531">
        <v>151.5</v>
      </c>
      <c r="J531">
        <v>18.48</v>
      </c>
      <c r="K531">
        <v>7</v>
      </c>
      <c r="L531">
        <v>64441.48</v>
      </c>
    </row>
    <row r="532" spans="1:12" x14ac:dyDescent="0.3">
      <c r="A532">
        <v>531</v>
      </c>
      <c r="B532" t="s">
        <v>12</v>
      </c>
      <c r="C532">
        <v>2023</v>
      </c>
      <c r="D532">
        <v>146330</v>
      </c>
      <c r="E532" t="s">
        <v>13</v>
      </c>
      <c r="F532" t="s">
        <v>18</v>
      </c>
      <c r="G532" t="s">
        <v>20</v>
      </c>
      <c r="H532">
        <v>3439</v>
      </c>
      <c r="I532">
        <v>234.8</v>
      </c>
      <c r="J532">
        <v>29.22</v>
      </c>
      <c r="K532">
        <v>5</v>
      </c>
      <c r="L532">
        <v>26750.25</v>
      </c>
    </row>
    <row r="533" spans="1:12" x14ac:dyDescent="0.3">
      <c r="A533">
        <v>532</v>
      </c>
      <c r="B533" t="s">
        <v>24</v>
      </c>
      <c r="C533">
        <v>2009</v>
      </c>
      <c r="D533">
        <v>62775</v>
      </c>
      <c r="E533" t="s">
        <v>26</v>
      </c>
      <c r="F533" t="s">
        <v>14</v>
      </c>
      <c r="G533" t="s">
        <v>15</v>
      </c>
      <c r="H533">
        <v>4716</v>
      </c>
      <c r="I533">
        <v>387.3</v>
      </c>
      <c r="J533">
        <v>17.11</v>
      </c>
      <c r="K533">
        <v>5</v>
      </c>
      <c r="L533">
        <v>55868.68</v>
      </c>
    </row>
    <row r="534" spans="1:12" x14ac:dyDescent="0.3">
      <c r="A534">
        <v>533</v>
      </c>
      <c r="B534" t="s">
        <v>21</v>
      </c>
      <c r="C534">
        <v>2007</v>
      </c>
      <c r="D534">
        <v>10469</v>
      </c>
      <c r="E534" t="s">
        <v>26</v>
      </c>
      <c r="F534" t="s">
        <v>14</v>
      </c>
      <c r="G534" t="s">
        <v>23</v>
      </c>
      <c r="H534">
        <v>2166</v>
      </c>
      <c r="I534">
        <v>345.1</v>
      </c>
      <c r="J534">
        <v>6.59</v>
      </c>
      <c r="K534">
        <v>2</v>
      </c>
      <c r="L534">
        <v>96242.86</v>
      </c>
    </row>
    <row r="535" spans="1:12" x14ac:dyDescent="0.3">
      <c r="A535">
        <v>534</v>
      </c>
      <c r="B535" t="s">
        <v>25</v>
      </c>
      <c r="C535">
        <v>2005</v>
      </c>
      <c r="D535">
        <v>33854</v>
      </c>
      <c r="E535" t="s">
        <v>13</v>
      </c>
      <c r="F535" t="s">
        <v>18</v>
      </c>
      <c r="G535" t="s">
        <v>15</v>
      </c>
      <c r="H535">
        <v>1819</v>
      </c>
      <c r="I535">
        <v>110.4</v>
      </c>
      <c r="J535">
        <v>18.79</v>
      </c>
      <c r="K535">
        <v>7</v>
      </c>
      <c r="L535">
        <v>72079.850000000006</v>
      </c>
    </row>
    <row r="536" spans="1:12" x14ac:dyDescent="0.3">
      <c r="A536">
        <v>535</v>
      </c>
      <c r="B536" t="s">
        <v>12</v>
      </c>
      <c r="C536">
        <v>2010</v>
      </c>
      <c r="D536">
        <v>142328</v>
      </c>
      <c r="E536" t="s">
        <v>13</v>
      </c>
      <c r="F536" t="s">
        <v>18</v>
      </c>
      <c r="G536" t="s">
        <v>20</v>
      </c>
      <c r="H536">
        <v>4879</v>
      </c>
      <c r="I536">
        <v>202.2</v>
      </c>
      <c r="J536">
        <v>26.03</v>
      </c>
      <c r="K536">
        <v>5</v>
      </c>
      <c r="L536">
        <v>14339.33</v>
      </c>
    </row>
    <row r="537" spans="1:12" x14ac:dyDescent="0.3">
      <c r="A537">
        <v>536</v>
      </c>
      <c r="B537" t="s">
        <v>28</v>
      </c>
      <c r="C537">
        <v>2019</v>
      </c>
      <c r="D537">
        <v>81256</v>
      </c>
      <c r="E537" t="s">
        <v>13</v>
      </c>
      <c r="F537" t="s">
        <v>18</v>
      </c>
      <c r="G537" t="s">
        <v>15</v>
      </c>
      <c r="H537">
        <v>1484</v>
      </c>
      <c r="I537">
        <v>173.7</v>
      </c>
      <c r="J537">
        <v>29.92</v>
      </c>
      <c r="K537">
        <v>5</v>
      </c>
      <c r="L537">
        <v>67118.52</v>
      </c>
    </row>
    <row r="538" spans="1:12" x14ac:dyDescent="0.3">
      <c r="A538">
        <v>537</v>
      </c>
      <c r="B538" t="s">
        <v>30</v>
      </c>
      <c r="C538">
        <v>2006</v>
      </c>
      <c r="D538">
        <v>170009</v>
      </c>
      <c r="E538" t="s">
        <v>17</v>
      </c>
      <c r="F538" t="s">
        <v>14</v>
      </c>
      <c r="G538" t="s">
        <v>20</v>
      </c>
      <c r="H538">
        <v>4429</v>
      </c>
      <c r="I538">
        <v>159.6</v>
      </c>
      <c r="J538">
        <v>15.76</v>
      </c>
      <c r="K538">
        <v>5</v>
      </c>
      <c r="L538">
        <v>85220.38</v>
      </c>
    </row>
    <row r="539" spans="1:12" x14ac:dyDescent="0.3">
      <c r="A539">
        <v>538</v>
      </c>
      <c r="B539" t="s">
        <v>24</v>
      </c>
      <c r="C539">
        <v>2007</v>
      </c>
      <c r="D539">
        <v>104134</v>
      </c>
      <c r="E539" t="s">
        <v>13</v>
      </c>
      <c r="F539" t="s">
        <v>14</v>
      </c>
      <c r="G539" t="s">
        <v>23</v>
      </c>
      <c r="H539">
        <v>3687</v>
      </c>
      <c r="I539">
        <v>270.2</v>
      </c>
      <c r="J539">
        <v>13.01</v>
      </c>
      <c r="K539">
        <v>7</v>
      </c>
      <c r="L539">
        <v>95746.3</v>
      </c>
    </row>
    <row r="540" spans="1:12" x14ac:dyDescent="0.3">
      <c r="A540">
        <v>539</v>
      </c>
      <c r="B540" t="s">
        <v>24</v>
      </c>
      <c r="C540">
        <v>2021</v>
      </c>
      <c r="D540">
        <v>137723</v>
      </c>
      <c r="E540" t="s">
        <v>22</v>
      </c>
      <c r="F540" t="s">
        <v>18</v>
      </c>
      <c r="G540" t="s">
        <v>15</v>
      </c>
      <c r="H540">
        <v>2262</v>
      </c>
      <c r="I540">
        <v>434.3</v>
      </c>
      <c r="J540">
        <v>27.67</v>
      </c>
      <c r="K540">
        <v>2</v>
      </c>
      <c r="L540">
        <v>76606.759999999995</v>
      </c>
    </row>
    <row r="541" spans="1:12" x14ac:dyDescent="0.3">
      <c r="A541">
        <v>540</v>
      </c>
      <c r="B541" t="s">
        <v>29</v>
      </c>
      <c r="C541">
        <v>2016</v>
      </c>
      <c r="D541">
        <v>186360</v>
      </c>
      <c r="E541" t="s">
        <v>17</v>
      </c>
      <c r="F541" t="s">
        <v>14</v>
      </c>
      <c r="G541" t="s">
        <v>23</v>
      </c>
      <c r="H541">
        <v>4886</v>
      </c>
      <c r="I541">
        <v>161.80000000000001</v>
      </c>
      <c r="J541">
        <v>9.7799999999999994</v>
      </c>
      <c r="K541">
        <v>5</v>
      </c>
      <c r="L541">
        <v>20861.009999999998</v>
      </c>
    </row>
    <row r="542" spans="1:12" x14ac:dyDescent="0.3">
      <c r="A542">
        <v>541</v>
      </c>
      <c r="B542" t="s">
        <v>27</v>
      </c>
      <c r="C542">
        <v>2022</v>
      </c>
      <c r="D542">
        <v>89730</v>
      </c>
      <c r="E542" t="s">
        <v>17</v>
      </c>
      <c r="F542" t="s">
        <v>14</v>
      </c>
      <c r="G542" t="s">
        <v>20</v>
      </c>
      <c r="H542">
        <v>3061</v>
      </c>
      <c r="I542">
        <v>245.3</v>
      </c>
      <c r="J542">
        <v>20.39</v>
      </c>
      <c r="K542">
        <v>6</v>
      </c>
      <c r="L542">
        <v>86090.27</v>
      </c>
    </row>
    <row r="543" spans="1:12" x14ac:dyDescent="0.3">
      <c r="A543">
        <v>542</v>
      </c>
      <c r="B543" t="s">
        <v>12</v>
      </c>
      <c r="C543">
        <v>2019</v>
      </c>
      <c r="D543">
        <v>161123</v>
      </c>
      <c r="E543" t="s">
        <v>13</v>
      </c>
      <c r="F543" t="s">
        <v>18</v>
      </c>
      <c r="G543" t="s">
        <v>20</v>
      </c>
      <c r="H543">
        <v>4980</v>
      </c>
      <c r="I543">
        <v>258.89999999999998</v>
      </c>
      <c r="J543">
        <v>15.14</v>
      </c>
      <c r="K543">
        <v>7</v>
      </c>
      <c r="L543">
        <v>82249</v>
      </c>
    </row>
    <row r="544" spans="1:12" x14ac:dyDescent="0.3">
      <c r="A544">
        <v>543</v>
      </c>
      <c r="B544" t="s">
        <v>19</v>
      </c>
      <c r="C544">
        <v>2016</v>
      </c>
      <c r="D544">
        <v>32386</v>
      </c>
      <c r="E544" t="s">
        <v>22</v>
      </c>
      <c r="F544" t="s">
        <v>18</v>
      </c>
      <c r="G544" t="s">
        <v>23</v>
      </c>
      <c r="H544">
        <v>3641</v>
      </c>
      <c r="I544">
        <v>586.79999999999995</v>
      </c>
      <c r="J544">
        <v>6.03</v>
      </c>
      <c r="K544">
        <v>4</v>
      </c>
      <c r="L544">
        <v>5857.95</v>
      </c>
    </row>
    <row r="545" spans="1:12" x14ac:dyDescent="0.3">
      <c r="A545">
        <v>544</v>
      </c>
      <c r="B545" t="s">
        <v>24</v>
      </c>
      <c r="C545">
        <v>2020</v>
      </c>
      <c r="D545">
        <v>152256</v>
      </c>
      <c r="E545" t="s">
        <v>17</v>
      </c>
      <c r="F545" t="s">
        <v>14</v>
      </c>
      <c r="G545" t="s">
        <v>15</v>
      </c>
      <c r="H545">
        <v>2567</v>
      </c>
      <c r="I545">
        <v>574.6</v>
      </c>
      <c r="J545">
        <v>13.68</v>
      </c>
      <c r="K545">
        <v>2</v>
      </c>
      <c r="L545">
        <v>51174.48</v>
      </c>
    </row>
    <row r="546" spans="1:12" x14ac:dyDescent="0.3">
      <c r="A546">
        <v>545</v>
      </c>
      <c r="B546" t="s">
        <v>30</v>
      </c>
      <c r="C546">
        <v>2012</v>
      </c>
      <c r="D546">
        <v>38787</v>
      </c>
      <c r="E546" t="s">
        <v>26</v>
      </c>
      <c r="F546" t="s">
        <v>14</v>
      </c>
      <c r="G546" t="s">
        <v>15</v>
      </c>
      <c r="H546">
        <v>4980</v>
      </c>
      <c r="I546">
        <v>488.1</v>
      </c>
      <c r="J546">
        <v>11.63</v>
      </c>
      <c r="K546">
        <v>6</v>
      </c>
      <c r="L546">
        <v>41955.18</v>
      </c>
    </row>
    <row r="547" spans="1:12" x14ac:dyDescent="0.3">
      <c r="A547">
        <v>546</v>
      </c>
      <c r="B547" t="s">
        <v>28</v>
      </c>
      <c r="C547">
        <v>2018</v>
      </c>
      <c r="D547">
        <v>26621</v>
      </c>
      <c r="E547" t="s">
        <v>17</v>
      </c>
      <c r="F547" t="s">
        <v>18</v>
      </c>
      <c r="G547" t="s">
        <v>20</v>
      </c>
      <c r="H547">
        <v>4360</v>
      </c>
      <c r="I547">
        <v>175.3</v>
      </c>
      <c r="J547">
        <v>22.15</v>
      </c>
      <c r="K547">
        <v>5</v>
      </c>
      <c r="L547">
        <v>81321.210000000006</v>
      </c>
    </row>
    <row r="548" spans="1:12" x14ac:dyDescent="0.3">
      <c r="A548">
        <v>547</v>
      </c>
      <c r="B548" t="s">
        <v>24</v>
      </c>
      <c r="C548">
        <v>2021</v>
      </c>
      <c r="D548">
        <v>82984</v>
      </c>
      <c r="E548" t="s">
        <v>13</v>
      </c>
      <c r="F548" t="s">
        <v>14</v>
      </c>
      <c r="G548" t="s">
        <v>23</v>
      </c>
      <c r="H548">
        <v>2912</v>
      </c>
      <c r="I548">
        <v>78.099999999999994</v>
      </c>
      <c r="J548">
        <v>28.72</v>
      </c>
      <c r="K548">
        <v>4</v>
      </c>
      <c r="L548">
        <v>28287.89</v>
      </c>
    </row>
    <row r="549" spans="1:12" x14ac:dyDescent="0.3">
      <c r="A549">
        <v>548</v>
      </c>
      <c r="B549" t="s">
        <v>28</v>
      </c>
      <c r="C549">
        <v>2012</v>
      </c>
      <c r="D549">
        <v>195864</v>
      </c>
      <c r="E549" t="s">
        <v>22</v>
      </c>
      <c r="F549" t="s">
        <v>14</v>
      </c>
      <c r="G549" t="s">
        <v>23</v>
      </c>
      <c r="H549">
        <v>1426</v>
      </c>
      <c r="I549">
        <v>217.5</v>
      </c>
      <c r="J549">
        <v>11.7</v>
      </c>
      <c r="K549">
        <v>2</v>
      </c>
      <c r="L549">
        <v>72132.009999999995</v>
      </c>
    </row>
    <row r="550" spans="1:12" x14ac:dyDescent="0.3">
      <c r="A550">
        <v>549</v>
      </c>
      <c r="B550" t="s">
        <v>21</v>
      </c>
      <c r="C550">
        <v>2019</v>
      </c>
      <c r="D550">
        <v>181325</v>
      </c>
      <c r="E550" t="s">
        <v>13</v>
      </c>
      <c r="F550" t="s">
        <v>18</v>
      </c>
      <c r="G550" t="s">
        <v>15</v>
      </c>
      <c r="H550">
        <v>4959</v>
      </c>
      <c r="I550">
        <v>189.4</v>
      </c>
      <c r="J550">
        <v>25.29</v>
      </c>
      <c r="K550">
        <v>7</v>
      </c>
      <c r="L550">
        <v>109845.1</v>
      </c>
    </row>
    <row r="551" spans="1:12" x14ac:dyDescent="0.3">
      <c r="A551">
        <v>550</v>
      </c>
      <c r="B551" t="s">
        <v>21</v>
      </c>
      <c r="C551">
        <v>2018</v>
      </c>
      <c r="D551">
        <v>39051</v>
      </c>
      <c r="E551" t="s">
        <v>26</v>
      </c>
      <c r="F551" t="s">
        <v>18</v>
      </c>
      <c r="G551" t="s">
        <v>15</v>
      </c>
      <c r="H551">
        <v>4214</v>
      </c>
      <c r="I551">
        <v>323.3</v>
      </c>
      <c r="J551">
        <v>6.38</v>
      </c>
      <c r="K551">
        <v>4</v>
      </c>
      <c r="L551">
        <v>96342.88</v>
      </c>
    </row>
    <row r="552" spans="1:12" x14ac:dyDescent="0.3">
      <c r="A552">
        <v>551</v>
      </c>
      <c r="B552" t="s">
        <v>27</v>
      </c>
      <c r="C552">
        <v>2022</v>
      </c>
      <c r="D552">
        <v>54811</v>
      </c>
      <c r="E552" t="s">
        <v>26</v>
      </c>
      <c r="F552" t="s">
        <v>14</v>
      </c>
      <c r="G552" t="s">
        <v>15</v>
      </c>
      <c r="H552">
        <v>2175</v>
      </c>
      <c r="I552">
        <v>475.5</v>
      </c>
      <c r="J552">
        <v>18.45</v>
      </c>
      <c r="K552">
        <v>4</v>
      </c>
      <c r="L552">
        <v>110810.56</v>
      </c>
    </row>
    <row r="553" spans="1:12" x14ac:dyDescent="0.3">
      <c r="A553">
        <v>552</v>
      </c>
      <c r="B553" t="s">
        <v>25</v>
      </c>
      <c r="C553">
        <v>2024</v>
      </c>
      <c r="D553">
        <v>35447</v>
      </c>
      <c r="E553" t="s">
        <v>26</v>
      </c>
      <c r="F553" t="s">
        <v>14</v>
      </c>
      <c r="G553" t="s">
        <v>23</v>
      </c>
      <c r="H553">
        <v>1981</v>
      </c>
      <c r="I553">
        <v>520.70000000000005</v>
      </c>
      <c r="J553">
        <v>6.76</v>
      </c>
      <c r="K553">
        <v>6</v>
      </c>
      <c r="L553">
        <v>117485.2</v>
      </c>
    </row>
    <row r="554" spans="1:12" x14ac:dyDescent="0.3">
      <c r="A554">
        <v>553</v>
      </c>
      <c r="B554" t="s">
        <v>19</v>
      </c>
      <c r="C554">
        <v>2011</v>
      </c>
      <c r="D554">
        <v>133046</v>
      </c>
      <c r="E554" t="s">
        <v>13</v>
      </c>
      <c r="F554" t="s">
        <v>14</v>
      </c>
      <c r="G554" t="s">
        <v>15</v>
      </c>
      <c r="H554">
        <v>1290</v>
      </c>
      <c r="I554">
        <v>513.1</v>
      </c>
      <c r="J554">
        <v>28.35</v>
      </c>
      <c r="K554">
        <v>2</v>
      </c>
      <c r="L554">
        <v>4248.3999999999996</v>
      </c>
    </row>
    <row r="555" spans="1:12" x14ac:dyDescent="0.3">
      <c r="A555">
        <v>554</v>
      </c>
      <c r="B555" t="s">
        <v>29</v>
      </c>
      <c r="C555">
        <v>2007</v>
      </c>
      <c r="D555">
        <v>166326</v>
      </c>
      <c r="E555" t="s">
        <v>17</v>
      </c>
      <c r="F555" t="s">
        <v>18</v>
      </c>
      <c r="G555" t="s">
        <v>15</v>
      </c>
      <c r="H555">
        <v>4529</v>
      </c>
      <c r="I555">
        <v>241.4</v>
      </c>
      <c r="J555">
        <v>24.16</v>
      </c>
      <c r="K555">
        <v>6</v>
      </c>
      <c r="L555">
        <v>75860.73</v>
      </c>
    </row>
    <row r="556" spans="1:12" x14ac:dyDescent="0.3">
      <c r="A556">
        <v>555</v>
      </c>
      <c r="B556" t="s">
        <v>27</v>
      </c>
      <c r="C556">
        <v>2016</v>
      </c>
      <c r="D556">
        <v>89045</v>
      </c>
      <c r="E556" t="s">
        <v>13</v>
      </c>
      <c r="F556" t="s">
        <v>14</v>
      </c>
      <c r="G556" t="s">
        <v>20</v>
      </c>
      <c r="H556">
        <v>4334</v>
      </c>
      <c r="I556">
        <v>424.9</v>
      </c>
      <c r="J556">
        <v>21.45</v>
      </c>
      <c r="K556">
        <v>6</v>
      </c>
      <c r="L556">
        <v>51302.21</v>
      </c>
    </row>
    <row r="557" spans="1:12" x14ac:dyDescent="0.3">
      <c r="A557">
        <v>556</v>
      </c>
      <c r="B557" t="s">
        <v>16</v>
      </c>
      <c r="C557">
        <v>2007</v>
      </c>
      <c r="D557">
        <v>121859</v>
      </c>
      <c r="E557" t="s">
        <v>22</v>
      </c>
      <c r="F557" t="s">
        <v>14</v>
      </c>
      <c r="G557" t="s">
        <v>15</v>
      </c>
      <c r="H557">
        <v>4096</v>
      </c>
      <c r="I557">
        <v>215.2</v>
      </c>
      <c r="J557">
        <v>25.6</v>
      </c>
      <c r="K557">
        <v>5</v>
      </c>
      <c r="L557">
        <v>103602.98</v>
      </c>
    </row>
    <row r="558" spans="1:12" x14ac:dyDescent="0.3">
      <c r="A558">
        <v>557</v>
      </c>
      <c r="B558" t="s">
        <v>29</v>
      </c>
      <c r="C558">
        <v>2024</v>
      </c>
      <c r="D558">
        <v>193490</v>
      </c>
      <c r="E558" t="s">
        <v>17</v>
      </c>
      <c r="F558" t="s">
        <v>18</v>
      </c>
      <c r="G558" t="s">
        <v>15</v>
      </c>
      <c r="H558">
        <v>2740</v>
      </c>
      <c r="I558">
        <v>74.099999999999994</v>
      </c>
      <c r="J558">
        <v>21.19</v>
      </c>
      <c r="K558">
        <v>7</v>
      </c>
      <c r="L558">
        <v>32462.32</v>
      </c>
    </row>
    <row r="559" spans="1:12" x14ac:dyDescent="0.3">
      <c r="A559">
        <v>558</v>
      </c>
      <c r="B559" t="s">
        <v>12</v>
      </c>
      <c r="C559">
        <v>2018</v>
      </c>
      <c r="D559">
        <v>150544</v>
      </c>
      <c r="E559" t="s">
        <v>26</v>
      </c>
      <c r="F559" t="s">
        <v>18</v>
      </c>
      <c r="G559" t="s">
        <v>23</v>
      </c>
      <c r="H559">
        <v>2682</v>
      </c>
      <c r="I559">
        <v>432.9</v>
      </c>
      <c r="J559">
        <v>29.22</v>
      </c>
      <c r="K559">
        <v>4</v>
      </c>
      <c r="L559">
        <v>117780.45</v>
      </c>
    </row>
    <row r="560" spans="1:12" x14ac:dyDescent="0.3">
      <c r="A560">
        <v>559</v>
      </c>
      <c r="B560" t="s">
        <v>30</v>
      </c>
      <c r="C560">
        <v>2019</v>
      </c>
      <c r="D560">
        <v>8471</v>
      </c>
      <c r="E560" t="s">
        <v>13</v>
      </c>
      <c r="F560" t="s">
        <v>14</v>
      </c>
      <c r="G560" t="s">
        <v>23</v>
      </c>
      <c r="H560">
        <v>3787</v>
      </c>
      <c r="I560">
        <v>45.5</v>
      </c>
      <c r="J560">
        <v>22.85</v>
      </c>
      <c r="K560">
        <v>2</v>
      </c>
      <c r="L560">
        <v>74803.83</v>
      </c>
    </row>
    <row r="561" spans="1:12" x14ac:dyDescent="0.3">
      <c r="A561">
        <v>560</v>
      </c>
      <c r="B561" t="s">
        <v>16</v>
      </c>
      <c r="C561">
        <v>2018</v>
      </c>
      <c r="D561">
        <v>125312</v>
      </c>
      <c r="E561" t="s">
        <v>26</v>
      </c>
      <c r="F561" t="s">
        <v>18</v>
      </c>
      <c r="G561" t="s">
        <v>20</v>
      </c>
      <c r="H561">
        <v>3959</v>
      </c>
      <c r="I561">
        <v>269.10000000000002</v>
      </c>
      <c r="J561">
        <v>28.12</v>
      </c>
      <c r="K561">
        <v>7</v>
      </c>
      <c r="L561">
        <v>95843.88</v>
      </c>
    </row>
    <row r="562" spans="1:12" x14ac:dyDescent="0.3">
      <c r="A562">
        <v>561</v>
      </c>
      <c r="B562" t="s">
        <v>16</v>
      </c>
      <c r="C562">
        <v>2011</v>
      </c>
      <c r="D562">
        <v>144401</v>
      </c>
      <c r="E562" t="s">
        <v>26</v>
      </c>
      <c r="F562" t="s">
        <v>18</v>
      </c>
      <c r="G562" t="s">
        <v>15</v>
      </c>
      <c r="H562">
        <v>1481</v>
      </c>
      <c r="I562">
        <v>224.5</v>
      </c>
      <c r="J562">
        <v>17.93</v>
      </c>
      <c r="K562">
        <v>7</v>
      </c>
      <c r="L562">
        <v>13015.15</v>
      </c>
    </row>
    <row r="563" spans="1:12" x14ac:dyDescent="0.3">
      <c r="A563">
        <v>562</v>
      </c>
      <c r="B563" t="s">
        <v>27</v>
      </c>
      <c r="C563">
        <v>2021</v>
      </c>
      <c r="D563">
        <v>170937</v>
      </c>
      <c r="E563" t="s">
        <v>22</v>
      </c>
      <c r="F563" t="s">
        <v>14</v>
      </c>
      <c r="G563" t="s">
        <v>20</v>
      </c>
      <c r="H563">
        <v>1873</v>
      </c>
      <c r="I563">
        <v>428.3</v>
      </c>
      <c r="J563">
        <v>7.93</v>
      </c>
      <c r="K563">
        <v>2</v>
      </c>
      <c r="L563">
        <v>24464.57</v>
      </c>
    </row>
    <row r="564" spans="1:12" x14ac:dyDescent="0.3">
      <c r="A564">
        <v>563</v>
      </c>
      <c r="B564" t="s">
        <v>25</v>
      </c>
      <c r="C564">
        <v>2016</v>
      </c>
      <c r="D564">
        <v>51850</v>
      </c>
      <c r="E564" t="s">
        <v>17</v>
      </c>
      <c r="F564" t="s">
        <v>18</v>
      </c>
      <c r="G564" t="s">
        <v>23</v>
      </c>
      <c r="H564">
        <v>3187</v>
      </c>
      <c r="I564">
        <v>469.1</v>
      </c>
      <c r="J564">
        <v>18.2</v>
      </c>
      <c r="K564">
        <v>7</v>
      </c>
      <c r="L564">
        <v>91733.23</v>
      </c>
    </row>
    <row r="565" spans="1:12" x14ac:dyDescent="0.3">
      <c r="A565">
        <v>564</v>
      </c>
      <c r="B565" t="s">
        <v>27</v>
      </c>
      <c r="C565">
        <v>2024</v>
      </c>
      <c r="D565">
        <v>59220</v>
      </c>
      <c r="E565" t="s">
        <v>22</v>
      </c>
      <c r="F565" t="s">
        <v>18</v>
      </c>
      <c r="G565" t="s">
        <v>20</v>
      </c>
      <c r="H565">
        <v>3194</v>
      </c>
      <c r="I565">
        <v>210.3</v>
      </c>
      <c r="J565">
        <v>8.17</v>
      </c>
      <c r="K565">
        <v>5</v>
      </c>
      <c r="L565">
        <v>5572.42</v>
      </c>
    </row>
    <row r="566" spans="1:12" x14ac:dyDescent="0.3">
      <c r="A566">
        <v>565</v>
      </c>
      <c r="B566" t="s">
        <v>12</v>
      </c>
      <c r="C566">
        <v>2008</v>
      </c>
      <c r="D566">
        <v>98808</v>
      </c>
      <c r="E566" t="s">
        <v>22</v>
      </c>
      <c r="F566" t="s">
        <v>14</v>
      </c>
      <c r="G566" t="s">
        <v>23</v>
      </c>
      <c r="H566">
        <v>3493</v>
      </c>
      <c r="I566">
        <v>494.5</v>
      </c>
      <c r="J566">
        <v>19.809999999999999</v>
      </c>
      <c r="K566">
        <v>7</v>
      </c>
      <c r="L566">
        <v>98574.720000000001</v>
      </c>
    </row>
    <row r="567" spans="1:12" x14ac:dyDescent="0.3">
      <c r="A567">
        <v>566</v>
      </c>
      <c r="B567" t="s">
        <v>24</v>
      </c>
      <c r="C567">
        <v>2013</v>
      </c>
      <c r="D567">
        <v>142469</v>
      </c>
      <c r="E567" t="s">
        <v>22</v>
      </c>
      <c r="F567" t="s">
        <v>18</v>
      </c>
      <c r="G567" t="s">
        <v>20</v>
      </c>
      <c r="H567">
        <v>2170</v>
      </c>
      <c r="I567">
        <v>204.6</v>
      </c>
      <c r="J567">
        <v>17.059999999999999</v>
      </c>
      <c r="K567">
        <v>5</v>
      </c>
      <c r="L567">
        <v>4632.04</v>
      </c>
    </row>
    <row r="568" spans="1:12" x14ac:dyDescent="0.3">
      <c r="A568">
        <v>567</v>
      </c>
      <c r="B568" t="s">
        <v>24</v>
      </c>
      <c r="C568">
        <v>2010</v>
      </c>
      <c r="D568">
        <v>171597</v>
      </c>
      <c r="E568" t="s">
        <v>26</v>
      </c>
      <c r="F568" t="s">
        <v>14</v>
      </c>
      <c r="G568" t="s">
        <v>20</v>
      </c>
      <c r="H568">
        <v>2956</v>
      </c>
      <c r="I568">
        <v>289.89999999999998</v>
      </c>
      <c r="J568">
        <v>20.56</v>
      </c>
      <c r="K568">
        <v>4</v>
      </c>
      <c r="L568">
        <v>79882.899999999994</v>
      </c>
    </row>
    <row r="569" spans="1:12" x14ac:dyDescent="0.3">
      <c r="A569">
        <v>568</v>
      </c>
      <c r="B569" t="s">
        <v>25</v>
      </c>
      <c r="C569">
        <v>2020</v>
      </c>
      <c r="D569">
        <v>58072</v>
      </c>
      <c r="E569" t="s">
        <v>22</v>
      </c>
      <c r="F569" t="s">
        <v>14</v>
      </c>
      <c r="G569" t="s">
        <v>15</v>
      </c>
      <c r="H569">
        <v>3380</v>
      </c>
      <c r="I569">
        <v>447.1</v>
      </c>
      <c r="J569">
        <v>5.25</v>
      </c>
      <c r="K569">
        <v>4</v>
      </c>
      <c r="L569">
        <v>45715.99</v>
      </c>
    </row>
    <row r="570" spans="1:12" x14ac:dyDescent="0.3">
      <c r="A570">
        <v>569</v>
      </c>
      <c r="B570" t="s">
        <v>12</v>
      </c>
      <c r="C570">
        <v>2006</v>
      </c>
      <c r="D570">
        <v>88820</v>
      </c>
      <c r="E570" t="s">
        <v>22</v>
      </c>
      <c r="F570" t="s">
        <v>18</v>
      </c>
      <c r="G570" t="s">
        <v>20</v>
      </c>
      <c r="H570">
        <v>2959</v>
      </c>
      <c r="I570">
        <v>428</v>
      </c>
      <c r="J570">
        <v>9.8699999999999992</v>
      </c>
      <c r="K570">
        <v>6</v>
      </c>
      <c r="L570">
        <v>74544.899999999994</v>
      </c>
    </row>
    <row r="571" spans="1:12" x14ac:dyDescent="0.3">
      <c r="A571">
        <v>570</v>
      </c>
      <c r="B571" t="s">
        <v>25</v>
      </c>
      <c r="C571">
        <v>2012</v>
      </c>
      <c r="D571">
        <v>28284</v>
      </c>
      <c r="E571" t="s">
        <v>17</v>
      </c>
      <c r="F571" t="s">
        <v>18</v>
      </c>
      <c r="G571" t="s">
        <v>15</v>
      </c>
      <c r="H571">
        <v>4048</v>
      </c>
      <c r="I571">
        <v>592.9</v>
      </c>
      <c r="J571">
        <v>17.28</v>
      </c>
      <c r="K571">
        <v>5</v>
      </c>
      <c r="L571">
        <v>84435.67</v>
      </c>
    </row>
    <row r="572" spans="1:12" x14ac:dyDescent="0.3">
      <c r="A572">
        <v>571</v>
      </c>
      <c r="B572" t="s">
        <v>28</v>
      </c>
      <c r="C572">
        <v>2015</v>
      </c>
      <c r="D572">
        <v>197402</v>
      </c>
      <c r="E572" t="s">
        <v>17</v>
      </c>
      <c r="F572" t="s">
        <v>18</v>
      </c>
      <c r="G572" t="s">
        <v>15</v>
      </c>
      <c r="H572">
        <v>4531</v>
      </c>
      <c r="I572">
        <v>166.1</v>
      </c>
      <c r="J572">
        <v>28.76</v>
      </c>
      <c r="K572">
        <v>4</v>
      </c>
      <c r="L572">
        <v>43069.599999999999</v>
      </c>
    </row>
    <row r="573" spans="1:12" x14ac:dyDescent="0.3">
      <c r="A573">
        <v>572</v>
      </c>
      <c r="B573" t="s">
        <v>24</v>
      </c>
      <c r="C573">
        <v>2017</v>
      </c>
      <c r="D573">
        <v>88369</v>
      </c>
      <c r="E573" t="s">
        <v>22</v>
      </c>
      <c r="F573" t="s">
        <v>14</v>
      </c>
      <c r="G573" t="s">
        <v>15</v>
      </c>
      <c r="H573">
        <v>4629</v>
      </c>
      <c r="I573">
        <v>410.9</v>
      </c>
      <c r="J573">
        <v>14.59</v>
      </c>
      <c r="K573">
        <v>7</v>
      </c>
      <c r="L573">
        <v>15631.61</v>
      </c>
    </row>
    <row r="574" spans="1:12" x14ac:dyDescent="0.3">
      <c r="A574">
        <v>573</v>
      </c>
      <c r="B574" t="s">
        <v>16</v>
      </c>
      <c r="C574">
        <v>2021</v>
      </c>
      <c r="D574">
        <v>30122</v>
      </c>
      <c r="E574" t="s">
        <v>17</v>
      </c>
      <c r="F574" t="s">
        <v>18</v>
      </c>
      <c r="G574" t="s">
        <v>15</v>
      </c>
      <c r="H574">
        <v>2427</v>
      </c>
      <c r="I574">
        <v>381.4</v>
      </c>
      <c r="J574">
        <v>15.61</v>
      </c>
      <c r="K574">
        <v>2</v>
      </c>
      <c r="L574">
        <v>11148.57</v>
      </c>
    </row>
    <row r="575" spans="1:12" x14ac:dyDescent="0.3">
      <c r="A575">
        <v>574</v>
      </c>
      <c r="B575" t="s">
        <v>19</v>
      </c>
      <c r="C575">
        <v>2012</v>
      </c>
      <c r="D575">
        <v>135349</v>
      </c>
      <c r="E575" t="s">
        <v>17</v>
      </c>
      <c r="F575" t="s">
        <v>14</v>
      </c>
      <c r="G575" t="s">
        <v>20</v>
      </c>
      <c r="H575">
        <v>4272</v>
      </c>
      <c r="I575">
        <v>552.5</v>
      </c>
      <c r="J575">
        <v>22.87</v>
      </c>
      <c r="K575">
        <v>2</v>
      </c>
      <c r="L575">
        <v>71905.509999999995</v>
      </c>
    </row>
    <row r="576" spans="1:12" x14ac:dyDescent="0.3">
      <c r="A576">
        <v>575</v>
      </c>
      <c r="B576" t="s">
        <v>30</v>
      </c>
      <c r="C576">
        <v>2022</v>
      </c>
      <c r="D576">
        <v>75553</v>
      </c>
      <c r="E576" t="s">
        <v>22</v>
      </c>
      <c r="F576" t="s">
        <v>18</v>
      </c>
      <c r="G576" t="s">
        <v>23</v>
      </c>
      <c r="H576">
        <v>827</v>
      </c>
      <c r="I576">
        <v>127.6</v>
      </c>
      <c r="J576">
        <v>20.09</v>
      </c>
      <c r="K576">
        <v>5</v>
      </c>
      <c r="L576">
        <v>63916.68</v>
      </c>
    </row>
    <row r="577" spans="1:12" x14ac:dyDescent="0.3">
      <c r="A577">
        <v>576</v>
      </c>
      <c r="B577" t="s">
        <v>12</v>
      </c>
      <c r="C577">
        <v>2022</v>
      </c>
      <c r="D577">
        <v>99788</v>
      </c>
      <c r="E577" t="s">
        <v>26</v>
      </c>
      <c r="F577" t="s">
        <v>18</v>
      </c>
      <c r="G577" t="s">
        <v>23</v>
      </c>
      <c r="H577">
        <v>2785</v>
      </c>
      <c r="I577">
        <v>461</v>
      </c>
      <c r="J577">
        <v>12.47</v>
      </c>
      <c r="K577">
        <v>6</v>
      </c>
      <c r="L577">
        <v>89837.52</v>
      </c>
    </row>
    <row r="578" spans="1:12" x14ac:dyDescent="0.3">
      <c r="A578">
        <v>577</v>
      </c>
      <c r="B578" t="s">
        <v>29</v>
      </c>
      <c r="C578">
        <v>2018</v>
      </c>
      <c r="D578">
        <v>67812</v>
      </c>
      <c r="E578" t="s">
        <v>22</v>
      </c>
      <c r="F578" t="s">
        <v>18</v>
      </c>
      <c r="G578" t="s">
        <v>23</v>
      </c>
      <c r="H578">
        <v>4953</v>
      </c>
      <c r="I578">
        <v>358.2</v>
      </c>
      <c r="J578">
        <v>15.27</v>
      </c>
      <c r="K578">
        <v>7</v>
      </c>
      <c r="L578">
        <v>62639.05</v>
      </c>
    </row>
    <row r="579" spans="1:12" x14ac:dyDescent="0.3">
      <c r="A579">
        <v>578</v>
      </c>
      <c r="B579" t="s">
        <v>25</v>
      </c>
      <c r="C579">
        <v>2019</v>
      </c>
      <c r="D579">
        <v>12999</v>
      </c>
      <c r="E579" t="s">
        <v>17</v>
      </c>
      <c r="F579" t="s">
        <v>14</v>
      </c>
      <c r="G579" t="s">
        <v>20</v>
      </c>
      <c r="H579">
        <v>2321</v>
      </c>
      <c r="I579">
        <v>193.8</v>
      </c>
      <c r="J579">
        <v>10.44</v>
      </c>
      <c r="K579">
        <v>5</v>
      </c>
      <c r="L579">
        <v>52426.16</v>
      </c>
    </row>
    <row r="580" spans="1:12" x14ac:dyDescent="0.3">
      <c r="A580">
        <v>579</v>
      </c>
      <c r="B580" t="s">
        <v>30</v>
      </c>
      <c r="C580">
        <v>2010</v>
      </c>
      <c r="D580">
        <v>27436</v>
      </c>
      <c r="E580" t="s">
        <v>26</v>
      </c>
      <c r="F580" t="s">
        <v>18</v>
      </c>
      <c r="G580" t="s">
        <v>15</v>
      </c>
      <c r="H580">
        <v>1096</v>
      </c>
      <c r="I580">
        <v>305.7</v>
      </c>
      <c r="J580">
        <v>29.15</v>
      </c>
      <c r="K580">
        <v>2</v>
      </c>
      <c r="L580">
        <v>49576.2</v>
      </c>
    </row>
    <row r="581" spans="1:12" x14ac:dyDescent="0.3">
      <c r="A581">
        <v>580</v>
      </c>
      <c r="B581" t="s">
        <v>29</v>
      </c>
      <c r="C581">
        <v>2015</v>
      </c>
      <c r="D581">
        <v>47963</v>
      </c>
      <c r="E581" t="s">
        <v>13</v>
      </c>
      <c r="F581" t="s">
        <v>18</v>
      </c>
      <c r="G581" t="s">
        <v>23</v>
      </c>
      <c r="H581">
        <v>2981</v>
      </c>
      <c r="I581">
        <v>226.9</v>
      </c>
      <c r="J581">
        <v>8.27</v>
      </c>
      <c r="K581">
        <v>5</v>
      </c>
      <c r="L581">
        <v>6094.29</v>
      </c>
    </row>
    <row r="582" spans="1:12" x14ac:dyDescent="0.3">
      <c r="A582">
        <v>581</v>
      </c>
      <c r="B582" t="s">
        <v>30</v>
      </c>
      <c r="C582">
        <v>2017</v>
      </c>
      <c r="D582">
        <v>138168</v>
      </c>
      <c r="E582" t="s">
        <v>26</v>
      </c>
      <c r="F582" t="s">
        <v>14</v>
      </c>
      <c r="G582" t="s">
        <v>20</v>
      </c>
      <c r="H582">
        <v>4202</v>
      </c>
      <c r="I582">
        <v>364.4</v>
      </c>
      <c r="J582">
        <v>14.3</v>
      </c>
      <c r="K582">
        <v>7</v>
      </c>
      <c r="L582">
        <v>42260.19</v>
      </c>
    </row>
    <row r="583" spans="1:12" x14ac:dyDescent="0.3">
      <c r="A583">
        <v>582</v>
      </c>
      <c r="B583" t="s">
        <v>19</v>
      </c>
      <c r="C583">
        <v>2005</v>
      </c>
      <c r="D583">
        <v>161351</v>
      </c>
      <c r="E583" t="s">
        <v>17</v>
      </c>
      <c r="F583" t="s">
        <v>14</v>
      </c>
      <c r="G583" t="s">
        <v>15</v>
      </c>
      <c r="H583">
        <v>3096</v>
      </c>
      <c r="I583">
        <v>537.79999999999995</v>
      </c>
      <c r="J583">
        <v>5.65</v>
      </c>
      <c r="K583">
        <v>4</v>
      </c>
      <c r="L583">
        <v>117194.36</v>
      </c>
    </row>
    <row r="584" spans="1:12" x14ac:dyDescent="0.3">
      <c r="A584">
        <v>583</v>
      </c>
      <c r="B584" t="s">
        <v>29</v>
      </c>
      <c r="C584">
        <v>2010</v>
      </c>
      <c r="D584">
        <v>113899</v>
      </c>
      <c r="E584" t="s">
        <v>26</v>
      </c>
      <c r="F584" t="s">
        <v>18</v>
      </c>
      <c r="G584" t="s">
        <v>23</v>
      </c>
      <c r="H584">
        <v>3397</v>
      </c>
      <c r="I584">
        <v>358.8</v>
      </c>
      <c r="J584">
        <v>10.54</v>
      </c>
      <c r="K584">
        <v>7</v>
      </c>
      <c r="L584">
        <v>105206</v>
      </c>
    </row>
    <row r="585" spans="1:12" x14ac:dyDescent="0.3">
      <c r="A585">
        <v>584</v>
      </c>
      <c r="B585" t="s">
        <v>27</v>
      </c>
      <c r="C585">
        <v>2013</v>
      </c>
      <c r="D585">
        <v>31201</v>
      </c>
      <c r="E585" t="s">
        <v>22</v>
      </c>
      <c r="F585" t="s">
        <v>18</v>
      </c>
      <c r="G585" t="s">
        <v>15</v>
      </c>
      <c r="H585">
        <v>1701</v>
      </c>
      <c r="I585">
        <v>393.8</v>
      </c>
      <c r="J585">
        <v>24.51</v>
      </c>
      <c r="K585">
        <v>4</v>
      </c>
      <c r="L585">
        <v>41537.230000000003</v>
      </c>
    </row>
    <row r="586" spans="1:12" x14ac:dyDescent="0.3">
      <c r="A586">
        <v>585</v>
      </c>
      <c r="B586" t="s">
        <v>21</v>
      </c>
      <c r="C586">
        <v>2012</v>
      </c>
      <c r="D586">
        <v>155787</v>
      </c>
      <c r="E586" t="s">
        <v>13</v>
      </c>
      <c r="F586" t="s">
        <v>18</v>
      </c>
      <c r="G586" t="s">
        <v>23</v>
      </c>
      <c r="H586">
        <v>1898</v>
      </c>
      <c r="I586">
        <v>330.5</v>
      </c>
      <c r="J586">
        <v>10.029999999999999</v>
      </c>
      <c r="K586">
        <v>4</v>
      </c>
      <c r="L586">
        <v>71772.06</v>
      </c>
    </row>
    <row r="587" spans="1:12" x14ac:dyDescent="0.3">
      <c r="A587">
        <v>586</v>
      </c>
      <c r="B587" t="s">
        <v>27</v>
      </c>
      <c r="C587">
        <v>2015</v>
      </c>
      <c r="D587">
        <v>165381</v>
      </c>
      <c r="E587" t="s">
        <v>13</v>
      </c>
      <c r="F587" t="s">
        <v>14</v>
      </c>
      <c r="G587" t="s">
        <v>23</v>
      </c>
      <c r="H587">
        <v>2477</v>
      </c>
      <c r="I587">
        <v>68.7</v>
      </c>
      <c r="J587">
        <v>7</v>
      </c>
      <c r="K587">
        <v>4</v>
      </c>
      <c r="L587">
        <v>102133.72</v>
      </c>
    </row>
    <row r="588" spans="1:12" x14ac:dyDescent="0.3">
      <c r="A588">
        <v>587</v>
      </c>
      <c r="B588" t="s">
        <v>24</v>
      </c>
      <c r="C588">
        <v>2023</v>
      </c>
      <c r="D588">
        <v>151150</v>
      </c>
      <c r="E588" t="s">
        <v>13</v>
      </c>
      <c r="F588" t="s">
        <v>14</v>
      </c>
      <c r="G588" t="s">
        <v>23</v>
      </c>
      <c r="H588">
        <v>3681</v>
      </c>
      <c r="I588">
        <v>170.4</v>
      </c>
      <c r="J588">
        <v>16.86</v>
      </c>
      <c r="K588">
        <v>5</v>
      </c>
      <c r="L588">
        <v>54629.1</v>
      </c>
    </row>
    <row r="589" spans="1:12" x14ac:dyDescent="0.3">
      <c r="A589">
        <v>588</v>
      </c>
      <c r="B589" t="s">
        <v>21</v>
      </c>
      <c r="C589">
        <v>2013</v>
      </c>
      <c r="D589">
        <v>192686</v>
      </c>
      <c r="E589" t="s">
        <v>17</v>
      </c>
      <c r="F589" t="s">
        <v>14</v>
      </c>
      <c r="G589" t="s">
        <v>15</v>
      </c>
      <c r="H589">
        <v>2178</v>
      </c>
      <c r="I589">
        <v>315.5</v>
      </c>
      <c r="J589">
        <v>5.25</v>
      </c>
      <c r="K589">
        <v>2</v>
      </c>
      <c r="L589">
        <v>5101.07</v>
      </c>
    </row>
    <row r="590" spans="1:12" x14ac:dyDescent="0.3">
      <c r="A590">
        <v>589</v>
      </c>
      <c r="B590" t="s">
        <v>27</v>
      </c>
      <c r="C590">
        <v>2021</v>
      </c>
      <c r="D590">
        <v>10105</v>
      </c>
      <c r="E590" t="s">
        <v>17</v>
      </c>
      <c r="F590" t="s">
        <v>14</v>
      </c>
      <c r="G590" t="s">
        <v>20</v>
      </c>
      <c r="H590">
        <v>2048</v>
      </c>
      <c r="I590">
        <v>213.7</v>
      </c>
      <c r="J590">
        <v>7.12</v>
      </c>
      <c r="K590">
        <v>5</v>
      </c>
      <c r="L590">
        <v>11717.72</v>
      </c>
    </row>
    <row r="591" spans="1:12" x14ac:dyDescent="0.3">
      <c r="A591">
        <v>590</v>
      </c>
      <c r="B591" t="s">
        <v>21</v>
      </c>
      <c r="C591">
        <v>2016</v>
      </c>
      <c r="D591">
        <v>122666</v>
      </c>
      <c r="E591" t="s">
        <v>13</v>
      </c>
      <c r="F591" t="s">
        <v>18</v>
      </c>
      <c r="G591" t="s">
        <v>15</v>
      </c>
      <c r="H591">
        <v>4535</v>
      </c>
      <c r="I591">
        <v>141.80000000000001</v>
      </c>
      <c r="J591">
        <v>25.19</v>
      </c>
      <c r="K591">
        <v>2</v>
      </c>
      <c r="L591">
        <v>62715.95</v>
      </c>
    </row>
    <row r="592" spans="1:12" x14ac:dyDescent="0.3">
      <c r="A592">
        <v>591</v>
      </c>
      <c r="B592" t="s">
        <v>21</v>
      </c>
      <c r="C592">
        <v>2018</v>
      </c>
      <c r="D592">
        <v>99848</v>
      </c>
      <c r="E592" t="s">
        <v>26</v>
      </c>
      <c r="F592" t="s">
        <v>14</v>
      </c>
      <c r="G592" t="s">
        <v>23</v>
      </c>
      <c r="H592">
        <v>2064</v>
      </c>
      <c r="I592">
        <v>322.3</v>
      </c>
      <c r="J592">
        <v>24.29</v>
      </c>
      <c r="K592">
        <v>7</v>
      </c>
      <c r="L592">
        <v>116424.41</v>
      </c>
    </row>
    <row r="593" spans="1:12" x14ac:dyDescent="0.3">
      <c r="A593">
        <v>592</v>
      </c>
      <c r="B593" t="s">
        <v>16</v>
      </c>
      <c r="C593">
        <v>2019</v>
      </c>
      <c r="D593">
        <v>7839</v>
      </c>
      <c r="E593" t="s">
        <v>13</v>
      </c>
      <c r="F593" t="s">
        <v>14</v>
      </c>
      <c r="G593" t="s">
        <v>15</v>
      </c>
      <c r="H593">
        <v>2707</v>
      </c>
      <c r="I593">
        <v>220.8</v>
      </c>
      <c r="J593">
        <v>27.88</v>
      </c>
      <c r="K593">
        <v>6</v>
      </c>
      <c r="L593">
        <v>84105.52</v>
      </c>
    </row>
    <row r="594" spans="1:12" x14ac:dyDescent="0.3">
      <c r="A594">
        <v>593</v>
      </c>
      <c r="B594" t="s">
        <v>25</v>
      </c>
      <c r="C594">
        <v>2020</v>
      </c>
      <c r="D594">
        <v>73920</v>
      </c>
      <c r="E594" t="s">
        <v>26</v>
      </c>
      <c r="F594" t="s">
        <v>14</v>
      </c>
      <c r="G594" t="s">
        <v>20</v>
      </c>
      <c r="H594">
        <v>1858</v>
      </c>
      <c r="I594">
        <v>184.5</v>
      </c>
      <c r="J594">
        <v>26.36</v>
      </c>
      <c r="K594">
        <v>7</v>
      </c>
      <c r="L594">
        <v>11297.19</v>
      </c>
    </row>
    <row r="595" spans="1:12" x14ac:dyDescent="0.3">
      <c r="A595">
        <v>594</v>
      </c>
      <c r="B595" t="s">
        <v>25</v>
      </c>
      <c r="C595">
        <v>2024</v>
      </c>
      <c r="D595">
        <v>48619</v>
      </c>
      <c r="E595" t="s">
        <v>26</v>
      </c>
      <c r="F595" t="s">
        <v>18</v>
      </c>
      <c r="G595" t="s">
        <v>15</v>
      </c>
      <c r="H595">
        <v>3549</v>
      </c>
      <c r="I595">
        <v>299.8</v>
      </c>
      <c r="J595">
        <v>22.08</v>
      </c>
      <c r="K595">
        <v>5</v>
      </c>
      <c r="L595">
        <v>25155.22</v>
      </c>
    </row>
    <row r="596" spans="1:12" x14ac:dyDescent="0.3">
      <c r="A596">
        <v>595</v>
      </c>
      <c r="B596" t="s">
        <v>16</v>
      </c>
      <c r="C596">
        <v>2005</v>
      </c>
      <c r="D596">
        <v>47821</v>
      </c>
      <c r="E596" t="s">
        <v>17</v>
      </c>
      <c r="F596" t="s">
        <v>18</v>
      </c>
      <c r="G596" t="s">
        <v>20</v>
      </c>
      <c r="H596">
        <v>2848</v>
      </c>
      <c r="I596">
        <v>114.6</v>
      </c>
      <c r="J596">
        <v>6.31</v>
      </c>
      <c r="K596">
        <v>5</v>
      </c>
      <c r="L596">
        <v>93244.81</v>
      </c>
    </row>
    <row r="597" spans="1:12" x14ac:dyDescent="0.3">
      <c r="A597">
        <v>596</v>
      </c>
      <c r="B597" t="s">
        <v>30</v>
      </c>
      <c r="C597">
        <v>2014</v>
      </c>
      <c r="D597">
        <v>130736</v>
      </c>
      <c r="E597" t="s">
        <v>26</v>
      </c>
      <c r="F597" t="s">
        <v>14</v>
      </c>
      <c r="G597" t="s">
        <v>20</v>
      </c>
      <c r="H597">
        <v>3276</v>
      </c>
      <c r="I597">
        <v>559.5</v>
      </c>
      <c r="J597">
        <v>24.57</v>
      </c>
      <c r="K597">
        <v>2</v>
      </c>
      <c r="L597">
        <v>101448.45</v>
      </c>
    </row>
    <row r="598" spans="1:12" x14ac:dyDescent="0.3">
      <c r="A598">
        <v>597</v>
      </c>
      <c r="B598" t="s">
        <v>28</v>
      </c>
      <c r="C598">
        <v>2012</v>
      </c>
      <c r="D598">
        <v>149565</v>
      </c>
      <c r="E598" t="s">
        <v>13</v>
      </c>
      <c r="F598" t="s">
        <v>14</v>
      </c>
      <c r="G598" t="s">
        <v>15</v>
      </c>
      <c r="H598">
        <v>4816</v>
      </c>
      <c r="I598">
        <v>525.9</v>
      </c>
      <c r="J598">
        <v>26.14</v>
      </c>
      <c r="K598">
        <v>5</v>
      </c>
      <c r="L598">
        <v>75270.27</v>
      </c>
    </row>
    <row r="599" spans="1:12" x14ac:dyDescent="0.3">
      <c r="A599">
        <v>598</v>
      </c>
      <c r="B599" t="s">
        <v>30</v>
      </c>
      <c r="C599">
        <v>2022</v>
      </c>
      <c r="D599">
        <v>22069</v>
      </c>
      <c r="E599" t="s">
        <v>17</v>
      </c>
      <c r="F599" t="s">
        <v>18</v>
      </c>
      <c r="G599" t="s">
        <v>23</v>
      </c>
      <c r="H599">
        <v>3997</v>
      </c>
      <c r="I599">
        <v>436.3</v>
      </c>
      <c r="J599">
        <v>24.98</v>
      </c>
      <c r="K599">
        <v>4</v>
      </c>
      <c r="L599">
        <v>78397.509999999995</v>
      </c>
    </row>
    <row r="600" spans="1:12" x14ac:dyDescent="0.3">
      <c r="A600">
        <v>599</v>
      </c>
      <c r="B600" t="s">
        <v>29</v>
      </c>
      <c r="C600">
        <v>2005</v>
      </c>
      <c r="D600">
        <v>12531</v>
      </c>
      <c r="E600" t="s">
        <v>22</v>
      </c>
      <c r="F600" t="s">
        <v>18</v>
      </c>
      <c r="G600" t="s">
        <v>20</v>
      </c>
      <c r="H600">
        <v>4353</v>
      </c>
      <c r="I600">
        <v>99.5</v>
      </c>
      <c r="J600">
        <v>17.71</v>
      </c>
      <c r="K600">
        <v>5</v>
      </c>
      <c r="L600">
        <v>6315.48</v>
      </c>
    </row>
    <row r="601" spans="1:12" x14ac:dyDescent="0.3">
      <c r="A601">
        <v>600</v>
      </c>
      <c r="B601" t="s">
        <v>29</v>
      </c>
      <c r="C601">
        <v>2006</v>
      </c>
      <c r="D601">
        <v>173123</v>
      </c>
      <c r="E601" t="s">
        <v>22</v>
      </c>
      <c r="F601" t="s">
        <v>18</v>
      </c>
      <c r="G601" t="s">
        <v>15</v>
      </c>
      <c r="H601">
        <v>2561</v>
      </c>
      <c r="I601">
        <v>474.5</v>
      </c>
      <c r="J601">
        <v>10.82</v>
      </c>
      <c r="K601">
        <v>2</v>
      </c>
      <c r="L601">
        <v>99938.04</v>
      </c>
    </row>
    <row r="602" spans="1:12" x14ac:dyDescent="0.3">
      <c r="A602">
        <v>601</v>
      </c>
      <c r="B602" t="s">
        <v>21</v>
      </c>
      <c r="C602">
        <v>2005</v>
      </c>
      <c r="D602">
        <v>143808</v>
      </c>
      <c r="E602" t="s">
        <v>17</v>
      </c>
      <c r="F602" t="s">
        <v>18</v>
      </c>
      <c r="G602" t="s">
        <v>20</v>
      </c>
      <c r="H602">
        <v>1020</v>
      </c>
      <c r="I602">
        <v>492.5</v>
      </c>
      <c r="J602">
        <v>26.13</v>
      </c>
      <c r="K602">
        <v>2</v>
      </c>
      <c r="L602">
        <v>95228.2</v>
      </c>
    </row>
    <row r="603" spans="1:12" x14ac:dyDescent="0.3">
      <c r="A603">
        <v>602</v>
      </c>
      <c r="B603" t="s">
        <v>27</v>
      </c>
      <c r="C603">
        <v>2005</v>
      </c>
      <c r="D603">
        <v>143782</v>
      </c>
      <c r="E603" t="s">
        <v>13</v>
      </c>
      <c r="F603" t="s">
        <v>18</v>
      </c>
      <c r="G603" t="s">
        <v>23</v>
      </c>
      <c r="H603">
        <v>3688</v>
      </c>
      <c r="I603">
        <v>469.9</v>
      </c>
      <c r="J603">
        <v>23.18</v>
      </c>
      <c r="K603">
        <v>4</v>
      </c>
      <c r="L603">
        <v>33307.11</v>
      </c>
    </row>
    <row r="604" spans="1:12" x14ac:dyDescent="0.3">
      <c r="A604">
        <v>603</v>
      </c>
      <c r="B604" t="s">
        <v>27</v>
      </c>
      <c r="C604">
        <v>2013</v>
      </c>
      <c r="D604">
        <v>72155</v>
      </c>
      <c r="E604" t="s">
        <v>22</v>
      </c>
      <c r="F604" t="s">
        <v>18</v>
      </c>
      <c r="G604" t="s">
        <v>15</v>
      </c>
      <c r="H604">
        <v>2464</v>
      </c>
      <c r="I604">
        <v>103.8</v>
      </c>
      <c r="J604">
        <v>29.52</v>
      </c>
      <c r="K604">
        <v>2</v>
      </c>
      <c r="L604">
        <v>85915.18</v>
      </c>
    </row>
    <row r="605" spans="1:12" x14ac:dyDescent="0.3">
      <c r="A605">
        <v>604</v>
      </c>
      <c r="B605" t="s">
        <v>25</v>
      </c>
      <c r="C605">
        <v>2017</v>
      </c>
      <c r="D605">
        <v>150047</v>
      </c>
      <c r="E605" t="s">
        <v>22</v>
      </c>
      <c r="F605" t="s">
        <v>18</v>
      </c>
      <c r="G605" t="s">
        <v>15</v>
      </c>
      <c r="H605">
        <v>4786</v>
      </c>
      <c r="I605">
        <v>400.6</v>
      </c>
      <c r="J605">
        <v>8.89</v>
      </c>
      <c r="K605">
        <v>6</v>
      </c>
      <c r="L605">
        <v>28137.99</v>
      </c>
    </row>
    <row r="606" spans="1:12" x14ac:dyDescent="0.3">
      <c r="A606">
        <v>605</v>
      </c>
      <c r="B606" t="s">
        <v>12</v>
      </c>
      <c r="C606">
        <v>2005</v>
      </c>
      <c r="D606">
        <v>67424</v>
      </c>
      <c r="E606" t="s">
        <v>26</v>
      </c>
      <c r="F606" t="s">
        <v>18</v>
      </c>
      <c r="G606" t="s">
        <v>15</v>
      </c>
      <c r="H606">
        <v>3777</v>
      </c>
      <c r="I606">
        <v>507.2</v>
      </c>
      <c r="J606">
        <v>10.64</v>
      </c>
      <c r="K606">
        <v>7</v>
      </c>
      <c r="L606">
        <v>7718.63</v>
      </c>
    </row>
    <row r="607" spans="1:12" x14ac:dyDescent="0.3">
      <c r="A607">
        <v>606</v>
      </c>
      <c r="B607" t="s">
        <v>30</v>
      </c>
      <c r="C607">
        <v>2017</v>
      </c>
      <c r="D607">
        <v>50603</v>
      </c>
      <c r="E607" t="s">
        <v>26</v>
      </c>
      <c r="F607" t="s">
        <v>14</v>
      </c>
      <c r="G607" t="s">
        <v>23</v>
      </c>
      <c r="H607">
        <v>2671</v>
      </c>
      <c r="I607">
        <v>363.3</v>
      </c>
      <c r="J607">
        <v>10.29</v>
      </c>
      <c r="K607">
        <v>5</v>
      </c>
      <c r="L607">
        <v>26532.98</v>
      </c>
    </row>
    <row r="608" spans="1:12" x14ac:dyDescent="0.3">
      <c r="A608">
        <v>607</v>
      </c>
      <c r="B608" t="s">
        <v>24</v>
      </c>
      <c r="C608">
        <v>2024</v>
      </c>
      <c r="D608">
        <v>159324</v>
      </c>
      <c r="E608" t="s">
        <v>13</v>
      </c>
      <c r="F608" t="s">
        <v>14</v>
      </c>
      <c r="G608" t="s">
        <v>20</v>
      </c>
      <c r="H608">
        <v>2262</v>
      </c>
      <c r="I608">
        <v>402</v>
      </c>
      <c r="J608">
        <v>24.81</v>
      </c>
      <c r="K608">
        <v>6</v>
      </c>
      <c r="L608">
        <v>23899.58</v>
      </c>
    </row>
    <row r="609" spans="1:12" x14ac:dyDescent="0.3">
      <c r="A609">
        <v>608</v>
      </c>
      <c r="B609" t="s">
        <v>19</v>
      </c>
      <c r="C609">
        <v>2011</v>
      </c>
      <c r="D609">
        <v>137503</v>
      </c>
      <c r="E609" t="s">
        <v>17</v>
      </c>
      <c r="F609" t="s">
        <v>14</v>
      </c>
      <c r="G609" t="s">
        <v>15</v>
      </c>
      <c r="H609">
        <v>1144</v>
      </c>
      <c r="I609">
        <v>296.7</v>
      </c>
      <c r="J609">
        <v>9.67</v>
      </c>
      <c r="K609">
        <v>5</v>
      </c>
      <c r="L609">
        <v>42516.52</v>
      </c>
    </row>
    <row r="610" spans="1:12" x14ac:dyDescent="0.3">
      <c r="A610">
        <v>609</v>
      </c>
      <c r="B610" t="s">
        <v>27</v>
      </c>
      <c r="C610">
        <v>2006</v>
      </c>
      <c r="D610">
        <v>173553</v>
      </c>
      <c r="E610" t="s">
        <v>13</v>
      </c>
      <c r="F610" t="s">
        <v>14</v>
      </c>
      <c r="G610" t="s">
        <v>20</v>
      </c>
      <c r="H610">
        <v>844</v>
      </c>
      <c r="I610">
        <v>336.1</v>
      </c>
      <c r="J610">
        <v>6.67</v>
      </c>
      <c r="K610">
        <v>6</v>
      </c>
      <c r="L610">
        <v>51958.59</v>
      </c>
    </row>
    <row r="611" spans="1:12" x14ac:dyDescent="0.3">
      <c r="A611">
        <v>610</v>
      </c>
      <c r="B611" t="s">
        <v>19</v>
      </c>
      <c r="C611">
        <v>2010</v>
      </c>
      <c r="D611">
        <v>97573</v>
      </c>
      <c r="E611" t="s">
        <v>17</v>
      </c>
      <c r="F611" t="s">
        <v>14</v>
      </c>
      <c r="G611" t="s">
        <v>20</v>
      </c>
      <c r="H611">
        <v>2868</v>
      </c>
      <c r="I611">
        <v>59.3</v>
      </c>
      <c r="J611">
        <v>29.96</v>
      </c>
      <c r="K611">
        <v>5</v>
      </c>
      <c r="L611">
        <v>62499.05</v>
      </c>
    </row>
    <row r="612" spans="1:12" x14ac:dyDescent="0.3">
      <c r="A612">
        <v>611</v>
      </c>
      <c r="B612" t="s">
        <v>21</v>
      </c>
      <c r="C612">
        <v>2011</v>
      </c>
      <c r="D612">
        <v>145629</v>
      </c>
      <c r="E612" t="s">
        <v>22</v>
      </c>
      <c r="F612" t="s">
        <v>14</v>
      </c>
      <c r="G612" t="s">
        <v>23</v>
      </c>
      <c r="H612">
        <v>2314</v>
      </c>
      <c r="I612">
        <v>397.8</v>
      </c>
      <c r="J612">
        <v>5.62</v>
      </c>
      <c r="K612">
        <v>4</v>
      </c>
      <c r="L612">
        <v>58780.2</v>
      </c>
    </row>
    <row r="613" spans="1:12" x14ac:dyDescent="0.3">
      <c r="A613">
        <v>612</v>
      </c>
      <c r="B613" t="s">
        <v>19</v>
      </c>
      <c r="C613">
        <v>2018</v>
      </c>
      <c r="D613">
        <v>108302</v>
      </c>
      <c r="E613" t="s">
        <v>26</v>
      </c>
      <c r="F613" t="s">
        <v>18</v>
      </c>
      <c r="G613" t="s">
        <v>15</v>
      </c>
      <c r="H613">
        <v>3398</v>
      </c>
      <c r="I613">
        <v>85.6</v>
      </c>
      <c r="J613">
        <v>25.88</v>
      </c>
      <c r="K613">
        <v>2</v>
      </c>
      <c r="L613">
        <v>34668.93</v>
      </c>
    </row>
    <row r="614" spans="1:12" x14ac:dyDescent="0.3">
      <c r="A614">
        <v>613</v>
      </c>
      <c r="B614" t="s">
        <v>24</v>
      </c>
      <c r="C614">
        <v>2022</v>
      </c>
      <c r="D614">
        <v>136234</v>
      </c>
      <c r="E614" t="s">
        <v>13</v>
      </c>
      <c r="F614" t="s">
        <v>18</v>
      </c>
      <c r="G614" t="s">
        <v>20</v>
      </c>
      <c r="H614">
        <v>1801</v>
      </c>
      <c r="I614">
        <v>283.60000000000002</v>
      </c>
      <c r="J614">
        <v>14.13</v>
      </c>
      <c r="K614">
        <v>2</v>
      </c>
      <c r="L614">
        <v>6412.97</v>
      </c>
    </row>
    <row r="615" spans="1:12" x14ac:dyDescent="0.3">
      <c r="A615">
        <v>614</v>
      </c>
      <c r="B615" t="s">
        <v>16</v>
      </c>
      <c r="C615">
        <v>2019</v>
      </c>
      <c r="D615">
        <v>170814</v>
      </c>
      <c r="E615" t="s">
        <v>13</v>
      </c>
      <c r="F615" t="s">
        <v>14</v>
      </c>
      <c r="G615" t="s">
        <v>15</v>
      </c>
      <c r="H615">
        <v>1833</v>
      </c>
      <c r="I615">
        <v>203.9</v>
      </c>
      <c r="J615">
        <v>26.04</v>
      </c>
      <c r="K615">
        <v>4</v>
      </c>
      <c r="L615">
        <v>73796.89</v>
      </c>
    </row>
    <row r="616" spans="1:12" x14ac:dyDescent="0.3">
      <c r="A616">
        <v>615</v>
      </c>
      <c r="B616" t="s">
        <v>24</v>
      </c>
      <c r="C616">
        <v>2006</v>
      </c>
      <c r="D616">
        <v>24675</v>
      </c>
      <c r="E616" t="s">
        <v>17</v>
      </c>
      <c r="F616" t="s">
        <v>14</v>
      </c>
      <c r="G616" t="s">
        <v>15</v>
      </c>
      <c r="H616">
        <v>2840</v>
      </c>
      <c r="I616">
        <v>345.4</v>
      </c>
      <c r="J616">
        <v>18.87</v>
      </c>
      <c r="K616">
        <v>6</v>
      </c>
      <c r="L616">
        <v>49302.15</v>
      </c>
    </row>
    <row r="617" spans="1:12" x14ac:dyDescent="0.3">
      <c r="A617">
        <v>616</v>
      </c>
      <c r="B617" t="s">
        <v>19</v>
      </c>
      <c r="C617">
        <v>2014</v>
      </c>
      <c r="D617">
        <v>78997</v>
      </c>
      <c r="E617" t="s">
        <v>17</v>
      </c>
      <c r="F617" t="s">
        <v>18</v>
      </c>
      <c r="G617" t="s">
        <v>23</v>
      </c>
      <c r="H617">
        <v>1073</v>
      </c>
      <c r="I617">
        <v>114.7</v>
      </c>
      <c r="J617">
        <v>27.54</v>
      </c>
      <c r="K617">
        <v>7</v>
      </c>
      <c r="L617">
        <v>37944.639999999999</v>
      </c>
    </row>
    <row r="618" spans="1:12" x14ac:dyDescent="0.3">
      <c r="A618">
        <v>617</v>
      </c>
      <c r="B618" t="s">
        <v>24</v>
      </c>
      <c r="C618">
        <v>2016</v>
      </c>
      <c r="D618">
        <v>153087</v>
      </c>
      <c r="E618" t="s">
        <v>13</v>
      </c>
      <c r="F618" t="s">
        <v>18</v>
      </c>
      <c r="G618" t="s">
        <v>15</v>
      </c>
      <c r="H618">
        <v>3447</v>
      </c>
      <c r="I618">
        <v>427.3</v>
      </c>
      <c r="J618">
        <v>28.15</v>
      </c>
      <c r="K618">
        <v>6</v>
      </c>
      <c r="L618">
        <v>104432.1</v>
      </c>
    </row>
    <row r="619" spans="1:12" x14ac:dyDescent="0.3">
      <c r="A619">
        <v>618</v>
      </c>
      <c r="B619" t="s">
        <v>28</v>
      </c>
      <c r="C619">
        <v>2021</v>
      </c>
      <c r="D619">
        <v>186129</v>
      </c>
      <c r="E619" t="s">
        <v>17</v>
      </c>
      <c r="F619" t="s">
        <v>18</v>
      </c>
      <c r="G619" t="s">
        <v>15</v>
      </c>
      <c r="H619">
        <v>2579</v>
      </c>
      <c r="I619">
        <v>485.2</v>
      </c>
      <c r="J619">
        <v>5.23</v>
      </c>
      <c r="K619">
        <v>2</v>
      </c>
      <c r="L619">
        <v>90368.97</v>
      </c>
    </row>
    <row r="620" spans="1:12" x14ac:dyDescent="0.3">
      <c r="A620">
        <v>619</v>
      </c>
      <c r="B620" t="s">
        <v>21</v>
      </c>
      <c r="C620">
        <v>2012</v>
      </c>
      <c r="D620">
        <v>168663</v>
      </c>
      <c r="E620" t="s">
        <v>13</v>
      </c>
      <c r="F620" t="s">
        <v>14</v>
      </c>
      <c r="G620" t="s">
        <v>20</v>
      </c>
      <c r="H620">
        <v>1278</v>
      </c>
      <c r="I620">
        <v>131.5</v>
      </c>
      <c r="J620">
        <v>6.89</v>
      </c>
      <c r="K620">
        <v>7</v>
      </c>
      <c r="L620">
        <v>103358.57</v>
      </c>
    </row>
    <row r="621" spans="1:12" x14ac:dyDescent="0.3">
      <c r="A621">
        <v>620</v>
      </c>
      <c r="B621" t="s">
        <v>30</v>
      </c>
      <c r="C621">
        <v>2015</v>
      </c>
      <c r="D621">
        <v>145905</v>
      </c>
      <c r="E621" t="s">
        <v>13</v>
      </c>
      <c r="F621" t="s">
        <v>18</v>
      </c>
      <c r="G621" t="s">
        <v>23</v>
      </c>
      <c r="H621">
        <v>1315</v>
      </c>
      <c r="I621">
        <v>98.4</v>
      </c>
      <c r="J621">
        <v>11.26</v>
      </c>
      <c r="K621">
        <v>5</v>
      </c>
      <c r="L621">
        <v>60912.99</v>
      </c>
    </row>
    <row r="622" spans="1:12" x14ac:dyDescent="0.3">
      <c r="A622">
        <v>621</v>
      </c>
      <c r="B622" t="s">
        <v>16</v>
      </c>
      <c r="C622">
        <v>2007</v>
      </c>
      <c r="D622">
        <v>12896</v>
      </c>
      <c r="E622" t="s">
        <v>13</v>
      </c>
      <c r="F622" t="s">
        <v>14</v>
      </c>
      <c r="G622" t="s">
        <v>15</v>
      </c>
      <c r="H622">
        <v>1991</v>
      </c>
      <c r="I622">
        <v>121.5</v>
      </c>
      <c r="J622">
        <v>21.73</v>
      </c>
      <c r="K622">
        <v>7</v>
      </c>
      <c r="L622">
        <v>18318.96</v>
      </c>
    </row>
    <row r="623" spans="1:12" x14ac:dyDescent="0.3">
      <c r="A623">
        <v>622</v>
      </c>
      <c r="B623" t="s">
        <v>27</v>
      </c>
      <c r="C623">
        <v>2010</v>
      </c>
      <c r="D623">
        <v>169044</v>
      </c>
      <c r="E623" t="s">
        <v>22</v>
      </c>
      <c r="F623" t="s">
        <v>14</v>
      </c>
      <c r="G623" t="s">
        <v>20</v>
      </c>
      <c r="H623">
        <v>3468</v>
      </c>
      <c r="I623">
        <v>531.20000000000005</v>
      </c>
      <c r="J623">
        <v>27.21</v>
      </c>
      <c r="K623">
        <v>6</v>
      </c>
      <c r="L623">
        <v>84457.91</v>
      </c>
    </row>
    <row r="624" spans="1:12" x14ac:dyDescent="0.3">
      <c r="A624">
        <v>623</v>
      </c>
      <c r="B624" t="s">
        <v>29</v>
      </c>
      <c r="C624">
        <v>2013</v>
      </c>
      <c r="D624">
        <v>54733</v>
      </c>
      <c r="E624" t="s">
        <v>17</v>
      </c>
      <c r="F624" t="s">
        <v>18</v>
      </c>
      <c r="G624" t="s">
        <v>23</v>
      </c>
      <c r="H624">
        <v>2211</v>
      </c>
      <c r="I624">
        <v>335.8</v>
      </c>
      <c r="J624">
        <v>16.5</v>
      </c>
      <c r="K624">
        <v>4</v>
      </c>
      <c r="L624">
        <v>27110.63</v>
      </c>
    </row>
    <row r="625" spans="1:12" x14ac:dyDescent="0.3">
      <c r="A625">
        <v>624</v>
      </c>
      <c r="B625" t="s">
        <v>30</v>
      </c>
      <c r="C625">
        <v>2010</v>
      </c>
      <c r="D625">
        <v>46800</v>
      </c>
      <c r="E625" t="s">
        <v>26</v>
      </c>
      <c r="F625" t="s">
        <v>18</v>
      </c>
      <c r="G625" t="s">
        <v>23</v>
      </c>
      <c r="H625">
        <v>4080</v>
      </c>
      <c r="I625">
        <v>301.7</v>
      </c>
      <c r="J625">
        <v>20.170000000000002</v>
      </c>
      <c r="K625">
        <v>5</v>
      </c>
      <c r="L625">
        <v>54623.87</v>
      </c>
    </row>
    <row r="626" spans="1:12" x14ac:dyDescent="0.3">
      <c r="A626">
        <v>625</v>
      </c>
      <c r="B626" t="s">
        <v>29</v>
      </c>
      <c r="C626">
        <v>2013</v>
      </c>
      <c r="D626">
        <v>101044</v>
      </c>
      <c r="E626" t="s">
        <v>26</v>
      </c>
      <c r="F626" t="s">
        <v>14</v>
      </c>
      <c r="G626" t="s">
        <v>20</v>
      </c>
      <c r="H626">
        <v>1071</v>
      </c>
      <c r="I626">
        <v>99.8</v>
      </c>
      <c r="J626">
        <v>9.7100000000000009</v>
      </c>
      <c r="K626">
        <v>6</v>
      </c>
      <c r="L626">
        <v>10605.09</v>
      </c>
    </row>
    <row r="627" spans="1:12" x14ac:dyDescent="0.3">
      <c r="A627">
        <v>626</v>
      </c>
      <c r="B627" t="s">
        <v>21</v>
      </c>
      <c r="C627">
        <v>2011</v>
      </c>
      <c r="D627">
        <v>10347</v>
      </c>
      <c r="E627" t="s">
        <v>17</v>
      </c>
      <c r="F627" t="s">
        <v>18</v>
      </c>
      <c r="G627" t="s">
        <v>20</v>
      </c>
      <c r="H627">
        <v>942</v>
      </c>
      <c r="I627">
        <v>403.8</v>
      </c>
      <c r="J627">
        <v>25.12</v>
      </c>
      <c r="K627">
        <v>5</v>
      </c>
      <c r="L627">
        <v>99561.08</v>
      </c>
    </row>
    <row r="628" spans="1:12" x14ac:dyDescent="0.3">
      <c r="A628">
        <v>627</v>
      </c>
      <c r="B628" t="s">
        <v>16</v>
      </c>
      <c r="C628">
        <v>2013</v>
      </c>
      <c r="D628">
        <v>195135</v>
      </c>
      <c r="E628" t="s">
        <v>13</v>
      </c>
      <c r="F628" t="s">
        <v>18</v>
      </c>
      <c r="G628" t="s">
        <v>20</v>
      </c>
      <c r="H628">
        <v>4132</v>
      </c>
      <c r="I628">
        <v>526.1</v>
      </c>
      <c r="J628">
        <v>29.18</v>
      </c>
      <c r="K628">
        <v>7</v>
      </c>
      <c r="L628">
        <v>17735.060000000001</v>
      </c>
    </row>
    <row r="629" spans="1:12" x14ac:dyDescent="0.3">
      <c r="A629">
        <v>628</v>
      </c>
      <c r="B629" t="s">
        <v>25</v>
      </c>
      <c r="C629">
        <v>2022</v>
      </c>
      <c r="D629">
        <v>138715</v>
      </c>
      <c r="E629" t="s">
        <v>26</v>
      </c>
      <c r="F629" t="s">
        <v>14</v>
      </c>
      <c r="G629" t="s">
        <v>20</v>
      </c>
      <c r="H629">
        <v>1587</v>
      </c>
      <c r="I629">
        <v>503.8</v>
      </c>
      <c r="J629">
        <v>11.71</v>
      </c>
      <c r="K629">
        <v>2</v>
      </c>
      <c r="L629">
        <v>108662.41</v>
      </c>
    </row>
    <row r="630" spans="1:12" x14ac:dyDescent="0.3">
      <c r="A630">
        <v>629</v>
      </c>
      <c r="B630" t="s">
        <v>27</v>
      </c>
      <c r="C630">
        <v>2016</v>
      </c>
      <c r="D630">
        <v>45785</v>
      </c>
      <c r="E630" t="s">
        <v>26</v>
      </c>
      <c r="F630" t="s">
        <v>18</v>
      </c>
      <c r="G630" t="s">
        <v>20</v>
      </c>
      <c r="H630">
        <v>2481</v>
      </c>
      <c r="I630">
        <v>390.6</v>
      </c>
      <c r="J630">
        <v>17.37</v>
      </c>
      <c r="K630">
        <v>6</v>
      </c>
      <c r="L630">
        <v>104114.98</v>
      </c>
    </row>
    <row r="631" spans="1:12" x14ac:dyDescent="0.3">
      <c r="A631">
        <v>630</v>
      </c>
      <c r="B631" t="s">
        <v>28</v>
      </c>
      <c r="C631">
        <v>2012</v>
      </c>
      <c r="D631">
        <v>23681</v>
      </c>
      <c r="E631" t="s">
        <v>17</v>
      </c>
      <c r="F631" t="s">
        <v>14</v>
      </c>
      <c r="G631" t="s">
        <v>15</v>
      </c>
      <c r="H631">
        <v>1422</v>
      </c>
      <c r="I631">
        <v>82.2</v>
      </c>
      <c r="J631">
        <v>7.15</v>
      </c>
      <c r="K631">
        <v>4</v>
      </c>
      <c r="L631">
        <v>57356.18</v>
      </c>
    </row>
    <row r="632" spans="1:12" x14ac:dyDescent="0.3">
      <c r="A632">
        <v>631</v>
      </c>
      <c r="B632" t="s">
        <v>25</v>
      </c>
      <c r="C632">
        <v>2012</v>
      </c>
      <c r="D632">
        <v>186098</v>
      </c>
      <c r="E632" t="s">
        <v>26</v>
      </c>
      <c r="F632" t="s">
        <v>14</v>
      </c>
      <c r="G632" t="s">
        <v>15</v>
      </c>
      <c r="H632">
        <v>4641</v>
      </c>
      <c r="I632">
        <v>102.9</v>
      </c>
      <c r="J632">
        <v>18.98</v>
      </c>
      <c r="K632">
        <v>7</v>
      </c>
      <c r="L632">
        <v>90091.08</v>
      </c>
    </row>
    <row r="633" spans="1:12" x14ac:dyDescent="0.3">
      <c r="A633">
        <v>632</v>
      </c>
      <c r="B633" t="s">
        <v>21</v>
      </c>
      <c r="C633">
        <v>2022</v>
      </c>
      <c r="D633">
        <v>108864</v>
      </c>
      <c r="E633" t="s">
        <v>13</v>
      </c>
      <c r="F633" t="s">
        <v>18</v>
      </c>
      <c r="G633" t="s">
        <v>23</v>
      </c>
      <c r="H633">
        <v>4476</v>
      </c>
      <c r="I633">
        <v>67.599999999999994</v>
      </c>
      <c r="J633">
        <v>17.57</v>
      </c>
      <c r="K633">
        <v>6</v>
      </c>
      <c r="L633">
        <v>75475.070000000007</v>
      </c>
    </row>
    <row r="634" spans="1:12" x14ac:dyDescent="0.3">
      <c r="A634">
        <v>633</v>
      </c>
      <c r="B634" t="s">
        <v>30</v>
      </c>
      <c r="C634">
        <v>2024</v>
      </c>
      <c r="D634">
        <v>151964</v>
      </c>
      <c r="E634" t="s">
        <v>17</v>
      </c>
      <c r="F634" t="s">
        <v>14</v>
      </c>
      <c r="G634" t="s">
        <v>15</v>
      </c>
      <c r="H634">
        <v>3372</v>
      </c>
      <c r="I634">
        <v>184.2</v>
      </c>
      <c r="J634">
        <v>8.61</v>
      </c>
      <c r="K634">
        <v>4</v>
      </c>
      <c r="L634">
        <v>96959.85</v>
      </c>
    </row>
    <row r="635" spans="1:12" x14ac:dyDescent="0.3">
      <c r="A635">
        <v>634</v>
      </c>
      <c r="B635" t="s">
        <v>28</v>
      </c>
      <c r="C635">
        <v>2019</v>
      </c>
      <c r="D635">
        <v>52299</v>
      </c>
      <c r="E635" t="s">
        <v>13</v>
      </c>
      <c r="F635" t="s">
        <v>14</v>
      </c>
      <c r="G635" t="s">
        <v>15</v>
      </c>
      <c r="H635">
        <v>4060</v>
      </c>
      <c r="I635">
        <v>116</v>
      </c>
      <c r="J635">
        <v>16.05</v>
      </c>
      <c r="K635">
        <v>6</v>
      </c>
      <c r="L635">
        <v>53521.2</v>
      </c>
    </row>
    <row r="636" spans="1:12" x14ac:dyDescent="0.3">
      <c r="A636">
        <v>635</v>
      </c>
      <c r="B636" t="s">
        <v>24</v>
      </c>
      <c r="C636">
        <v>2011</v>
      </c>
      <c r="D636">
        <v>22073</v>
      </c>
      <c r="E636" t="s">
        <v>26</v>
      </c>
      <c r="F636" t="s">
        <v>18</v>
      </c>
      <c r="G636" t="s">
        <v>15</v>
      </c>
      <c r="H636">
        <v>866</v>
      </c>
      <c r="I636">
        <v>185.6</v>
      </c>
      <c r="J636">
        <v>13.35</v>
      </c>
      <c r="K636">
        <v>7</v>
      </c>
      <c r="L636">
        <v>94939.59</v>
      </c>
    </row>
    <row r="637" spans="1:12" x14ac:dyDescent="0.3">
      <c r="A637">
        <v>636</v>
      </c>
      <c r="B637" t="s">
        <v>19</v>
      </c>
      <c r="C637">
        <v>2015</v>
      </c>
      <c r="D637">
        <v>107304</v>
      </c>
      <c r="E637" t="s">
        <v>26</v>
      </c>
      <c r="F637" t="s">
        <v>18</v>
      </c>
      <c r="G637" t="s">
        <v>20</v>
      </c>
      <c r="H637">
        <v>1940</v>
      </c>
      <c r="I637">
        <v>255.6</v>
      </c>
      <c r="J637">
        <v>18.05</v>
      </c>
      <c r="K637">
        <v>6</v>
      </c>
      <c r="L637">
        <v>57107.45</v>
      </c>
    </row>
    <row r="638" spans="1:12" x14ac:dyDescent="0.3">
      <c r="A638">
        <v>637</v>
      </c>
      <c r="B638" t="s">
        <v>28</v>
      </c>
      <c r="C638">
        <v>2024</v>
      </c>
      <c r="D638">
        <v>35682</v>
      </c>
      <c r="E638" t="s">
        <v>13</v>
      </c>
      <c r="F638" t="s">
        <v>18</v>
      </c>
      <c r="G638" t="s">
        <v>23</v>
      </c>
      <c r="H638">
        <v>3114</v>
      </c>
      <c r="I638">
        <v>568.1</v>
      </c>
      <c r="J638">
        <v>19.64</v>
      </c>
      <c r="K638">
        <v>5</v>
      </c>
      <c r="L638">
        <v>113093</v>
      </c>
    </row>
    <row r="639" spans="1:12" x14ac:dyDescent="0.3">
      <c r="A639">
        <v>638</v>
      </c>
      <c r="B639" t="s">
        <v>21</v>
      </c>
      <c r="C639">
        <v>2020</v>
      </c>
      <c r="D639">
        <v>129302</v>
      </c>
      <c r="E639" t="s">
        <v>22</v>
      </c>
      <c r="F639" t="s">
        <v>14</v>
      </c>
      <c r="G639" t="s">
        <v>23</v>
      </c>
      <c r="H639">
        <v>3332</v>
      </c>
      <c r="I639">
        <v>381.8</v>
      </c>
      <c r="J639">
        <v>5.21</v>
      </c>
      <c r="K639">
        <v>7</v>
      </c>
      <c r="L639">
        <v>59905.54</v>
      </c>
    </row>
    <row r="640" spans="1:12" x14ac:dyDescent="0.3">
      <c r="A640">
        <v>639</v>
      </c>
      <c r="B640" t="s">
        <v>12</v>
      </c>
      <c r="C640">
        <v>2008</v>
      </c>
      <c r="D640">
        <v>150361</v>
      </c>
      <c r="E640" t="s">
        <v>26</v>
      </c>
      <c r="F640" t="s">
        <v>14</v>
      </c>
      <c r="G640" t="s">
        <v>23</v>
      </c>
      <c r="H640">
        <v>4380</v>
      </c>
      <c r="I640">
        <v>507.6</v>
      </c>
      <c r="J640">
        <v>24.03</v>
      </c>
      <c r="K640">
        <v>6</v>
      </c>
      <c r="L640">
        <v>57126.45</v>
      </c>
    </row>
    <row r="641" spans="1:12" x14ac:dyDescent="0.3">
      <c r="A641">
        <v>640</v>
      </c>
      <c r="B641" t="s">
        <v>19</v>
      </c>
      <c r="C641">
        <v>2010</v>
      </c>
      <c r="D641">
        <v>120359</v>
      </c>
      <c r="E641" t="s">
        <v>22</v>
      </c>
      <c r="F641" t="s">
        <v>18</v>
      </c>
      <c r="G641" t="s">
        <v>23</v>
      </c>
      <c r="H641">
        <v>1987</v>
      </c>
      <c r="I641">
        <v>437.8</v>
      </c>
      <c r="J641">
        <v>22.83</v>
      </c>
      <c r="K641">
        <v>2</v>
      </c>
      <c r="L641">
        <v>94853.41</v>
      </c>
    </row>
    <row r="642" spans="1:12" x14ac:dyDescent="0.3">
      <c r="A642">
        <v>641</v>
      </c>
      <c r="B642" t="s">
        <v>29</v>
      </c>
      <c r="C642">
        <v>2007</v>
      </c>
      <c r="D642">
        <v>143999</v>
      </c>
      <c r="E642" t="s">
        <v>26</v>
      </c>
      <c r="F642" t="s">
        <v>14</v>
      </c>
      <c r="G642" t="s">
        <v>15</v>
      </c>
      <c r="H642">
        <v>4139</v>
      </c>
      <c r="I642">
        <v>103</v>
      </c>
      <c r="J642">
        <v>14.16</v>
      </c>
      <c r="K642">
        <v>6</v>
      </c>
      <c r="L642">
        <v>99124.59</v>
      </c>
    </row>
    <row r="643" spans="1:12" x14ac:dyDescent="0.3">
      <c r="A643">
        <v>642</v>
      </c>
      <c r="B643" t="s">
        <v>27</v>
      </c>
      <c r="C643">
        <v>2013</v>
      </c>
      <c r="D643">
        <v>184402</v>
      </c>
      <c r="E643" t="s">
        <v>22</v>
      </c>
      <c r="F643" t="s">
        <v>18</v>
      </c>
      <c r="G643" t="s">
        <v>15</v>
      </c>
      <c r="H643">
        <v>1348</v>
      </c>
      <c r="I643">
        <v>452.1</v>
      </c>
      <c r="J643">
        <v>6.32</v>
      </c>
      <c r="K643">
        <v>5</v>
      </c>
      <c r="L643">
        <v>67875.23</v>
      </c>
    </row>
    <row r="644" spans="1:12" x14ac:dyDescent="0.3">
      <c r="A644">
        <v>643</v>
      </c>
      <c r="B644" t="s">
        <v>29</v>
      </c>
      <c r="C644">
        <v>2014</v>
      </c>
      <c r="D644">
        <v>71707</v>
      </c>
      <c r="E644" t="s">
        <v>22</v>
      </c>
      <c r="F644" t="s">
        <v>18</v>
      </c>
      <c r="G644" t="s">
        <v>20</v>
      </c>
      <c r="H644">
        <v>4887</v>
      </c>
      <c r="I644">
        <v>194.1</v>
      </c>
      <c r="J644">
        <v>23.87</v>
      </c>
      <c r="K644">
        <v>4</v>
      </c>
      <c r="L644">
        <v>24036.34</v>
      </c>
    </row>
    <row r="645" spans="1:12" x14ac:dyDescent="0.3">
      <c r="A645">
        <v>644</v>
      </c>
      <c r="B645" t="s">
        <v>28</v>
      </c>
      <c r="C645">
        <v>2018</v>
      </c>
      <c r="D645">
        <v>70428</v>
      </c>
      <c r="E645" t="s">
        <v>22</v>
      </c>
      <c r="F645" t="s">
        <v>14</v>
      </c>
      <c r="G645" t="s">
        <v>23</v>
      </c>
      <c r="H645">
        <v>872</v>
      </c>
      <c r="I645">
        <v>397.9</v>
      </c>
      <c r="J645">
        <v>28.88</v>
      </c>
      <c r="K645">
        <v>4</v>
      </c>
      <c r="L645">
        <v>57727.71</v>
      </c>
    </row>
    <row r="646" spans="1:12" x14ac:dyDescent="0.3">
      <c r="A646">
        <v>645</v>
      </c>
      <c r="B646" t="s">
        <v>29</v>
      </c>
      <c r="C646">
        <v>2015</v>
      </c>
      <c r="D646">
        <v>55601</v>
      </c>
      <c r="E646" t="s">
        <v>13</v>
      </c>
      <c r="F646" t="s">
        <v>18</v>
      </c>
      <c r="G646" t="s">
        <v>15</v>
      </c>
      <c r="H646">
        <v>998</v>
      </c>
      <c r="I646">
        <v>230.9</v>
      </c>
      <c r="J646">
        <v>11</v>
      </c>
      <c r="K646">
        <v>4</v>
      </c>
      <c r="L646">
        <v>116264.48</v>
      </c>
    </row>
    <row r="647" spans="1:12" x14ac:dyDescent="0.3">
      <c r="A647">
        <v>646</v>
      </c>
      <c r="B647" t="s">
        <v>21</v>
      </c>
      <c r="C647">
        <v>2022</v>
      </c>
      <c r="D647">
        <v>138611</v>
      </c>
      <c r="E647" t="s">
        <v>22</v>
      </c>
      <c r="F647" t="s">
        <v>14</v>
      </c>
      <c r="G647" t="s">
        <v>15</v>
      </c>
      <c r="H647">
        <v>4001</v>
      </c>
      <c r="I647">
        <v>598.70000000000005</v>
      </c>
      <c r="J647">
        <v>13.09</v>
      </c>
      <c r="K647">
        <v>2</v>
      </c>
      <c r="L647">
        <v>91099.38</v>
      </c>
    </row>
    <row r="648" spans="1:12" x14ac:dyDescent="0.3">
      <c r="A648">
        <v>647</v>
      </c>
      <c r="B648" t="s">
        <v>24</v>
      </c>
      <c r="C648">
        <v>2016</v>
      </c>
      <c r="D648">
        <v>116487</v>
      </c>
      <c r="E648" t="s">
        <v>22</v>
      </c>
      <c r="F648" t="s">
        <v>14</v>
      </c>
      <c r="G648" t="s">
        <v>20</v>
      </c>
      <c r="H648">
        <v>2581</v>
      </c>
      <c r="I648">
        <v>187.6</v>
      </c>
      <c r="J648">
        <v>9.6</v>
      </c>
      <c r="K648">
        <v>5</v>
      </c>
      <c r="L648">
        <v>97906.02</v>
      </c>
    </row>
    <row r="649" spans="1:12" x14ac:dyDescent="0.3">
      <c r="A649">
        <v>648</v>
      </c>
      <c r="B649" t="s">
        <v>30</v>
      </c>
      <c r="C649">
        <v>2016</v>
      </c>
      <c r="D649">
        <v>158741</v>
      </c>
      <c r="E649" t="s">
        <v>22</v>
      </c>
      <c r="F649" t="s">
        <v>18</v>
      </c>
      <c r="G649" t="s">
        <v>20</v>
      </c>
      <c r="H649">
        <v>1371</v>
      </c>
      <c r="I649">
        <v>196.3</v>
      </c>
      <c r="J649">
        <v>19.420000000000002</v>
      </c>
      <c r="K649">
        <v>7</v>
      </c>
      <c r="L649">
        <v>6840.58</v>
      </c>
    </row>
    <row r="650" spans="1:12" x14ac:dyDescent="0.3">
      <c r="A650">
        <v>649</v>
      </c>
      <c r="B650" t="s">
        <v>27</v>
      </c>
      <c r="C650">
        <v>2017</v>
      </c>
      <c r="D650">
        <v>156716</v>
      </c>
      <c r="E650" t="s">
        <v>26</v>
      </c>
      <c r="F650" t="s">
        <v>14</v>
      </c>
      <c r="G650" t="s">
        <v>20</v>
      </c>
      <c r="H650">
        <v>1590</v>
      </c>
      <c r="I650">
        <v>561.20000000000005</v>
      </c>
      <c r="J650">
        <v>8.8699999999999992</v>
      </c>
      <c r="K650">
        <v>4</v>
      </c>
      <c r="L650">
        <v>57739.56</v>
      </c>
    </row>
    <row r="651" spans="1:12" x14ac:dyDescent="0.3">
      <c r="A651">
        <v>650</v>
      </c>
      <c r="B651" t="s">
        <v>29</v>
      </c>
      <c r="C651">
        <v>2017</v>
      </c>
      <c r="D651">
        <v>154817</v>
      </c>
      <c r="E651" t="s">
        <v>22</v>
      </c>
      <c r="F651" t="s">
        <v>18</v>
      </c>
      <c r="G651" t="s">
        <v>15</v>
      </c>
      <c r="H651">
        <v>2438</v>
      </c>
      <c r="I651">
        <v>53.8</v>
      </c>
      <c r="J651">
        <v>13.9</v>
      </c>
      <c r="K651">
        <v>5</v>
      </c>
      <c r="L651">
        <v>78654.67</v>
      </c>
    </row>
    <row r="652" spans="1:12" x14ac:dyDescent="0.3">
      <c r="A652">
        <v>651</v>
      </c>
      <c r="B652" t="s">
        <v>29</v>
      </c>
      <c r="C652">
        <v>2023</v>
      </c>
      <c r="D652">
        <v>33228</v>
      </c>
      <c r="E652" t="s">
        <v>26</v>
      </c>
      <c r="F652" t="s">
        <v>14</v>
      </c>
      <c r="G652" t="s">
        <v>15</v>
      </c>
      <c r="H652">
        <v>2631</v>
      </c>
      <c r="I652">
        <v>430.1</v>
      </c>
      <c r="J652">
        <v>22.43</v>
      </c>
      <c r="K652">
        <v>6</v>
      </c>
      <c r="L652">
        <v>100113.82</v>
      </c>
    </row>
    <row r="653" spans="1:12" x14ac:dyDescent="0.3">
      <c r="A653">
        <v>652</v>
      </c>
      <c r="B653" t="s">
        <v>28</v>
      </c>
      <c r="C653">
        <v>2023</v>
      </c>
      <c r="D653">
        <v>170593</v>
      </c>
      <c r="E653" t="s">
        <v>22</v>
      </c>
      <c r="F653" t="s">
        <v>14</v>
      </c>
      <c r="G653" t="s">
        <v>20</v>
      </c>
      <c r="H653">
        <v>2655</v>
      </c>
      <c r="I653">
        <v>446.2</v>
      </c>
      <c r="J653">
        <v>19</v>
      </c>
      <c r="K653">
        <v>2</v>
      </c>
      <c r="L653">
        <v>8765.02</v>
      </c>
    </row>
    <row r="654" spans="1:12" x14ac:dyDescent="0.3">
      <c r="A654">
        <v>653</v>
      </c>
      <c r="B654" t="s">
        <v>30</v>
      </c>
      <c r="C654">
        <v>2018</v>
      </c>
      <c r="D654">
        <v>127788</v>
      </c>
      <c r="E654" t="s">
        <v>22</v>
      </c>
      <c r="F654" t="s">
        <v>14</v>
      </c>
      <c r="G654" t="s">
        <v>23</v>
      </c>
      <c r="H654">
        <v>1974</v>
      </c>
      <c r="I654">
        <v>508.4</v>
      </c>
      <c r="J654">
        <v>14.66</v>
      </c>
      <c r="K654">
        <v>5</v>
      </c>
      <c r="L654">
        <v>102735.35</v>
      </c>
    </row>
    <row r="655" spans="1:12" x14ac:dyDescent="0.3">
      <c r="A655">
        <v>654</v>
      </c>
      <c r="B655" t="s">
        <v>25</v>
      </c>
      <c r="C655">
        <v>2008</v>
      </c>
      <c r="D655">
        <v>102239</v>
      </c>
      <c r="E655" t="s">
        <v>13</v>
      </c>
      <c r="F655" t="s">
        <v>18</v>
      </c>
      <c r="G655" t="s">
        <v>20</v>
      </c>
      <c r="H655">
        <v>4540</v>
      </c>
      <c r="I655">
        <v>585.70000000000005</v>
      </c>
      <c r="J655">
        <v>15.51</v>
      </c>
      <c r="K655">
        <v>5</v>
      </c>
      <c r="L655">
        <v>67162.91</v>
      </c>
    </row>
    <row r="656" spans="1:12" x14ac:dyDescent="0.3">
      <c r="A656">
        <v>655</v>
      </c>
      <c r="B656" t="s">
        <v>29</v>
      </c>
      <c r="C656">
        <v>2017</v>
      </c>
      <c r="D656">
        <v>31928</v>
      </c>
      <c r="E656" t="s">
        <v>26</v>
      </c>
      <c r="F656" t="s">
        <v>14</v>
      </c>
      <c r="G656" t="s">
        <v>20</v>
      </c>
      <c r="H656">
        <v>4077</v>
      </c>
      <c r="I656">
        <v>586.29999999999995</v>
      </c>
      <c r="J656">
        <v>19.05</v>
      </c>
      <c r="K656">
        <v>7</v>
      </c>
      <c r="L656">
        <v>26085.73</v>
      </c>
    </row>
    <row r="657" spans="1:12" x14ac:dyDescent="0.3">
      <c r="A657">
        <v>656</v>
      </c>
      <c r="B657" t="s">
        <v>21</v>
      </c>
      <c r="C657">
        <v>2012</v>
      </c>
      <c r="D657">
        <v>23322</v>
      </c>
      <c r="E657" t="s">
        <v>22</v>
      </c>
      <c r="F657" t="s">
        <v>18</v>
      </c>
      <c r="G657" t="s">
        <v>20</v>
      </c>
      <c r="H657">
        <v>978</v>
      </c>
      <c r="I657">
        <v>76.599999999999994</v>
      </c>
      <c r="J657">
        <v>5.15</v>
      </c>
      <c r="K657">
        <v>5</v>
      </c>
      <c r="L657">
        <v>40118.86</v>
      </c>
    </row>
    <row r="658" spans="1:12" x14ac:dyDescent="0.3">
      <c r="A658">
        <v>657</v>
      </c>
      <c r="B658" t="s">
        <v>12</v>
      </c>
      <c r="C658">
        <v>2023</v>
      </c>
      <c r="D658">
        <v>193786</v>
      </c>
      <c r="E658" t="s">
        <v>26</v>
      </c>
      <c r="F658" t="s">
        <v>14</v>
      </c>
      <c r="G658" t="s">
        <v>20</v>
      </c>
      <c r="H658">
        <v>3044</v>
      </c>
      <c r="I658">
        <v>500.2</v>
      </c>
      <c r="J658">
        <v>6.96</v>
      </c>
      <c r="K658">
        <v>7</v>
      </c>
      <c r="L658">
        <v>35985.760000000002</v>
      </c>
    </row>
    <row r="659" spans="1:12" x14ac:dyDescent="0.3">
      <c r="A659">
        <v>658</v>
      </c>
      <c r="B659" t="s">
        <v>27</v>
      </c>
      <c r="C659">
        <v>2016</v>
      </c>
      <c r="D659">
        <v>92896</v>
      </c>
      <c r="E659" t="s">
        <v>26</v>
      </c>
      <c r="F659" t="s">
        <v>14</v>
      </c>
      <c r="G659" t="s">
        <v>15</v>
      </c>
      <c r="H659">
        <v>4886</v>
      </c>
      <c r="I659">
        <v>401.9</v>
      </c>
      <c r="J659">
        <v>27.03</v>
      </c>
      <c r="K659">
        <v>2</v>
      </c>
      <c r="L659">
        <v>65110.51</v>
      </c>
    </row>
    <row r="660" spans="1:12" x14ac:dyDescent="0.3">
      <c r="A660">
        <v>659</v>
      </c>
      <c r="B660" t="s">
        <v>29</v>
      </c>
      <c r="C660">
        <v>2022</v>
      </c>
      <c r="D660">
        <v>67292</v>
      </c>
      <c r="E660" t="s">
        <v>17</v>
      </c>
      <c r="F660" t="s">
        <v>18</v>
      </c>
      <c r="G660" t="s">
        <v>23</v>
      </c>
      <c r="H660">
        <v>1534</v>
      </c>
      <c r="I660">
        <v>402.5</v>
      </c>
      <c r="J660">
        <v>6.95</v>
      </c>
      <c r="K660">
        <v>2</v>
      </c>
      <c r="L660">
        <v>9047.2199999999993</v>
      </c>
    </row>
    <row r="661" spans="1:12" x14ac:dyDescent="0.3">
      <c r="A661">
        <v>660</v>
      </c>
      <c r="B661" t="s">
        <v>21</v>
      </c>
      <c r="C661">
        <v>2010</v>
      </c>
      <c r="D661">
        <v>34055</v>
      </c>
      <c r="E661" t="s">
        <v>13</v>
      </c>
      <c r="F661" t="s">
        <v>18</v>
      </c>
      <c r="G661" t="s">
        <v>20</v>
      </c>
      <c r="H661">
        <v>1598</v>
      </c>
      <c r="I661">
        <v>111.9</v>
      </c>
      <c r="J661">
        <v>22.67</v>
      </c>
      <c r="K661">
        <v>6</v>
      </c>
      <c r="L661">
        <v>21548.73</v>
      </c>
    </row>
    <row r="662" spans="1:12" x14ac:dyDescent="0.3">
      <c r="A662">
        <v>661</v>
      </c>
      <c r="B662" t="s">
        <v>21</v>
      </c>
      <c r="C662">
        <v>2022</v>
      </c>
      <c r="D662">
        <v>47891</v>
      </c>
      <c r="E662" t="s">
        <v>13</v>
      </c>
      <c r="F662" t="s">
        <v>18</v>
      </c>
      <c r="G662" t="s">
        <v>23</v>
      </c>
      <c r="H662">
        <v>1587</v>
      </c>
      <c r="I662">
        <v>404.1</v>
      </c>
      <c r="J662">
        <v>28</v>
      </c>
      <c r="K662">
        <v>7</v>
      </c>
      <c r="L662">
        <v>98085.09</v>
      </c>
    </row>
    <row r="663" spans="1:12" x14ac:dyDescent="0.3">
      <c r="A663">
        <v>662</v>
      </c>
      <c r="B663" t="s">
        <v>27</v>
      </c>
      <c r="C663">
        <v>2023</v>
      </c>
      <c r="D663">
        <v>86912</v>
      </c>
      <c r="E663" t="s">
        <v>13</v>
      </c>
      <c r="F663" t="s">
        <v>18</v>
      </c>
      <c r="G663" t="s">
        <v>23</v>
      </c>
      <c r="H663">
        <v>3595</v>
      </c>
      <c r="I663">
        <v>590.20000000000005</v>
      </c>
      <c r="J663">
        <v>11.77</v>
      </c>
      <c r="K663">
        <v>7</v>
      </c>
      <c r="L663">
        <v>18514.669999999998</v>
      </c>
    </row>
    <row r="664" spans="1:12" x14ac:dyDescent="0.3">
      <c r="A664">
        <v>663</v>
      </c>
      <c r="B664" t="s">
        <v>25</v>
      </c>
      <c r="C664">
        <v>2009</v>
      </c>
      <c r="D664">
        <v>142660</v>
      </c>
      <c r="E664" t="s">
        <v>17</v>
      </c>
      <c r="F664" t="s">
        <v>18</v>
      </c>
      <c r="G664" t="s">
        <v>23</v>
      </c>
      <c r="H664">
        <v>3884</v>
      </c>
      <c r="I664">
        <v>550.6</v>
      </c>
      <c r="J664">
        <v>14.26</v>
      </c>
      <c r="K664">
        <v>4</v>
      </c>
      <c r="L664">
        <v>30307.360000000001</v>
      </c>
    </row>
    <row r="665" spans="1:12" x14ac:dyDescent="0.3">
      <c r="A665">
        <v>664</v>
      </c>
      <c r="B665" t="s">
        <v>21</v>
      </c>
      <c r="C665">
        <v>2013</v>
      </c>
      <c r="D665">
        <v>95536</v>
      </c>
      <c r="E665" t="s">
        <v>17</v>
      </c>
      <c r="F665" t="s">
        <v>14</v>
      </c>
      <c r="G665" t="s">
        <v>20</v>
      </c>
      <c r="H665">
        <v>3718</v>
      </c>
      <c r="I665">
        <v>285.89999999999998</v>
      </c>
      <c r="J665">
        <v>19.22</v>
      </c>
      <c r="K665">
        <v>4</v>
      </c>
      <c r="L665">
        <v>56044.36</v>
      </c>
    </row>
    <row r="666" spans="1:12" x14ac:dyDescent="0.3">
      <c r="A666">
        <v>665</v>
      </c>
      <c r="B666" t="s">
        <v>12</v>
      </c>
      <c r="C666">
        <v>2007</v>
      </c>
      <c r="D666">
        <v>11304</v>
      </c>
      <c r="E666" t="s">
        <v>13</v>
      </c>
      <c r="F666" t="s">
        <v>14</v>
      </c>
      <c r="G666" t="s">
        <v>15</v>
      </c>
      <c r="H666">
        <v>1531</v>
      </c>
      <c r="I666">
        <v>62.4</v>
      </c>
      <c r="J666">
        <v>27.04</v>
      </c>
      <c r="K666">
        <v>6</v>
      </c>
      <c r="L666">
        <v>63503.14</v>
      </c>
    </row>
    <row r="667" spans="1:12" x14ac:dyDescent="0.3">
      <c r="A667">
        <v>666</v>
      </c>
      <c r="B667" t="s">
        <v>21</v>
      </c>
      <c r="C667">
        <v>2014</v>
      </c>
      <c r="D667">
        <v>12345</v>
      </c>
      <c r="E667" t="s">
        <v>17</v>
      </c>
      <c r="F667" t="s">
        <v>18</v>
      </c>
      <c r="G667" t="s">
        <v>20</v>
      </c>
      <c r="H667">
        <v>1929</v>
      </c>
      <c r="I667">
        <v>242.9</v>
      </c>
      <c r="J667">
        <v>28.55</v>
      </c>
      <c r="K667">
        <v>2</v>
      </c>
      <c r="L667">
        <v>92342.43</v>
      </c>
    </row>
    <row r="668" spans="1:12" x14ac:dyDescent="0.3">
      <c r="A668">
        <v>667</v>
      </c>
      <c r="B668" t="s">
        <v>21</v>
      </c>
      <c r="C668">
        <v>2023</v>
      </c>
      <c r="D668">
        <v>165372</v>
      </c>
      <c r="E668" t="s">
        <v>17</v>
      </c>
      <c r="F668" t="s">
        <v>14</v>
      </c>
      <c r="G668" t="s">
        <v>23</v>
      </c>
      <c r="H668">
        <v>4246</v>
      </c>
      <c r="I668">
        <v>502.8</v>
      </c>
      <c r="J668">
        <v>23.49</v>
      </c>
      <c r="K668">
        <v>4</v>
      </c>
      <c r="L668">
        <v>55337.89</v>
      </c>
    </row>
    <row r="669" spans="1:12" x14ac:dyDescent="0.3">
      <c r="A669">
        <v>668</v>
      </c>
      <c r="B669" t="s">
        <v>21</v>
      </c>
      <c r="C669">
        <v>2007</v>
      </c>
      <c r="D669">
        <v>160331</v>
      </c>
      <c r="E669" t="s">
        <v>17</v>
      </c>
      <c r="F669" t="s">
        <v>14</v>
      </c>
      <c r="G669" t="s">
        <v>23</v>
      </c>
      <c r="H669">
        <v>2405</v>
      </c>
      <c r="I669">
        <v>432.8</v>
      </c>
      <c r="J669">
        <v>7.17</v>
      </c>
      <c r="K669">
        <v>5</v>
      </c>
      <c r="L669">
        <v>95414.16</v>
      </c>
    </row>
    <row r="670" spans="1:12" x14ac:dyDescent="0.3">
      <c r="A670">
        <v>669</v>
      </c>
      <c r="B670" t="s">
        <v>24</v>
      </c>
      <c r="C670">
        <v>2019</v>
      </c>
      <c r="D670">
        <v>96006</v>
      </c>
      <c r="E670" t="s">
        <v>13</v>
      </c>
      <c r="F670" t="s">
        <v>14</v>
      </c>
      <c r="G670" t="s">
        <v>15</v>
      </c>
      <c r="H670">
        <v>4578</v>
      </c>
      <c r="I670">
        <v>297.2</v>
      </c>
      <c r="J670">
        <v>21.73</v>
      </c>
      <c r="K670">
        <v>2</v>
      </c>
      <c r="L670">
        <v>75346.52</v>
      </c>
    </row>
    <row r="671" spans="1:12" x14ac:dyDescent="0.3">
      <c r="A671">
        <v>670</v>
      </c>
      <c r="B671" t="s">
        <v>24</v>
      </c>
      <c r="C671">
        <v>2005</v>
      </c>
      <c r="D671">
        <v>151424</v>
      </c>
      <c r="E671" t="s">
        <v>13</v>
      </c>
      <c r="F671" t="s">
        <v>18</v>
      </c>
      <c r="G671" t="s">
        <v>20</v>
      </c>
      <c r="H671">
        <v>3545</v>
      </c>
      <c r="I671">
        <v>70.900000000000006</v>
      </c>
      <c r="J671">
        <v>15.26</v>
      </c>
      <c r="K671">
        <v>5</v>
      </c>
      <c r="L671">
        <v>16232.67</v>
      </c>
    </row>
    <row r="672" spans="1:12" x14ac:dyDescent="0.3">
      <c r="A672">
        <v>671</v>
      </c>
      <c r="B672" t="s">
        <v>25</v>
      </c>
      <c r="C672">
        <v>2011</v>
      </c>
      <c r="D672">
        <v>134350</v>
      </c>
      <c r="E672" t="s">
        <v>13</v>
      </c>
      <c r="F672" t="s">
        <v>14</v>
      </c>
      <c r="G672" t="s">
        <v>23</v>
      </c>
      <c r="H672">
        <v>3970</v>
      </c>
      <c r="I672">
        <v>279.10000000000002</v>
      </c>
      <c r="J672">
        <v>16.77</v>
      </c>
      <c r="K672">
        <v>7</v>
      </c>
      <c r="L672">
        <v>21290.78</v>
      </c>
    </row>
    <row r="673" spans="1:12" x14ac:dyDescent="0.3">
      <c r="A673">
        <v>672</v>
      </c>
      <c r="B673" t="s">
        <v>29</v>
      </c>
      <c r="C673">
        <v>2016</v>
      </c>
      <c r="D673">
        <v>169437</v>
      </c>
      <c r="E673" t="s">
        <v>17</v>
      </c>
      <c r="F673" t="s">
        <v>14</v>
      </c>
      <c r="G673" t="s">
        <v>15</v>
      </c>
      <c r="H673">
        <v>3733</v>
      </c>
      <c r="I673">
        <v>302.7</v>
      </c>
      <c r="J673">
        <v>6.23</v>
      </c>
      <c r="K673">
        <v>2</v>
      </c>
      <c r="L673">
        <v>54132.95</v>
      </c>
    </row>
    <row r="674" spans="1:12" x14ac:dyDescent="0.3">
      <c r="A674">
        <v>673</v>
      </c>
      <c r="B674" t="s">
        <v>21</v>
      </c>
      <c r="C674">
        <v>2021</v>
      </c>
      <c r="D674">
        <v>24446</v>
      </c>
      <c r="E674" t="s">
        <v>13</v>
      </c>
      <c r="F674" t="s">
        <v>14</v>
      </c>
      <c r="G674" t="s">
        <v>23</v>
      </c>
      <c r="H674">
        <v>2015</v>
      </c>
      <c r="I674">
        <v>560</v>
      </c>
      <c r="J674">
        <v>9.7799999999999994</v>
      </c>
      <c r="K674">
        <v>6</v>
      </c>
      <c r="L674">
        <v>49436.06</v>
      </c>
    </row>
    <row r="675" spans="1:12" x14ac:dyDescent="0.3">
      <c r="A675">
        <v>674</v>
      </c>
      <c r="B675" t="s">
        <v>30</v>
      </c>
      <c r="C675">
        <v>2024</v>
      </c>
      <c r="D675">
        <v>7336</v>
      </c>
      <c r="E675" t="s">
        <v>17</v>
      </c>
      <c r="F675" t="s">
        <v>18</v>
      </c>
      <c r="G675" t="s">
        <v>15</v>
      </c>
      <c r="H675">
        <v>1124</v>
      </c>
      <c r="I675">
        <v>399</v>
      </c>
      <c r="J675">
        <v>24.76</v>
      </c>
      <c r="K675">
        <v>7</v>
      </c>
      <c r="L675">
        <v>89994.68</v>
      </c>
    </row>
    <row r="676" spans="1:12" x14ac:dyDescent="0.3">
      <c r="A676">
        <v>675</v>
      </c>
      <c r="B676" t="s">
        <v>29</v>
      </c>
      <c r="C676">
        <v>2009</v>
      </c>
      <c r="D676">
        <v>67032</v>
      </c>
      <c r="E676" t="s">
        <v>22</v>
      </c>
      <c r="F676" t="s">
        <v>14</v>
      </c>
      <c r="G676" t="s">
        <v>15</v>
      </c>
      <c r="H676">
        <v>2650</v>
      </c>
      <c r="I676">
        <v>214.5</v>
      </c>
      <c r="J676">
        <v>16.350000000000001</v>
      </c>
      <c r="K676">
        <v>7</v>
      </c>
      <c r="L676">
        <v>70946.25</v>
      </c>
    </row>
    <row r="677" spans="1:12" x14ac:dyDescent="0.3">
      <c r="A677">
        <v>676</v>
      </c>
      <c r="B677" t="s">
        <v>25</v>
      </c>
      <c r="C677">
        <v>2008</v>
      </c>
      <c r="D677">
        <v>102852</v>
      </c>
      <c r="E677" t="s">
        <v>17</v>
      </c>
      <c r="F677" t="s">
        <v>14</v>
      </c>
      <c r="G677" t="s">
        <v>20</v>
      </c>
      <c r="H677">
        <v>2290</v>
      </c>
      <c r="I677">
        <v>334.2</v>
      </c>
      <c r="J677">
        <v>12.54</v>
      </c>
      <c r="K677">
        <v>5</v>
      </c>
      <c r="L677">
        <v>48411.57</v>
      </c>
    </row>
    <row r="678" spans="1:12" x14ac:dyDescent="0.3">
      <c r="A678">
        <v>677</v>
      </c>
      <c r="B678" t="s">
        <v>16</v>
      </c>
      <c r="C678">
        <v>2016</v>
      </c>
      <c r="D678">
        <v>143593</v>
      </c>
      <c r="E678" t="s">
        <v>26</v>
      </c>
      <c r="F678" t="s">
        <v>18</v>
      </c>
      <c r="G678" t="s">
        <v>23</v>
      </c>
      <c r="H678">
        <v>1693</v>
      </c>
      <c r="I678">
        <v>77</v>
      </c>
      <c r="J678">
        <v>14.6</v>
      </c>
      <c r="K678">
        <v>7</v>
      </c>
      <c r="L678">
        <v>22978.95</v>
      </c>
    </row>
    <row r="679" spans="1:12" x14ac:dyDescent="0.3">
      <c r="A679">
        <v>678</v>
      </c>
      <c r="B679" t="s">
        <v>29</v>
      </c>
      <c r="C679">
        <v>2024</v>
      </c>
      <c r="D679">
        <v>159553</v>
      </c>
      <c r="E679" t="s">
        <v>13</v>
      </c>
      <c r="F679" t="s">
        <v>18</v>
      </c>
      <c r="G679" t="s">
        <v>20</v>
      </c>
      <c r="H679">
        <v>2190</v>
      </c>
      <c r="I679">
        <v>584.6</v>
      </c>
      <c r="J679">
        <v>26.36</v>
      </c>
      <c r="K679">
        <v>4</v>
      </c>
      <c r="L679">
        <v>29539.94</v>
      </c>
    </row>
    <row r="680" spans="1:12" x14ac:dyDescent="0.3">
      <c r="A680">
        <v>679</v>
      </c>
      <c r="B680" t="s">
        <v>29</v>
      </c>
      <c r="C680">
        <v>2022</v>
      </c>
      <c r="D680">
        <v>23474</v>
      </c>
      <c r="E680" t="s">
        <v>13</v>
      </c>
      <c r="F680" t="s">
        <v>14</v>
      </c>
      <c r="G680" t="s">
        <v>23</v>
      </c>
      <c r="H680">
        <v>4189</v>
      </c>
      <c r="I680">
        <v>241.6</v>
      </c>
      <c r="J680">
        <v>23.72</v>
      </c>
      <c r="K680">
        <v>2</v>
      </c>
      <c r="L680">
        <v>70333.62</v>
      </c>
    </row>
    <row r="681" spans="1:12" x14ac:dyDescent="0.3">
      <c r="A681">
        <v>680</v>
      </c>
      <c r="B681" t="s">
        <v>19</v>
      </c>
      <c r="C681">
        <v>2021</v>
      </c>
      <c r="D681">
        <v>182832</v>
      </c>
      <c r="E681" t="s">
        <v>26</v>
      </c>
      <c r="F681" t="s">
        <v>14</v>
      </c>
      <c r="G681" t="s">
        <v>20</v>
      </c>
      <c r="H681">
        <v>3063</v>
      </c>
      <c r="I681">
        <v>307.60000000000002</v>
      </c>
      <c r="J681">
        <v>11.81</v>
      </c>
      <c r="K681">
        <v>4</v>
      </c>
      <c r="L681">
        <v>52542.34</v>
      </c>
    </row>
    <row r="682" spans="1:12" x14ac:dyDescent="0.3">
      <c r="A682">
        <v>681</v>
      </c>
      <c r="B682" t="s">
        <v>28</v>
      </c>
      <c r="C682">
        <v>2023</v>
      </c>
      <c r="D682">
        <v>60718</v>
      </c>
      <c r="E682" t="s">
        <v>17</v>
      </c>
      <c r="F682" t="s">
        <v>18</v>
      </c>
      <c r="G682" t="s">
        <v>23</v>
      </c>
      <c r="H682">
        <v>4232</v>
      </c>
      <c r="I682">
        <v>239</v>
      </c>
      <c r="J682">
        <v>7.94</v>
      </c>
      <c r="K682">
        <v>5</v>
      </c>
      <c r="L682">
        <v>63246.52</v>
      </c>
    </row>
    <row r="683" spans="1:12" x14ac:dyDescent="0.3">
      <c r="A683">
        <v>682</v>
      </c>
      <c r="B683" t="s">
        <v>19</v>
      </c>
      <c r="C683">
        <v>2013</v>
      </c>
      <c r="D683">
        <v>49629</v>
      </c>
      <c r="E683" t="s">
        <v>22</v>
      </c>
      <c r="F683" t="s">
        <v>18</v>
      </c>
      <c r="G683" t="s">
        <v>20</v>
      </c>
      <c r="H683">
        <v>3171</v>
      </c>
      <c r="I683">
        <v>422.2</v>
      </c>
      <c r="J683">
        <v>11.3</v>
      </c>
      <c r="K683">
        <v>5</v>
      </c>
      <c r="L683">
        <v>22969.26</v>
      </c>
    </row>
    <row r="684" spans="1:12" x14ac:dyDescent="0.3">
      <c r="A684">
        <v>683</v>
      </c>
      <c r="B684" t="s">
        <v>12</v>
      </c>
      <c r="C684">
        <v>2008</v>
      </c>
      <c r="D684">
        <v>50232</v>
      </c>
      <c r="E684" t="s">
        <v>26</v>
      </c>
      <c r="F684" t="s">
        <v>18</v>
      </c>
      <c r="G684" t="s">
        <v>15</v>
      </c>
      <c r="H684">
        <v>3886</v>
      </c>
      <c r="I684">
        <v>410.9</v>
      </c>
      <c r="J684">
        <v>28.02</v>
      </c>
      <c r="K684">
        <v>2</v>
      </c>
      <c r="L684">
        <v>80560.03</v>
      </c>
    </row>
    <row r="685" spans="1:12" x14ac:dyDescent="0.3">
      <c r="A685">
        <v>684</v>
      </c>
      <c r="B685" t="s">
        <v>24</v>
      </c>
      <c r="C685">
        <v>2006</v>
      </c>
      <c r="D685">
        <v>91544</v>
      </c>
      <c r="E685" t="s">
        <v>26</v>
      </c>
      <c r="F685" t="s">
        <v>18</v>
      </c>
      <c r="G685" t="s">
        <v>23</v>
      </c>
      <c r="H685">
        <v>2315</v>
      </c>
      <c r="I685">
        <v>440.6</v>
      </c>
      <c r="J685">
        <v>19.54</v>
      </c>
      <c r="K685">
        <v>7</v>
      </c>
      <c r="L685">
        <v>102747.03</v>
      </c>
    </row>
    <row r="686" spans="1:12" x14ac:dyDescent="0.3">
      <c r="A686">
        <v>685</v>
      </c>
      <c r="B686" t="s">
        <v>24</v>
      </c>
      <c r="C686">
        <v>2008</v>
      </c>
      <c r="D686">
        <v>55669</v>
      </c>
      <c r="E686" t="s">
        <v>17</v>
      </c>
      <c r="F686" t="s">
        <v>18</v>
      </c>
      <c r="G686" t="s">
        <v>23</v>
      </c>
      <c r="H686">
        <v>3717</v>
      </c>
      <c r="I686">
        <v>190.2</v>
      </c>
      <c r="J686">
        <v>18.34</v>
      </c>
      <c r="K686">
        <v>6</v>
      </c>
      <c r="L686">
        <v>33178.92</v>
      </c>
    </row>
    <row r="687" spans="1:12" x14ac:dyDescent="0.3">
      <c r="A687">
        <v>686</v>
      </c>
      <c r="B687" t="s">
        <v>28</v>
      </c>
      <c r="C687">
        <v>2006</v>
      </c>
      <c r="D687">
        <v>74184</v>
      </c>
      <c r="E687" t="s">
        <v>13</v>
      </c>
      <c r="F687" t="s">
        <v>18</v>
      </c>
      <c r="G687" t="s">
        <v>15</v>
      </c>
      <c r="H687">
        <v>3152</v>
      </c>
      <c r="I687">
        <v>216.8</v>
      </c>
      <c r="J687">
        <v>19.91</v>
      </c>
      <c r="K687">
        <v>5</v>
      </c>
      <c r="L687">
        <v>60507.16</v>
      </c>
    </row>
    <row r="688" spans="1:12" x14ac:dyDescent="0.3">
      <c r="A688">
        <v>687</v>
      </c>
      <c r="B688" t="s">
        <v>27</v>
      </c>
      <c r="C688">
        <v>2019</v>
      </c>
      <c r="D688">
        <v>184017</v>
      </c>
      <c r="E688" t="s">
        <v>17</v>
      </c>
      <c r="F688" t="s">
        <v>18</v>
      </c>
      <c r="G688" t="s">
        <v>20</v>
      </c>
      <c r="H688">
        <v>1967</v>
      </c>
      <c r="I688">
        <v>110.1</v>
      </c>
      <c r="J688">
        <v>14.15</v>
      </c>
      <c r="K688">
        <v>2</v>
      </c>
      <c r="L688">
        <v>117136.7</v>
      </c>
    </row>
    <row r="689" spans="1:12" x14ac:dyDescent="0.3">
      <c r="A689">
        <v>688</v>
      </c>
      <c r="B689" t="s">
        <v>27</v>
      </c>
      <c r="C689">
        <v>2006</v>
      </c>
      <c r="D689">
        <v>18140</v>
      </c>
      <c r="E689" t="s">
        <v>26</v>
      </c>
      <c r="F689" t="s">
        <v>14</v>
      </c>
      <c r="G689" t="s">
        <v>23</v>
      </c>
      <c r="H689">
        <v>910</v>
      </c>
      <c r="I689">
        <v>407.1</v>
      </c>
      <c r="J689">
        <v>25.18</v>
      </c>
      <c r="K689">
        <v>6</v>
      </c>
      <c r="L689">
        <v>41989.279999999999</v>
      </c>
    </row>
    <row r="690" spans="1:12" x14ac:dyDescent="0.3">
      <c r="A690">
        <v>689</v>
      </c>
      <c r="B690" t="s">
        <v>25</v>
      </c>
      <c r="C690">
        <v>2008</v>
      </c>
      <c r="D690">
        <v>131468</v>
      </c>
      <c r="E690" t="s">
        <v>26</v>
      </c>
      <c r="F690" t="s">
        <v>18</v>
      </c>
      <c r="G690" t="s">
        <v>23</v>
      </c>
      <c r="H690">
        <v>4455</v>
      </c>
      <c r="I690">
        <v>62.3</v>
      </c>
      <c r="J690">
        <v>18.079999999999998</v>
      </c>
      <c r="K690">
        <v>7</v>
      </c>
      <c r="L690">
        <v>72620.42</v>
      </c>
    </row>
    <row r="691" spans="1:12" x14ac:dyDescent="0.3">
      <c r="A691">
        <v>690</v>
      </c>
      <c r="B691" t="s">
        <v>28</v>
      </c>
      <c r="C691">
        <v>2010</v>
      </c>
      <c r="D691">
        <v>88457</v>
      </c>
      <c r="E691" t="s">
        <v>13</v>
      </c>
      <c r="F691" t="s">
        <v>18</v>
      </c>
      <c r="G691" t="s">
        <v>20</v>
      </c>
      <c r="H691">
        <v>4593</v>
      </c>
      <c r="I691">
        <v>374.7</v>
      </c>
      <c r="J691">
        <v>7.92</v>
      </c>
      <c r="K691">
        <v>5</v>
      </c>
      <c r="L691">
        <v>13552.9</v>
      </c>
    </row>
    <row r="692" spans="1:12" x14ac:dyDescent="0.3">
      <c r="A692">
        <v>691</v>
      </c>
      <c r="B692" t="s">
        <v>29</v>
      </c>
      <c r="C692">
        <v>2011</v>
      </c>
      <c r="D692">
        <v>19357</v>
      </c>
      <c r="E692" t="s">
        <v>13</v>
      </c>
      <c r="F692" t="s">
        <v>14</v>
      </c>
      <c r="G692" t="s">
        <v>15</v>
      </c>
      <c r="H692">
        <v>2555</v>
      </c>
      <c r="I692">
        <v>527</v>
      </c>
      <c r="J692">
        <v>8.23</v>
      </c>
      <c r="K692">
        <v>2</v>
      </c>
      <c r="L692">
        <v>73903.759999999995</v>
      </c>
    </row>
    <row r="693" spans="1:12" x14ac:dyDescent="0.3">
      <c r="A693">
        <v>692</v>
      </c>
      <c r="B693" t="s">
        <v>27</v>
      </c>
      <c r="C693">
        <v>2014</v>
      </c>
      <c r="D693">
        <v>116672</v>
      </c>
      <c r="E693" t="s">
        <v>13</v>
      </c>
      <c r="F693" t="s">
        <v>18</v>
      </c>
      <c r="G693" t="s">
        <v>20</v>
      </c>
      <c r="H693">
        <v>2377</v>
      </c>
      <c r="I693">
        <v>538.9</v>
      </c>
      <c r="J693">
        <v>18.420000000000002</v>
      </c>
      <c r="K693">
        <v>2</v>
      </c>
      <c r="L693">
        <v>13486.92</v>
      </c>
    </row>
    <row r="694" spans="1:12" x14ac:dyDescent="0.3">
      <c r="A694">
        <v>693</v>
      </c>
      <c r="B694" t="s">
        <v>21</v>
      </c>
      <c r="C694">
        <v>2023</v>
      </c>
      <c r="D694">
        <v>73673</v>
      </c>
      <c r="E694" t="s">
        <v>17</v>
      </c>
      <c r="F694" t="s">
        <v>18</v>
      </c>
      <c r="G694" t="s">
        <v>20</v>
      </c>
      <c r="H694">
        <v>2096</v>
      </c>
      <c r="I694">
        <v>291.5</v>
      </c>
      <c r="J694">
        <v>28.41</v>
      </c>
      <c r="K694">
        <v>2</v>
      </c>
      <c r="L694">
        <v>115230.55</v>
      </c>
    </row>
    <row r="695" spans="1:12" x14ac:dyDescent="0.3">
      <c r="A695">
        <v>694</v>
      </c>
      <c r="B695" t="s">
        <v>30</v>
      </c>
      <c r="C695">
        <v>2023</v>
      </c>
      <c r="D695">
        <v>126673</v>
      </c>
      <c r="E695" t="s">
        <v>13</v>
      </c>
      <c r="F695" t="s">
        <v>14</v>
      </c>
      <c r="G695" t="s">
        <v>20</v>
      </c>
      <c r="H695">
        <v>4574</v>
      </c>
      <c r="I695">
        <v>297.2</v>
      </c>
      <c r="J695">
        <v>12.71</v>
      </c>
      <c r="K695">
        <v>5</v>
      </c>
      <c r="L695">
        <v>86732.53</v>
      </c>
    </row>
    <row r="696" spans="1:12" x14ac:dyDescent="0.3">
      <c r="A696">
        <v>695</v>
      </c>
      <c r="B696" t="s">
        <v>29</v>
      </c>
      <c r="C696">
        <v>2016</v>
      </c>
      <c r="D696">
        <v>70633</v>
      </c>
      <c r="E696" t="s">
        <v>26</v>
      </c>
      <c r="F696" t="s">
        <v>18</v>
      </c>
      <c r="G696" t="s">
        <v>23</v>
      </c>
      <c r="H696">
        <v>3020</v>
      </c>
      <c r="I696">
        <v>83.1</v>
      </c>
      <c r="J696">
        <v>26.74</v>
      </c>
      <c r="K696">
        <v>6</v>
      </c>
      <c r="L696">
        <v>95214.7</v>
      </c>
    </row>
    <row r="697" spans="1:12" x14ac:dyDescent="0.3">
      <c r="A697">
        <v>696</v>
      </c>
      <c r="B697" t="s">
        <v>12</v>
      </c>
      <c r="C697">
        <v>2007</v>
      </c>
      <c r="D697">
        <v>101111</v>
      </c>
      <c r="E697" t="s">
        <v>26</v>
      </c>
      <c r="F697" t="s">
        <v>14</v>
      </c>
      <c r="G697" t="s">
        <v>15</v>
      </c>
      <c r="H697">
        <v>1772</v>
      </c>
      <c r="I697">
        <v>415.6</v>
      </c>
      <c r="J697">
        <v>24.1</v>
      </c>
      <c r="K697">
        <v>2</v>
      </c>
      <c r="L697">
        <v>85380.21</v>
      </c>
    </row>
    <row r="698" spans="1:12" x14ac:dyDescent="0.3">
      <c r="A698">
        <v>697</v>
      </c>
      <c r="B698" t="s">
        <v>21</v>
      </c>
      <c r="C698">
        <v>2017</v>
      </c>
      <c r="D698">
        <v>83258</v>
      </c>
      <c r="E698" t="s">
        <v>22</v>
      </c>
      <c r="F698" t="s">
        <v>14</v>
      </c>
      <c r="G698" t="s">
        <v>15</v>
      </c>
      <c r="H698">
        <v>1830</v>
      </c>
      <c r="I698">
        <v>499.9</v>
      </c>
      <c r="J698">
        <v>11.2</v>
      </c>
      <c r="K698">
        <v>7</v>
      </c>
      <c r="L698">
        <v>71998.3</v>
      </c>
    </row>
    <row r="699" spans="1:12" x14ac:dyDescent="0.3">
      <c r="A699">
        <v>698</v>
      </c>
      <c r="B699" t="s">
        <v>21</v>
      </c>
      <c r="C699">
        <v>2022</v>
      </c>
      <c r="D699">
        <v>148996</v>
      </c>
      <c r="E699" t="s">
        <v>17</v>
      </c>
      <c r="F699" t="s">
        <v>14</v>
      </c>
      <c r="G699" t="s">
        <v>20</v>
      </c>
      <c r="H699">
        <v>3393</v>
      </c>
      <c r="I699">
        <v>177</v>
      </c>
      <c r="J699">
        <v>5.91</v>
      </c>
      <c r="K699">
        <v>2</v>
      </c>
      <c r="L699">
        <v>55639.8</v>
      </c>
    </row>
    <row r="700" spans="1:12" x14ac:dyDescent="0.3">
      <c r="A700">
        <v>699</v>
      </c>
      <c r="B700" t="s">
        <v>28</v>
      </c>
      <c r="C700">
        <v>2012</v>
      </c>
      <c r="D700">
        <v>74286</v>
      </c>
      <c r="E700" t="s">
        <v>22</v>
      </c>
      <c r="F700" t="s">
        <v>14</v>
      </c>
      <c r="G700" t="s">
        <v>23</v>
      </c>
      <c r="H700">
        <v>4792</v>
      </c>
      <c r="I700">
        <v>275.89999999999998</v>
      </c>
      <c r="J700">
        <v>7.55</v>
      </c>
      <c r="K700">
        <v>6</v>
      </c>
      <c r="L700">
        <v>103429.69</v>
      </c>
    </row>
    <row r="701" spans="1:12" x14ac:dyDescent="0.3">
      <c r="A701">
        <v>700</v>
      </c>
      <c r="B701" t="s">
        <v>25</v>
      </c>
      <c r="C701">
        <v>2019</v>
      </c>
      <c r="D701">
        <v>98269</v>
      </c>
      <c r="E701" t="s">
        <v>26</v>
      </c>
      <c r="F701" t="s">
        <v>18</v>
      </c>
      <c r="G701" t="s">
        <v>20</v>
      </c>
      <c r="H701">
        <v>1713</v>
      </c>
      <c r="I701">
        <v>509.8</v>
      </c>
      <c r="J701">
        <v>23.21</v>
      </c>
      <c r="K701">
        <v>5</v>
      </c>
      <c r="L701">
        <v>114949.77</v>
      </c>
    </row>
    <row r="702" spans="1:12" x14ac:dyDescent="0.3">
      <c r="A702">
        <v>701</v>
      </c>
      <c r="B702" t="s">
        <v>12</v>
      </c>
      <c r="C702">
        <v>2005</v>
      </c>
      <c r="D702">
        <v>79071</v>
      </c>
      <c r="E702" t="s">
        <v>22</v>
      </c>
      <c r="F702" t="s">
        <v>14</v>
      </c>
      <c r="G702" t="s">
        <v>23</v>
      </c>
      <c r="H702">
        <v>2981</v>
      </c>
      <c r="I702">
        <v>531.20000000000005</v>
      </c>
      <c r="J702">
        <v>9.99</v>
      </c>
      <c r="K702">
        <v>2</v>
      </c>
      <c r="L702">
        <v>61387.23</v>
      </c>
    </row>
    <row r="703" spans="1:12" x14ac:dyDescent="0.3">
      <c r="A703">
        <v>702</v>
      </c>
      <c r="B703" t="s">
        <v>27</v>
      </c>
      <c r="C703">
        <v>2007</v>
      </c>
      <c r="D703">
        <v>193398</v>
      </c>
      <c r="E703" t="s">
        <v>26</v>
      </c>
      <c r="F703" t="s">
        <v>14</v>
      </c>
      <c r="G703" t="s">
        <v>23</v>
      </c>
      <c r="H703">
        <v>3997</v>
      </c>
      <c r="I703">
        <v>176.2</v>
      </c>
      <c r="J703">
        <v>14.28</v>
      </c>
      <c r="K703">
        <v>2</v>
      </c>
      <c r="L703">
        <v>111989.6</v>
      </c>
    </row>
    <row r="704" spans="1:12" x14ac:dyDescent="0.3">
      <c r="A704">
        <v>703</v>
      </c>
      <c r="B704" t="s">
        <v>28</v>
      </c>
      <c r="C704">
        <v>2012</v>
      </c>
      <c r="D704">
        <v>35651</v>
      </c>
      <c r="E704" t="s">
        <v>22</v>
      </c>
      <c r="F704" t="s">
        <v>18</v>
      </c>
      <c r="G704" t="s">
        <v>23</v>
      </c>
      <c r="H704">
        <v>2262</v>
      </c>
      <c r="I704">
        <v>348.3</v>
      </c>
      <c r="J704">
        <v>17.54</v>
      </c>
      <c r="K704">
        <v>7</v>
      </c>
      <c r="L704">
        <v>71249.95</v>
      </c>
    </row>
    <row r="705" spans="1:12" x14ac:dyDescent="0.3">
      <c r="A705">
        <v>704</v>
      </c>
      <c r="B705" t="s">
        <v>27</v>
      </c>
      <c r="C705">
        <v>2008</v>
      </c>
      <c r="D705">
        <v>75202</v>
      </c>
      <c r="E705" t="s">
        <v>13</v>
      </c>
      <c r="F705" t="s">
        <v>14</v>
      </c>
      <c r="G705" t="s">
        <v>23</v>
      </c>
      <c r="H705">
        <v>3178</v>
      </c>
      <c r="I705">
        <v>147.80000000000001</v>
      </c>
      <c r="J705">
        <v>23.14</v>
      </c>
      <c r="K705">
        <v>7</v>
      </c>
      <c r="L705">
        <v>65990.95</v>
      </c>
    </row>
    <row r="706" spans="1:12" x14ac:dyDescent="0.3">
      <c r="A706">
        <v>705</v>
      </c>
      <c r="B706" t="s">
        <v>28</v>
      </c>
      <c r="C706">
        <v>2020</v>
      </c>
      <c r="D706">
        <v>53777</v>
      </c>
      <c r="E706" t="s">
        <v>22</v>
      </c>
      <c r="F706" t="s">
        <v>14</v>
      </c>
      <c r="G706" t="s">
        <v>15</v>
      </c>
      <c r="H706">
        <v>4254</v>
      </c>
      <c r="I706">
        <v>97.1</v>
      </c>
      <c r="J706">
        <v>7.83</v>
      </c>
      <c r="K706">
        <v>2</v>
      </c>
      <c r="L706">
        <v>56174.48</v>
      </c>
    </row>
    <row r="707" spans="1:12" x14ac:dyDescent="0.3">
      <c r="A707">
        <v>706</v>
      </c>
      <c r="B707" t="s">
        <v>28</v>
      </c>
      <c r="C707">
        <v>2014</v>
      </c>
      <c r="D707">
        <v>153066</v>
      </c>
      <c r="E707" t="s">
        <v>13</v>
      </c>
      <c r="F707" t="s">
        <v>14</v>
      </c>
      <c r="G707" t="s">
        <v>23</v>
      </c>
      <c r="H707">
        <v>4353</v>
      </c>
      <c r="I707">
        <v>550.20000000000005</v>
      </c>
      <c r="J707">
        <v>15.16</v>
      </c>
      <c r="K707">
        <v>2</v>
      </c>
      <c r="L707">
        <v>27486.67</v>
      </c>
    </row>
    <row r="708" spans="1:12" x14ac:dyDescent="0.3">
      <c r="A708">
        <v>707</v>
      </c>
      <c r="B708" t="s">
        <v>28</v>
      </c>
      <c r="C708">
        <v>2016</v>
      </c>
      <c r="D708">
        <v>72263</v>
      </c>
      <c r="E708" t="s">
        <v>13</v>
      </c>
      <c r="F708" t="s">
        <v>14</v>
      </c>
      <c r="G708" t="s">
        <v>23</v>
      </c>
      <c r="H708">
        <v>2107</v>
      </c>
      <c r="I708">
        <v>499.5</v>
      </c>
      <c r="J708">
        <v>17.13</v>
      </c>
      <c r="K708">
        <v>7</v>
      </c>
      <c r="L708">
        <v>3435.2</v>
      </c>
    </row>
    <row r="709" spans="1:12" x14ac:dyDescent="0.3">
      <c r="A709">
        <v>708</v>
      </c>
      <c r="B709" t="s">
        <v>25</v>
      </c>
      <c r="C709">
        <v>2018</v>
      </c>
      <c r="D709">
        <v>195706</v>
      </c>
      <c r="E709" t="s">
        <v>17</v>
      </c>
      <c r="F709" t="s">
        <v>18</v>
      </c>
      <c r="G709" t="s">
        <v>20</v>
      </c>
      <c r="H709">
        <v>1989</v>
      </c>
      <c r="I709">
        <v>465.6</v>
      </c>
      <c r="J709">
        <v>18.52</v>
      </c>
      <c r="K709">
        <v>6</v>
      </c>
      <c r="L709">
        <v>31256.23</v>
      </c>
    </row>
    <row r="710" spans="1:12" x14ac:dyDescent="0.3">
      <c r="A710">
        <v>709</v>
      </c>
      <c r="B710" t="s">
        <v>28</v>
      </c>
      <c r="C710">
        <v>2018</v>
      </c>
      <c r="D710">
        <v>105158</v>
      </c>
      <c r="E710" t="s">
        <v>13</v>
      </c>
      <c r="F710" t="s">
        <v>14</v>
      </c>
      <c r="G710" t="s">
        <v>20</v>
      </c>
      <c r="H710">
        <v>1487</v>
      </c>
      <c r="I710">
        <v>67.3</v>
      </c>
      <c r="J710">
        <v>25.46</v>
      </c>
      <c r="K710">
        <v>4</v>
      </c>
      <c r="L710">
        <v>62637.61</v>
      </c>
    </row>
    <row r="711" spans="1:12" x14ac:dyDescent="0.3">
      <c r="A711">
        <v>710</v>
      </c>
      <c r="B711" t="s">
        <v>16</v>
      </c>
      <c r="C711">
        <v>2006</v>
      </c>
      <c r="D711">
        <v>15800</v>
      </c>
      <c r="E711" t="s">
        <v>13</v>
      </c>
      <c r="F711" t="s">
        <v>18</v>
      </c>
      <c r="G711" t="s">
        <v>15</v>
      </c>
      <c r="H711">
        <v>2007</v>
      </c>
      <c r="I711">
        <v>512.5</v>
      </c>
      <c r="J711">
        <v>9.2899999999999991</v>
      </c>
      <c r="K711">
        <v>4</v>
      </c>
      <c r="L711">
        <v>47455.31</v>
      </c>
    </row>
    <row r="712" spans="1:12" x14ac:dyDescent="0.3">
      <c r="A712">
        <v>711</v>
      </c>
      <c r="B712" t="s">
        <v>30</v>
      </c>
      <c r="C712">
        <v>2009</v>
      </c>
      <c r="D712">
        <v>42823</v>
      </c>
      <c r="E712" t="s">
        <v>22</v>
      </c>
      <c r="F712" t="s">
        <v>18</v>
      </c>
      <c r="G712" t="s">
        <v>20</v>
      </c>
      <c r="H712">
        <v>2694</v>
      </c>
      <c r="I712">
        <v>285.3</v>
      </c>
      <c r="J712">
        <v>25.2</v>
      </c>
      <c r="K712">
        <v>2</v>
      </c>
      <c r="L712">
        <v>55472.77</v>
      </c>
    </row>
    <row r="713" spans="1:12" x14ac:dyDescent="0.3">
      <c r="A713">
        <v>712</v>
      </c>
      <c r="B713" t="s">
        <v>27</v>
      </c>
      <c r="C713">
        <v>2009</v>
      </c>
      <c r="D713">
        <v>68878</v>
      </c>
      <c r="E713" t="s">
        <v>26</v>
      </c>
      <c r="F713" t="s">
        <v>14</v>
      </c>
      <c r="G713" t="s">
        <v>23</v>
      </c>
      <c r="H713">
        <v>2611</v>
      </c>
      <c r="I713">
        <v>231.7</v>
      </c>
      <c r="J713">
        <v>22.32</v>
      </c>
      <c r="K713">
        <v>7</v>
      </c>
      <c r="L713">
        <v>117735.84</v>
      </c>
    </row>
    <row r="714" spans="1:12" x14ac:dyDescent="0.3">
      <c r="A714">
        <v>713</v>
      </c>
      <c r="B714" t="s">
        <v>29</v>
      </c>
      <c r="C714">
        <v>2010</v>
      </c>
      <c r="D714">
        <v>23708</v>
      </c>
      <c r="E714" t="s">
        <v>17</v>
      </c>
      <c r="F714" t="s">
        <v>14</v>
      </c>
      <c r="G714" t="s">
        <v>20</v>
      </c>
      <c r="H714">
        <v>3983</v>
      </c>
      <c r="I714">
        <v>346</v>
      </c>
      <c r="J714">
        <v>18.899999999999999</v>
      </c>
      <c r="K714">
        <v>5</v>
      </c>
      <c r="L714">
        <v>43981.87</v>
      </c>
    </row>
    <row r="715" spans="1:12" x14ac:dyDescent="0.3">
      <c r="A715">
        <v>714</v>
      </c>
      <c r="B715" t="s">
        <v>19</v>
      </c>
      <c r="C715">
        <v>2017</v>
      </c>
      <c r="D715">
        <v>148891</v>
      </c>
      <c r="E715" t="s">
        <v>13</v>
      </c>
      <c r="F715" t="s">
        <v>14</v>
      </c>
      <c r="G715" t="s">
        <v>15</v>
      </c>
      <c r="H715">
        <v>4597</v>
      </c>
      <c r="I715">
        <v>91.2</v>
      </c>
      <c r="J715">
        <v>22.49</v>
      </c>
      <c r="K715">
        <v>5</v>
      </c>
      <c r="L715">
        <v>55905.4</v>
      </c>
    </row>
    <row r="716" spans="1:12" x14ac:dyDescent="0.3">
      <c r="A716">
        <v>715</v>
      </c>
      <c r="B716" t="s">
        <v>12</v>
      </c>
      <c r="C716">
        <v>2013</v>
      </c>
      <c r="D716">
        <v>68870</v>
      </c>
      <c r="E716" t="s">
        <v>17</v>
      </c>
      <c r="F716" t="s">
        <v>14</v>
      </c>
      <c r="G716" t="s">
        <v>20</v>
      </c>
      <c r="H716">
        <v>2444</v>
      </c>
      <c r="I716">
        <v>463.7</v>
      </c>
      <c r="J716">
        <v>15.3</v>
      </c>
      <c r="K716">
        <v>4</v>
      </c>
      <c r="L716">
        <v>18621.32</v>
      </c>
    </row>
    <row r="717" spans="1:12" x14ac:dyDescent="0.3">
      <c r="A717">
        <v>716</v>
      </c>
      <c r="B717" t="s">
        <v>24</v>
      </c>
      <c r="C717">
        <v>2019</v>
      </c>
      <c r="D717">
        <v>14283</v>
      </c>
      <c r="E717" t="s">
        <v>22</v>
      </c>
      <c r="F717" t="s">
        <v>18</v>
      </c>
      <c r="G717" t="s">
        <v>20</v>
      </c>
      <c r="H717">
        <v>4768</v>
      </c>
      <c r="I717">
        <v>366.2</v>
      </c>
      <c r="J717">
        <v>8.4600000000000009</v>
      </c>
      <c r="K717">
        <v>6</v>
      </c>
      <c r="L717">
        <v>8611.0499999999993</v>
      </c>
    </row>
    <row r="718" spans="1:12" x14ac:dyDescent="0.3">
      <c r="A718">
        <v>717</v>
      </c>
      <c r="B718" t="s">
        <v>25</v>
      </c>
      <c r="C718">
        <v>2018</v>
      </c>
      <c r="D718">
        <v>166645</v>
      </c>
      <c r="E718" t="s">
        <v>13</v>
      </c>
      <c r="F718" t="s">
        <v>18</v>
      </c>
      <c r="G718" t="s">
        <v>15</v>
      </c>
      <c r="H718">
        <v>3516</v>
      </c>
      <c r="I718">
        <v>144.5</v>
      </c>
      <c r="J718">
        <v>21.64</v>
      </c>
      <c r="K718">
        <v>4</v>
      </c>
      <c r="L718">
        <v>93722.91</v>
      </c>
    </row>
    <row r="719" spans="1:12" x14ac:dyDescent="0.3">
      <c r="A719">
        <v>718</v>
      </c>
      <c r="B719" t="s">
        <v>29</v>
      </c>
      <c r="C719">
        <v>2011</v>
      </c>
      <c r="D719">
        <v>83707</v>
      </c>
      <c r="E719" t="s">
        <v>22</v>
      </c>
      <c r="F719" t="s">
        <v>18</v>
      </c>
      <c r="G719" t="s">
        <v>15</v>
      </c>
      <c r="H719">
        <v>990</v>
      </c>
      <c r="I719">
        <v>145.4</v>
      </c>
      <c r="J719">
        <v>18.12</v>
      </c>
      <c r="K719">
        <v>2</v>
      </c>
      <c r="L719">
        <v>69769.929999999993</v>
      </c>
    </row>
    <row r="720" spans="1:12" x14ac:dyDescent="0.3">
      <c r="A720">
        <v>719</v>
      </c>
      <c r="B720" t="s">
        <v>21</v>
      </c>
      <c r="C720">
        <v>2024</v>
      </c>
      <c r="D720">
        <v>167005</v>
      </c>
      <c r="E720" t="s">
        <v>17</v>
      </c>
      <c r="F720" t="s">
        <v>14</v>
      </c>
      <c r="G720" t="s">
        <v>23</v>
      </c>
      <c r="H720">
        <v>2135</v>
      </c>
      <c r="I720">
        <v>143.19999999999999</v>
      </c>
      <c r="J720">
        <v>20.98</v>
      </c>
      <c r="K720">
        <v>6</v>
      </c>
      <c r="L720">
        <v>92002.46</v>
      </c>
    </row>
    <row r="721" spans="1:12" x14ac:dyDescent="0.3">
      <c r="A721">
        <v>720</v>
      </c>
      <c r="B721" t="s">
        <v>16</v>
      </c>
      <c r="C721">
        <v>2006</v>
      </c>
      <c r="D721">
        <v>10774</v>
      </c>
      <c r="E721" t="s">
        <v>22</v>
      </c>
      <c r="F721" t="s">
        <v>18</v>
      </c>
      <c r="G721" t="s">
        <v>20</v>
      </c>
      <c r="H721">
        <v>3906</v>
      </c>
      <c r="I721">
        <v>71.900000000000006</v>
      </c>
      <c r="J721">
        <v>13.45</v>
      </c>
      <c r="K721">
        <v>5</v>
      </c>
      <c r="L721">
        <v>20533.95</v>
      </c>
    </row>
    <row r="722" spans="1:12" x14ac:dyDescent="0.3">
      <c r="A722">
        <v>721</v>
      </c>
      <c r="B722" t="s">
        <v>24</v>
      </c>
      <c r="C722">
        <v>2011</v>
      </c>
      <c r="D722">
        <v>147055</v>
      </c>
      <c r="E722" t="s">
        <v>17</v>
      </c>
      <c r="F722" t="s">
        <v>14</v>
      </c>
      <c r="G722" t="s">
        <v>23</v>
      </c>
      <c r="H722">
        <v>1178</v>
      </c>
      <c r="I722">
        <v>369.2</v>
      </c>
      <c r="J722">
        <v>27.67</v>
      </c>
      <c r="K722">
        <v>7</v>
      </c>
      <c r="L722">
        <v>69903.97</v>
      </c>
    </row>
    <row r="723" spans="1:12" x14ac:dyDescent="0.3">
      <c r="A723">
        <v>722</v>
      </c>
      <c r="B723" t="s">
        <v>19</v>
      </c>
      <c r="C723">
        <v>2010</v>
      </c>
      <c r="D723">
        <v>101468</v>
      </c>
      <c r="E723" t="s">
        <v>22</v>
      </c>
      <c r="F723" t="s">
        <v>14</v>
      </c>
      <c r="G723" t="s">
        <v>20</v>
      </c>
      <c r="H723">
        <v>4629</v>
      </c>
      <c r="I723">
        <v>510.6</v>
      </c>
      <c r="J723">
        <v>19.68</v>
      </c>
      <c r="K723">
        <v>7</v>
      </c>
      <c r="L723">
        <v>32676.17</v>
      </c>
    </row>
    <row r="724" spans="1:12" x14ac:dyDescent="0.3">
      <c r="A724">
        <v>723</v>
      </c>
      <c r="B724" t="s">
        <v>29</v>
      </c>
      <c r="C724">
        <v>2021</v>
      </c>
      <c r="D724">
        <v>101334</v>
      </c>
      <c r="E724" t="s">
        <v>17</v>
      </c>
      <c r="F724" t="s">
        <v>14</v>
      </c>
      <c r="G724" t="s">
        <v>20</v>
      </c>
      <c r="H724">
        <v>1415</v>
      </c>
      <c r="I724">
        <v>49.8</v>
      </c>
      <c r="J724">
        <v>7.14</v>
      </c>
      <c r="K724">
        <v>2</v>
      </c>
      <c r="L724">
        <v>29683.23</v>
      </c>
    </row>
    <row r="725" spans="1:12" x14ac:dyDescent="0.3">
      <c r="A725">
        <v>724</v>
      </c>
      <c r="B725" t="s">
        <v>24</v>
      </c>
      <c r="C725">
        <v>2006</v>
      </c>
      <c r="D725">
        <v>23133</v>
      </c>
      <c r="E725" t="s">
        <v>26</v>
      </c>
      <c r="F725" t="s">
        <v>14</v>
      </c>
      <c r="G725" t="s">
        <v>23</v>
      </c>
      <c r="H725">
        <v>3130</v>
      </c>
      <c r="I725">
        <v>67.400000000000006</v>
      </c>
      <c r="J725">
        <v>16.25</v>
      </c>
      <c r="K725">
        <v>4</v>
      </c>
      <c r="L725">
        <v>4348.54</v>
      </c>
    </row>
    <row r="726" spans="1:12" x14ac:dyDescent="0.3">
      <c r="A726">
        <v>725</v>
      </c>
      <c r="B726" t="s">
        <v>29</v>
      </c>
      <c r="C726">
        <v>2007</v>
      </c>
      <c r="D726">
        <v>151011</v>
      </c>
      <c r="E726" t="s">
        <v>22</v>
      </c>
      <c r="F726" t="s">
        <v>14</v>
      </c>
      <c r="G726" t="s">
        <v>20</v>
      </c>
      <c r="H726">
        <v>2554</v>
      </c>
      <c r="I726">
        <v>360.8</v>
      </c>
      <c r="J726">
        <v>23.91</v>
      </c>
      <c r="K726">
        <v>2</v>
      </c>
      <c r="L726">
        <v>18249.86</v>
      </c>
    </row>
    <row r="727" spans="1:12" x14ac:dyDescent="0.3">
      <c r="A727">
        <v>726</v>
      </c>
      <c r="B727" t="s">
        <v>16</v>
      </c>
      <c r="C727">
        <v>2009</v>
      </c>
      <c r="D727">
        <v>5781</v>
      </c>
      <c r="E727" t="s">
        <v>22</v>
      </c>
      <c r="F727" t="s">
        <v>18</v>
      </c>
      <c r="G727" t="s">
        <v>20</v>
      </c>
      <c r="H727">
        <v>1263</v>
      </c>
      <c r="I727">
        <v>498.9</v>
      </c>
      <c r="J727">
        <v>24.85</v>
      </c>
      <c r="K727">
        <v>7</v>
      </c>
      <c r="L727">
        <v>39184.370000000003</v>
      </c>
    </row>
    <row r="728" spans="1:12" x14ac:dyDescent="0.3">
      <c r="A728">
        <v>727</v>
      </c>
      <c r="B728" t="s">
        <v>19</v>
      </c>
      <c r="C728">
        <v>2009</v>
      </c>
      <c r="D728">
        <v>119586</v>
      </c>
      <c r="E728" t="s">
        <v>26</v>
      </c>
      <c r="F728" t="s">
        <v>18</v>
      </c>
      <c r="G728" t="s">
        <v>20</v>
      </c>
      <c r="H728">
        <v>1766</v>
      </c>
      <c r="I728">
        <v>223</v>
      </c>
      <c r="J728">
        <v>17.36</v>
      </c>
      <c r="K728">
        <v>5</v>
      </c>
      <c r="L728">
        <v>16674.810000000001</v>
      </c>
    </row>
    <row r="729" spans="1:12" x14ac:dyDescent="0.3">
      <c r="A729">
        <v>728</v>
      </c>
      <c r="B729" t="s">
        <v>21</v>
      </c>
      <c r="C729">
        <v>2005</v>
      </c>
      <c r="D729">
        <v>192772</v>
      </c>
      <c r="E729" t="s">
        <v>26</v>
      </c>
      <c r="F729" t="s">
        <v>14</v>
      </c>
      <c r="G729" t="s">
        <v>15</v>
      </c>
      <c r="H729">
        <v>3958</v>
      </c>
      <c r="I729">
        <v>235.8</v>
      </c>
      <c r="J729">
        <v>27.37</v>
      </c>
      <c r="K729">
        <v>7</v>
      </c>
      <c r="L729">
        <v>118345.44</v>
      </c>
    </row>
    <row r="730" spans="1:12" x14ac:dyDescent="0.3">
      <c r="A730">
        <v>729</v>
      </c>
      <c r="B730" t="s">
        <v>28</v>
      </c>
      <c r="C730">
        <v>2012</v>
      </c>
      <c r="D730">
        <v>32624</v>
      </c>
      <c r="E730" t="s">
        <v>22</v>
      </c>
      <c r="F730" t="s">
        <v>18</v>
      </c>
      <c r="G730" t="s">
        <v>23</v>
      </c>
      <c r="H730">
        <v>4424</v>
      </c>
      <c r="I730">
        <v>374</v>
      </c>
      <c r="J730">
        <v>11.69</v>
      </c>
      <c r="K730">
        <v>6</v>
      </c>
      <c r="L730">
        <v>39110.019999999997</v>
      </c>
    </row>
    <row r="731" spans="1:12" x14ac:dyDescent="0.3">
      <c r="A731">
        <v>730</v>
      </c>
      <c r="B731" t="s">
        <v>27</v>
      </c>
      <c r="C731">
        <v>2016</v>
      </c>
      <c r="D731">
        <v>11823</v>
      </c>
      <c r="E731" t="s">
        <v>26</v>
      </c>
      <c r="F731" t="s">
        <v>14</v>
      </c>
      <c r="G731" t="s">
        <v>15</v>
      </c>
      <c r="H731">
        <v>1489</v>
      </c>
      <c r="I731">
        <v>193.6</v>
      </c>
      <c r="J731">
        <v>15.26</v>
      </c>
      <c r="K731">
        <v>7</v>
      </c>
      <c r="L731">
        <v>18247.900000000001</v>
      </c>
    </row>
    <row r="732" spans="1:12" x14ac:dyDescent="0.3">
      <c r="A732">
        <v>731</v>
      </c>
      <c r="B732" t="s">
        <v>21</v>
      </c>
      <c r="C732">
        <v>2008</v>
      </c>
      <c r="D732">
        <v>23489</v>
      </c>
      <c r="E732" t="s">
        <v>13</v>
      </c>
      <c r="F732" t="s">
        <v>14</v>
      </c>
      <c r="G732" t="s">
        <v>23</v>
      </c>
      <c r="H732">
        <v>3422</v>
      </c>
      <c r="I732">
        <v>54.9</v>
      </c>
      <c r="J732">
        <v>27.46</v>
      </c>
      <c r="K732">
        <v>7</v>
      </c>
      <c r="L732">
        <v>26292.63</v>
      </c>
    </row>
    <row r="733" spans="1:12" x14ac:dyDescent="0.3">
      <c r="A733">
        <v>732</v>
      </c>
      <c r="B733" t="s">
        <v>28</v>
      </c>
      <c r="C733">
        <v>2017</v>
      </c>
      <c r="D733">
        <v>176033</v>
      </c>
      <c r="E733" t="s">
        <v>17</v>
      </c>
      <c r="F733" t="s">
        <v>14</v>
      </c>
      <c r="G733" t="s">
        <v>23</v>
      </c>
      <c r="H733">
        <v>3012</v>
      </c>
      <c r="I733">
        <v>451.7</v>
      </c>
      <c r="J733">
        <v>27.41</v>
      </c>
      <c r="K733">
        <v>6</v>
      </c>
      <c r="L733">
        <v>71761.279999999999</v>
      </c>
    </row>
    <row r="734" spans="1:12" x14ac:dyDescent="0.3">
      <c r="A734">
        <v>733</v>
      </c>
      <c r="B734" t="s">
        <v>25</v>
      </c>
      <c r="C734">
        <v>2019</v>
      </c>
      <c r="D734">
        <v>34118</v>
      </c>
      <c r="E734" t="s">
        <v>17</v>
      </c>
      <c r="F734" t="s">
        <v>18</v>
      </c>
      <c r="G734" t="s">
        <v>20</v>
      </c>
      <c r="H734">
        <v>1182</v>
      </c>
      <c r="I734">
        <v>390.4</v>
      </c>
      <c r="J734">
        <v>22.14</v>
      </c>
      <c r="K734">
        <v>4</v>
      </c>
      <c r="L734">
        <v>10493.09</v>
      </c>
    </row>
    <row r="735" spans="1:12" x14ac:dyDescent="0.3">
      <c r="A735">
        <v>734</v>
      </c>
      <c r="B735" t="s">
        <v>30</v>
      </c>
      <c r="C735">
        <v>2015</v>
      </c>
      <c r="D735">
        <v>105417</v>
      </c>
      <c r="E735" t="s">
        <v>17</v>
      </c>
      <c r="F735" t="s">
        <v>14</v>
      </c>
      <c r="G735" t="s">
        <v>23</v>
      </c>
      <c r="H735">
        <v>3056</v>
      </c>
      <c r="I735">
        <v>365.2</v>
      </c>
      <c r="J735">
        <v>26.47</v>
      </c>
      <c r="K735">
        <v>7</v>
      </c>
      <c r="L735">
        <v>103904.79</v>
      </c>
    </row>
    <row r="736" spans="1:12" x14ac:dyDescent="0.3">
      <c r="A736">
        <v>735</v>
      </c>
      <c r="B736" t="s">
        <v>12</v>
      </c>
      <c r="C736">
        <v>2014</v>
      </c>
      <c r="D736">
        <v>86816</v>
      </c>
      <c r="E736" t="s">
        <v>13</v>
      </c>
      <c r="F736" t="s">
        <v>14</v>
      </c>
      <c r="G736" t="s">
        <v>15</v>
      </c>
      <c r="H736">
        <v>4610</v>
      </c>
      <c r="I736">
        <v>455.3</v>
      </c>
      <c r="J736">
        <v>7.22</v>
      </c>
      <c r="K736">
        <v>2</v>
      </c>
      <c r="L736">
        <v>115495.46</v>
      </c>
    </row>
    <row r="737" spans="1:12" x14ac:dyDescent="0.3">
      <c r="A737">
        <v>736</v>
      </c>
      <c r="B737" t="s">
        <v>12</v>
      </c>
      <c r="C737">
        <v>2007</v>
      </c>
      <c r="D737">
        <v>158335</v>
      </c>
      <c r="E737" t="s">
        <v>26</v>
      </c>
      <c r="F737" t="s">
        <v>18</v>
      </c>
      <c r="G737" t="s">
        <v>15</v>
      </c>
      <c r="H737">
        <v>4303</v>
      </c>
      <c r="I737">
        <v>418.1</v>
      </c>
      <c r="J737">
        <v>26.62</v>
      </c>
      <c r="K737">
        <v>7</v>
      </c>
      <c r="L737">
        <v>31869.45</v>
      </c>
    </row>
    <row r="738" spans="1:12" x14ac:dyDescent="0.3">
      <c r="A738">
        <v>737</v>
      </c>
      <c r="B738" t="s">
        <v>27</v>
      </c>
      <c r="C738">
        <v>2018</v>
      </c>
      <c r="D738">
        <v>18565</v>
      </c>
      <c r="E738" t="s">
        <v>26</v>
      </c>
      <c r="F738" t="s">
        <v>18</v>
      </c>
      <c r="G738" t="s">
        <v>15</v>
      </c>
      <c r="H738">
        <v>2212</v>
      </c>
      <c r="I738">
        <v>155.30000000000001</v>
      </c>
      <c r="J738">
        <v>13.02</v>
      </c>
      <c r="K738">
        <v>2</v>
      </c>
      <c r="L738">
        <v>55661.15</v>
      </c>
    </row>
    <row r="739" spans="1:12" x14ac:dyDescent="0.3">
      <c r="A739">
        <v>738</v>
      </c>
      <c r="B739" t="s">
        <v>19</v>
      </c>
      <c r="C739">
        <v>2020</v>
      </c>
      <c r="D739">
        <v>156426</v>
      </c>
      <c r="E739" t="s">
        <v>22</v>
      </c>
      <c r="F739" t="s">
        <v>18</v>
      </c>
      <c r="G739" t="s">
        <v>23</v>
      </c>
      <c r="H739">
        <v>2383</v>
      </c>
      <c r="I739">
        <v>237.4</v>
      </c>
      <c r="J739">
        <v>9.4600000000000009</v>
      </c>
      <c r="K739">
        <v>6</v>
      </c>
      <c r="L739">
        <v>5589.73</v>
      </c>
    </row>
    <row r="740" spans="1:12" x14ac:dyDescent="0.3">
      <c r="A740">
        <v>739</v>
      </c>
      <c r="B740" t="s">
        <v>16</v>
      </c>
      <c r="C740">
        <v>2014</v>
      </c>
      <c r="D740">
        <v>179023</v>
      </c>
      <c r="E740" t="s">
        <v>26</v>
      </c>
      <c r="F740" t="s">
        <v>14</v>
      </c>
      <c r="G740" t="s">
        <v>15</v>
      </c>
      <c r="H740">
        <v>1171</v>
      </c>
      <c r="I740">
        <v>110.6</v>
      </c>
      <c r="J740">
        <v>10.98</v>
      </c>
      <c r="K740">
        <v>7</v>
      </c>
      <c r="L740">
        <v>77963.100000000006</v>
      </c>
    </row>
    <row r="741" spans="1:12" x14ac:dyDescent="0.3">
      <c r="A741">
        <v>740</v>
      </c>
      <c r="B741" t="s">
        <v>19</v>
      </c>
      <c r="C741">
        <v>2014</v>
      </c>
      <c r="D741">
        <v>96179</v>
      </c>
      <c r="E741" t="s">
        <v>22</v>
      </c>
      <c r="F741" t="s">
        <v>14</v>
      </c>
      <c r="G741" t="s">
        <v>23</v>
      </c>
      <c r="H741">
        <v>1410</v>
      </c>
      <c r="I741">
        <v>112.7</v>
      </c>
      <c r="J741">
        <v>15.45</v>
      </c>
      <c r="K741">
        <v>6</v>
      </c>
      <c r="L741">
        <v>51429.35</v>
      </c>
    </row>
    <row r="742" spans="1:12" x14ac:dyDescent="0.3">
      <c r="A742">
        <v>741</v>
      </c>
      <c r="B742" t="s">
        <v>16</v>
      </c>
      <c r="C742">
        <v>2016</v>
      </c>
      <c r="D742">
        <v>28648</v>
      </c>
      <c r="E742" t="s">
        <v>13</v>
      </c>
      <c r="F742" t="s">
        <v>18</v>
      </c>
      <c r="G742" t="s">
        <v>15</v>
      </c>
      <c r="H742">
        <v>915</v>
      </c>
      <c r="I742">
        <v>418.7</v>
      </c>
      <c r="J742">
        <v>11.28</v>
      </c>
      <c r="K742">
        <v>6</v>
      </c>
      <c r="L742">
        <v>34596.839999999997</v>
      </c>
    </row>
    <row r="743" spans="1:12" x14ac:dyDescent="0.3">
      <c r="A743">
        <v>742</v>
      </c>
      <c r="B743" t="s">
        <v>19</v>
      </c>
      <c r="C743">
        <v>2013</v>
      </c>
      <c r="D743">
        <v>186801</v>
      </c>
      <c r="E743" t="s">
        <v>17</v>
      </c>
      <c r="F743" t="s">
        <v>14</v>
      </c>
      <c r="G743" t="s">
        <v>15</v>
      </c>
      <c r="H743">
        <v>1246</v>
      </c>
      <c r="I743">
        <v>520.79999999999995</v>
      </c>
      <c r="J743">
        <v>13.01</v>
      </c>
      <c r="K743">
        <v>4</v>
      </c>
      <c r="L743">
        <v>27199.94</v>
      </c>
    </row>
    <row r="744" spans="1:12" x14ac:dyDescent="0.3">
      <c r="A744">
        <v>743</v>
      </c>
      <c r="B744" t="s">
        <v>30</v>
      </c>
      <c r="C744">
        <v>2005</v>
      </c>
      <c r="D744">
        <v>46971</v>
      </c>
      <c r="E744" t="s">
        <v>17</v>
      </c>
      <c r="F744" t="s">
        <v>18</v>
      </c>
      <c r="G744" t="s">
        <v>23</v>
      </c>
      <c r="H744">
        <v>2191</v>
      </c>
      <c r="I744">
        <v>579.1</v>
      </c>
      <c r="J744">
        <v>8.3699999999999992</v>
      </c>
      <c r="K744">
        <v>7</v>
      </c>
      <c r="L744">
        <v>79520.7</v>
      </c>
    </row>
    <row r="745" spans="1:12" x14ac:dyDescent="0.3">
      <c r="A745">
        <v>744</v>
      </c>
      <c r="B745" t="s">
        <v>25</v>
      </c>
      <c r="C745">
        <v>2009</v>
      </c>
      <c r="D745">
        <v>23658</v>
      </c>
      <c r="E745" t="s">
        <v>17</v>
      </c>
      <c r="F745" t="s">
        <v>18</v>
      </c>
      <c r="G745" t="s">
        <v>15</v>
      </c>
      <c r="H745">
        <v>4124</v>
      </c>
      <c r="I745">
        <v>391.9</v>
      </c>
      <c r="J745">
        <v>12.4</v>
      </c>
      <c r="K745">
        <v>2</v>
      </c>
      <c r="L745">
        <v>51697.39</v>
      </c>
    </row>
    <row r="746" spans="1:12" x14ac:dyDescent="0.3">
      <c r="A746">
        <v>745</v>
      </c>
      <c r="B746" t="s">
        <v>25</v>
      </c>
      <c r="C746">
        <v>2024</v>
      </c>
      <c r="D746">
        <v>26253</v>
      </c>
      <c r="E746" t="s">
        <v>26</v>
      </c>
      <c r="F746" t="s">
        <v>14</v>
      </c>
      <c r="G746" t="s">
        <v>20</v>
      </c>
      <c r="H746">
        <v>2140</v>
      </c>
      <c r="I746">
        <v>143.1</v>
      </c>
      <c r="J746">
        <v>19.309999999999999</v>
      </c>
      <c r="K746">
        <v>2</v>
      </c>
      <c r="L746">
        <v>24020.14</v>
      </c>
    </row>
    <row r="747" spans="1:12" x14ac:dyDescent="0.3">
      <c r="A747">
        <v>746</v>
      </c>
      <c r="B747" t="s">
        <v>28</v>
      </c>
      <c r="C747">
        <v>2012</v>
      </c>
      <c r="D747">
        <v>184635</v>
      </c>
      <c r="E747" t="s">
        <v>22</v>
      </c>
      <c r="F747" t="s">
        <v>14</v>
      </c>
      <c r="G747" t="s">
        <v>23</v>
      </c>
      <c r="H747">
        <v>3739</v>
      </c>
      <c r="I747">
        <v>99.2</v>
      </c>
      <c r="J747">
        <v>16.05</v>
      </c>
      <c r="K747">
        <v>7</v>
      </c>
      <c r="L747">
        <v>83625.759999999995</v>
      </c>
    </row>
    <row r="748" spans="1:12" x14ac:dyDescent="0.3">
      <c r="A748">
        <v>747</v>
      </c>
      <c r="B748" t="s">
        <v>24</v>
      </c>
      <c r="C748">
        <v>2015</v>
      </c>
      <c r="D748">
        <v>162462</v>
      </c>
      <c r="E748" t="s">
        <v>22</v>
      </c>
      <c r="F748" t="s">
        <v>18</v>
      </c>
      <c r="G748" t="s">
        <v>23</v>
      </c>
      <c r="H748">
        <v>4499</v>
      </c>
      <c r="I748">
        <v>495.2</v>
      </c>
      <c r="J748">
        <v>13.67</v>
      </c>
      <c r="K748">
        <v>4</v>
      </c>
      <c r="L748">
        <v>69113.460000000006</v>
      </c>
    </row>
    <row r="749" spans="1:12" x14ac:dyDescent="0.3">
      <c r="A749">
        <v>748</v>
      </c>
      <c r="B749" t="s">
        <v>25</v>
      </c>
      <c r="C749">
        <v>2016</v>
      </c>
      <c r="D749">
        <v>93664</v>
      </c>
      <c r="E749" t="s">
        <v>13</v>
      </c>
      <c r="F749" t="s">
        <v>18</v>
      </c>
      <c r="G749" t="s">
        <v>23</v>
      </c>
      <c r="H749">
        <v>1873</v>
      </c>
      <c r="I749">
        <v>364.1</v>
      </c>
      <c r="J749">
        <v>23.66</v>
      </c>
      <c r="K749">
        <v>4</v>
      </c>
      <c r="L749">
        <v>103464.63</v>
      </c>
    </row>
    <row r="750" spans="1:12" x14ac:dyDescent="0.3">
      <c r="A750">
        <v>749</v>
      </c>
      <c r="B750" t="s">
        <v>25</v>
      </c>
      <c r="C750">
        <v>2005</v>
      </c>
      <c r="D750">
        <v>187650</v>
      </c>
      <c r="E750" t="s">
        <v>26</v>
      </c>
      <c r="F750" t="s">
        <v>18</v>
      </c>
      <c r="G750" t="s">
        <v>20</v>
      </c>
      <c r="H750">
        <v>4369</v>
      </c>
      <c r="I750">
        <v>386.2</v>
      </c>
      <c r="J750">
        <v>27.34</v>
      </c>
      <c r="K750">
        <v>4</v>
      </c>
      <c r="L750">
        <v>16744.68</v>
      </c>
    </row>
    <row r="751" spans="1:12" x14ac:dyDescent="0.3">
      <c r="A751">
        <v>750</v>
      </c>
      <c r="B751" t="s">
        <v>21</v>
      </c>
      <c r="C751">
        <v>2024</v>
      </c>
      <c r="D751">
        <v>108850</v>
      </c>
      <c r="E751" t="s">
        <v>13</v>
      </c>
      <c r="F751" t="s">
        <v>18</v>
      </c>
      <c r="G751" t="s">
        <v>23</v>
      </c>
      <c r="H751">
        <v>3950</v>
      </c>
      <c r="I751">
        <v>477.6</v>
      </c>
      <c r="J751">
        <v>23.92</v>
      </c>
      <c r="K751">
        <v>2</v>
      </c>
      <c r="L751">
        <v>94922.99</v>
      </c>
    </row>
    <row r="752" spans="1:12" x14ac:dyDescent="0.3">
      <c r="A752">
        <v>751</v>
      </c>
      <c r="B752" t="s">
        <v>21</v>
      </c>
      <c r="C752">
        <v>2015</v>
      </c>
      <c r="D752">
        <v>168730</v>
      </c>
      <c r="E752" t="s">
        <v>22</v>
      </c>
      <c r="F752" t="s">
        <v>14</v>
      </c>
      <c r="G752" t="s">
        <v>15</v>
      </c>
      <c r="H752">
        <v>2405</v>
      </c>
      <c r="I752">
        <v>433.8</v>
      </c>
      <c r="J752">
        <v>13.3</v>
      </c>
      <c r="K752">
        <v>6</v>
      </c>
      <c r="L752">
        <v>81801.460000000006</v>
      </c>
    </row>
    <row r="753" spans="1:12" x14ac:dyDescent="0.3">
      <c r="A753">
        <v>752</v>
      </c>
      <c r="B753" t="s">
        <v>28</v>
      </c>
      <c r="C753">
        <v>2009</v>
      </c>
      <c r="D753">
        <v>142924</v>
      </c>
      <c r="E753" t="s">
        <v>22</v>
      </c>
      <c r="F753" t="s">
        <v>18</v>
      </c>
      <c r="G753" t="s">
        <v>15</v>
      </c>
      <c r="H753">
        <v>3094</v>
      </c>
      <c r="I753">
        <v>507.3</v>
      </c>
      <c r="J753">
        <v>23.61</v>
      </c>
      <c r="K753">
        <v>4</v>
      </c>
      <c r="L753">
        <v>16456.28</v>
      </c>
    </row>
    <row r="754" spans="1:12" x14ac:dyDescent="0.3">
      <c r="A754">
        <v>753</v>
      </c>
      <c r="B754" t="s">
        <v>24</v>
      </c>
      <c r="C754">
        <v>2019</v>
      </c>
      <c r="D754">
        <v>138623</v>
      </c>
      <c r="E754" t="s">
        <v>17</v>
      </c>
      <c r="F754" t="s">
        <v>18</v>
      </c>
      <c r="G754" t="s">
        <v>15</v>
      </c>
      <c r="H754">
        <v>4462</v>
      </c>
      <c r="I754">
        <v>71.5</v>
      </c>
      <c r="J754">
        <v>8.8000000000000007</v>
      </c>
      <c r="K754">
        <v>2</v>
      </c>
      <c r="L754">
        <v>84294.03</v>
      </c>
    </row>
    <row r="755" spans="1:12" x14ac:dyDescent="0.3">
      <c r="A755">
        <v>754</v>
      </c>
      <c r="B755" t="s">
        <v>27</v>
      </c>
      <c r="C755">
        <v>2009</v>
      </c>
      <c r="D755">
        <v>76947</v>
      </c>
      <c r="E755" t="s">
        <v>26</v>
      </c>
      <c r="F755" t="s">
        <v>18</v>
      </c>
      <c r="G755" t="s">
        <v>23</v>
      </c>
      <c r="H755">
        <v>1783</v>
      </c>
      <c r="I755">
        <v>458.6</v>
      </c>
      <c r="J755">
        <v>8.26</v>
      </c>
      <c r="K755">
        <v>2</v>
      </c>
      <c r="L755">
        <v>54661.03</v>
      </c>
    </row>
    <row r="756" spans="1:12" x14ac:dyDescent="0.3">
      <c r="A756">
        <v>755</v>
      </c>
      <c r="B756" t="s">
        <v>21</v>
      </c>
      <c r="C756">
        <v>2016</v>
      </c>
      <c r="D756">
        <v>66001</v>
      </c>
      <c r="E756" t="s">
        <v>22</v>
      </c>
      <c r="F756" t="s">
        <v>14</v>
      </c>
      <c r="G756" t="s">
        <v>15</v>
      </c>
      <c r="H756">
        <v>1151</v>
      </c>
      <c r="I756">
        <v>516.5</v>
      </c>
      <c r="J756">
        <v>13.64</v>
      </c>
      <c r="K756">
        <v>6</v>
      </c>
      <c r="L756">
        <v>113563.22</v>
      </c>
    </row>
    <row r="757" spans="1:12" x14ac:dyDescent="0.3">
      <c r="A757">
        <v>756</v>
      </c>
      <c r="B757" t="s">
        <v>27</v>
      </c>
      <c r="C757">
        <v>2009</v>
      </c>
      <c r="D757">
        <v>185231</v>
      </c>
      <c r="E757" t="s">
        <v>17</v>
      </c>
      <c r="F757" t="s">
        <v>14</v>
      </c>
      <c r="G757" t="s">
        <v>23</v>
      </c>
      <c r="H757">
        <v>2524</v>
      </c>
      <c r="I757">
        <v>200.2</v>
      </c>
      <c r="J757">
        <v>25.19</v>
      </c>
      <c r="K757">
        <v>7</v>
      </c>
      <c r="L757">
        <v>19568.53</v>
      </c>
    </row>
    <row r="758" spans="1:12" x14ac:dyDescent="0.3">
      <c r="A758">
        <v>757</v>
      </c>
      <c r="B758" t="s">
        <v>29</v>
      </c>
      <c r="C758">
        <v>2021</v>
      </c>
      <c r="D758">
        <v>127775</v>
      </c>
      <c r="E758" t="s">
        <v>26</v>
      </c>
      <c r="F758" t="s">
        <v>18</v>
      </c>
      <c r="G758" t="s">
        <v>15</v>
      </c>
      <c r="H758">
        <v>2751</v>
      </c>
      <c r="I758">
        <v>398.7</v>
      </c>
      <c r="J758">
        <v>11.16</v>
      </c>
      <c r="K758">
        <v>7</v>
      </c>
      <c r="L758">
        <v>78211.509999999995</v>
      </c>
    </row>
    <row r="759" spans="1:12" x14ac:dyDescent="0.3">
      <c r="A759">
        <v>758</v>
      </c>
      <c r="B759" t="s">
        <v>21</v>
      </c>
      <c r="C759">
        <v>2021</v>
      </c>
      <c r="D759">
        <v>187779</v>
      </c>
      <c r="E759" t="s">
        <v>13</v>
      </c>
      <c r="F759" t="s">
        <v>14</v>
      </c>
      <c r="G759" t="s">
        <v>20</v>
      </c>
      <c r="H759">
        <v>2079</v>
      </c>
      <c r="I759">
        <v>215.9</v>
      </c>
      <c r="J759">
        <v>6.58</v>
      </c>
      <c r="K759">
        <v>4</v>
      </c>
      <c r="L759">
        <v>47691.67</v>
      </c>
    </row>
    <row r="760" spans="1:12" x14ac:dyDescent="0.3">
      <c r="A760">
        <v>759</v>
      </c>
      <c r="B760" t="s">
        <v>30</v>
      </c>
      <c r="C760">
        <v>2016</v>
      </c>
      <c r="D760">
        <v>38243</v>
      </c>
      <c r="E760" t="s">
        <v>26</v>
      </c>
      <c r="F760" t="s">
        <v>14</v>
      </c>
      <c r="G760" t="s">
        <v>20</v>
      </c>
      <c r="H760">
        <v>2707</v>
      </c>
      <c r="I760">
        <v>576.5</v>
      </c>
      <c r="J760">
        <v>8.2899999999999991</v>
      </c>
      <c r="K760">
        <v>4</v>
      </c>
      <c r="L760">
        <v>114947.32</v>
      </c>
    </row>
    <row r="761" spans="1:12" x14ac:dyDescent="0.3">
      <c r="A761">
        <v>760</v>
      </c>
      <c r="B761" t="s">
        <v>24</v>
      </c>
      <c r="C761">
        <v>2019</v>
      </c>
      <c r="D761">
        <v>157872</v>
      </c>
      <c r="E761" t="s">
        <v>26</v>
      </c>
      <c r="F761" t="s">
        <v>14</v>
      </c>
      <c r="G761" t="s">
        <v>20</v>
      </c>
      <c r="H761">
        <v>1824</v>
      </c>
      <c r="I761">
        <v>58.7</v>
      </c>
      <c r="J761">
        <v>26.47</v>
      </c>
      <c r="K761">
        <v>6</v>
      </c>
      <c r="L761">
        <v>41607.06</v>
      </c>
    </row>
    <row r="762" spans="1:12" x14ac:dyDescent="0.3">
      <c r="A762">
        <v>761</v>
      </c>
      <c r="B762" t="s">
        <v>28</v>
      </c>
      <c r="C762">
        <v>2019</v>
      </c>
      <c r="D762">
        <v>80939</v>
      </c>
      <c r="E762" t="s">
        <v>22</v>
      </c>
      <c r="F762" t="s">
        <v>18</v>
      </c>
      <c r="G762" t="s">
        <v>20</v>
      </c>
      <c r="H762">
        <v>1345</v>
      </c>
      <c r="I762">
        <v>364.7</v>
      </c>
      <c r="J762">
        <v>20.84</v>
      </c>
      <c r="K762">
        <v>4</v>
      </c>
      <c r="L762">
        <v>115575.75</v>
      </c>
    </row>
    <row r="763" spans="1:12" x14ac:dyDescent="0.3">
      <c r="A763">
        <v>762</v>
      </c>
      <c r="B763" t="s">
        <v>29</v>
      </c>
      <c r="C763">
        <v>2010</v>
      </c>
      <c r="D763">
        <v>62828</v>
      </c>
      <c r="E763" t="s">
        <v>22</v>
      </c>
      <c r="F763" t="s">
        <v>18</v>
      </c>
      <c r="G763" t="s">
        <v>23</v>
      </c>
      <c r="H763">
        <v>4974</v>
      </c>
      <c r="I763">
        <v>133.19999999999999</v>
      </c>
      <c r="J763">
        <v>11.33</v>
      </c>
      <c r="K763">
        <v>6</v>
      </c>
      <c r="L763">
        <v>108473.84</v>
      </c>
    </row>
    <row r="764" spans="1:12" x14ac:dyDescent="0.3">
      <c r="A764">
        <v>763</v>
      </c>
      <c r="B764" t="s">
        <v>24</v>
      </c>
      <c r="C764">
        <v>2016</v>
      </c>
      <c r="D764">
        <v>143311</v>
      </c>
      <c r="E764" t="s">
        <v>26</v>
      </c>
      <c r="F764" t="s">
        <v>14</v>
      </c>
      <c r="G764" t="s">
        <v>15</v>
      </c>
      <c r="H764">
        <v>3181</v>
      </c>
      <c r="I764">
        <v>438.8</v>
      </c>
      <c r="J764">
        <v>18.88</v>
      </c>
      <c r="K764">
        <v>2</v>
      </c>
      <c r="L764">
        <v>34634.839999999997</v>
      </c>
    </row>
    <row r="765" spans="1:12" x14ac:dyDescent="0.3">
      <c r="A765">
        <v>764</v>
      </c>
      <c r="B765" t="s">
        <v>30</v>
      </c>
      <c r="C765">
        <v>2024</v>
      </c>
      <c r="D765">
        <v>11710</v>
      </c>
      <c r="E765" t="s">
        <v>22</v>
      </c>
      <c r="F765" t="s">
        <v>18</v>
      </c>
      <c r="G765" t="s">
        <v>20</v>
      </c>
      <c r="H765">
        <v>1688</v>
      </c>
      <c r="I765">
        <v>138.5</v>
      </c>
      <c r="J765">
        <v>18.190000000000001</v>
      </c>
      <c r="K765">
        <v>4</v>
      </c>
      <c r="L765">
        <v>97014.39</v>
      </c>
    </row>
    <row r="766" spans="1:12" x14ac:dyDescent="0.3">
      <c r="A766">
        <v>765</v>
      </c>
      <c r="B766" t="s">
        <v>24</v>
      </c>
      <c r="C766">
        <v>2022</v>
      </c>
      <c r="D766">
        <v>157456</v>
      </c>
      <c r="E766" t="s">
        <v>22</v>
      </c>
      <c r="F766" t="s">
        <v>18</v>
      </c>
      <c r="G766" t="s">
        <v>23</v>
      </c>
      <c r="H766">
        <v>1905</v>
      </c>
      <c r="I766">
        <v>171.8</v>
      </c>
      <c r="J766">
        <v>21.39</v>
      </c>
      <c r="K766">
        <v>2</v>
      </c>
      <c r="L766">
        <v>119485.69</v>
      </c>
    </row>
    <row r="767" spans="1:12" x14ac:dyDescent="0.3">
      <c r="A767">
        <v>766</v>
      </c>
      <c r="B767" t="s">
        <v>30</v>
      </c>
      <c r="C767">
        <v>2018</v>
      </c>
      <c r="D767">
        <v>157110</v>
      </c>
      <c r="E767" t="s">
        <v>22</v>
      </c>
      <c r="F767" t="s">
        <v>14</v>
      </c>
      <c r="G767" t="s">
        <v>20</v>
      </c>
      <c r="H767">
        <v>3349</v>
      </c>
      <c r="I767">
        <v>316.8</v>
      </c>
      <c r="J767">
        <v>10.83</v>
      </c>
      <c r="K767">
        <v>5</v>
      </c>
      <c r="L767">
        <v>32561.57</v>
      </c>
    </row>
    <row r="768" spans="1:12" x14ac:dyDescent="0.3">
      <c r="A768">
        <v>767</v>
      </c>
      <c r="B768" t="s">
        <v>30</v>
      </c>
      <c r="C768">
        <v>2006</v>
      </c>
      <c r="D768">
        <v>176918</v>
      </c>
      <c r="E768" t="s">
        <v>17</v>
      </c>
      <c r="F768" t="s">
        <v>14</v>
      </c>
      <c r="G768" t="s">
        <v>20</v>
      </c>
      <c r="H768">
        <v>2790</v>
      </c>
      <c r="I768">
        <v>552.29999999999995</v>
      </c>
      <c r="J768">
        <v>26.61</v>
      </c>
      <c r="K768">
        <v>6</v>
      </c>
      <c r="L768">
        <v>54102.93</v>
      </c>
    </row>
    <row r="769" spans="1:12" x14ac:dyDescent="0.3">
      <c r="A769">
        <v>768</v>
      </c>
      <c r="B769" t="s">
        <v>27</v>
      </c>
      <c r="C769">
        <v>2013</v>
      </c>
      <c r="D769">
        <v>42991</v>
      </c>
      <c r="E769" t="s">
        <v>17</v>
      </c>
      <c r="F769" t="s">
        <v>18</v>
      </c>
      <c r="G769" t="s">
        <v>23</v>
      </c>
      <c r="H769">
        <v>4798</v>
      </c>
      <c r="I769">
        <v>158.6</v>
      </c>
      <c r="J769">
        <v>12.73</v>
      </c>
      <c r="K769">
        <v>5</v>
      </c>
      <c r="L769">
        <v>63861.15</v>
      </c>
    </row>
    <row r="770" spans="1:12" x14ac:dyDescent="0.3">
      <c r="A770">
        <v>769</v>
      </c>
      <c r="B770" t="s">
        <v>19</v>
      </c>
      <c r="C770">
        <v>2009</v>
      </c>
      <c r="D770">
        <v>143043</v>
      </c>
      <c r="E770" t="s">
        <v>26</v>
      </c>
      <c r="F770" t="s">
        <v>14</v>
      </c>
      <c r="G770" t="s">
        <v>23</v>
      </c>
      <c r="H770">
        <v>4575</v>
      </c>
      <c r="I770">
        <v>120.8</v>
      </c>
      <c r="J770">
        <v>22.35</v>
      </c>
      <c r="K770">
        <v>4</v>
      </c>
      <c r="L770">
        <v>37506.94</v>
      </c>
    </row>
    <row r="771" spans="1:12" x14ac:dyDescent="0.3">
      <c r="A771">
        <v>770</v>
      </c>
      <c r="B771" t="s">
        <v>29</v>
      </c>
      <c r="C771">
        <v>2024</v>
      </c>
      <c r="D771">
        <v>165211</v>
      </c>
      <c r="E771" t="s">
        <v>22</v>
      </c>
      <c r="F771" t="s">
        <v>18</v>
      </c>
      <c r="G771" t="s">
        <v>15</v>
      </c>
      <c r="H771">
        <v>3612</v>
      </c>
      <c r="I771">
        <v>465</v>
      </c>
      <c r="J771">
        <v>5.4</v>
      </c>
      <c r="K771">
        <v>2</v>
      </c>
      <c r="L771">
        <v>4785.99</v>
      </c>
    </row>
    <row r="772" spans="1:12" x14ac:dyDescent="0.3">
      <c r="A772">
        <v>771</v>
      </c>
      <c r="B772" t="s">
        <v>24</v>
      </c>
      <c r="C772">
        <v>2005</v>
      </c>
      <c r="D772">
        <v>90445</v>
      </c>
      <c r="E772" t="s">
        <v>17</v>
      </c>
      <c r="F772" t="s">
        <v>18</v>
      </c>
      <c r="G772" t="s">
        <v>15</v>
      </c>
      <c r="H772">
        <v>1720</v>
      </c>
      <c r="I772">
        <v>320.3</v>
      </c>
      <c r="J772">
        <v>14.32</v>
      </c>
      <c r="K772">
        <v>4</v>
      </c>
      <c r="L772">
        <v>28755.119999999999</v>
      </c>
    </row>
    <row r="773" spans="1:12" x14ac:dyDescent="0.3">
      <c r="A773">
        <v>772</v>
      </c>
      <c r="B773" t="s">
        <v>16</v>
      </c>
      <c r="C773">
        <v>2007</v>
      </c>
      <c r="D773">
        <v>85257</v>
      </c>
      <c r="E773" t="s">
        <v>26</v>
      </c>
      <c r="F773" t="s">
        <v>14</v>
      </c>
      <c r="G773" t="s">
        <v>20</v>
      </c>
      <c r="H773">
        <v>2861</v>
      </c>
      <c r="I773">
        <v>550.6</v>
      </c>
      <c r="J773">
        <v>13.79</v>
      </c>
      <c r="K773">
        <v>5</v>
      </c>
      <c r="L773">
        <v>35986.620000000003</v>
      </c>
    </row>
    <row r="774" spans="1:12" x14ac:dyDescent="0.3">
      <c r="A774">
        <v>773</v>
      </c>
      <c r="B774" t="s">
        <v>29</v>
      </c>
      <c r="C774">
        <v>2010</v>
      </c>
      <c r="D774">
        <v>42711</v>
      </c>
      <c r="E774" t="s">
        <v>22</v>
      </c>
      <c r="F774" t="s">
        <v>18</v>
      </c>
      <c r="G774" t="s">
        <v>20</v>
      </c>
      <c r="H774">
        <v>4439</v>
      </c>
      <c r="I774">
        <v>122.1</v>
      </c>
      <c r="J774">
        <v>18.59</v>
      </c>
      <c r="K774">
        <v>4</v>
      </c>
      <c r="L774">
        <v>54901.17</v>
      </c>
    </row>
    <row r="775" spans="1:12" x14ac:dyDescent="0.3">
      <c r="A775">
        <v>774</v>
      </c>
      <c r="B775" t="s">
        <v>19</v>
      </c>
      <c r="C775">
        <v>2009</v>
      </c>
      <c r="D775">
        <v>11530</v>
      </c>
      <c r="E775" t="s">
        <v>13</v>
      </c>
      <c r="F775" t="s">
        <v>18</v>
      </c>
      <c r="G775" t="s">
        <v>15</v>
      </c>
      <c r="H775">
        <v>3965</v>
      </c>
      <c r="I775">
        <v>401.7</v>
      </c>
      <c r="J775">
        <v>6.82</v>
      </c>
      <c r="K775">
        <v>7</v>
      </c>
      <c r="L775">
        <v>23018.99</v>
      </c>
    </row>
    <row r="776" spans="1:12" x14ac:dyDescent="0.3">
      <c r="A776">
        <v>775</v>
      </c>
      <c r="B776" t="s">
        <v>29</v>
      </c>
      <c r="C776">
        <v>2009</v>
      </c>
      <c r="D776">
        <v>16116</v>
      </c>
      <c r="E776" t="s">
        <v>22</v>
      </c>
      <c r="F776" t="s">
        <v>14</v>
      </c>
      <c r="G776" t="s">
        <v>15</v>
      </c>
      <c r="H776">
        <v>3444</v>
      </c>
      <c r="I776">
        <v>170.4</v>
      </c>
      <c r="J776">
        <v>24.75</v>
      </c>
      <c r="K776">
        <v>5</v>
      </c>
      <c r="L776">
        <v>105170.76</v>
      </c>
    </row>
    <row r="777" spans="1:12" x14ac:dyDescent="0.3">
      <c r="A777">
        <v>776</v>
      </c>
      <c r="B777" t="s">
        <v>25</v>
      </c>
      <c r="C777">
        <v>2005</v>
      </c>
      <c r="D777">
        <v>70794</v>
      </c>
      <c r="E777" t="s">
        <v>22</v>
      </c>
      <c r="F777" t="s">
        <v>14</v>
      </c>
      <c r="G777" t="s">
        <v>23</v>
      </c>
      <c r="H777">
        <v>1845</v>
      </c>
      <c r="I777">
        <v>127.8</v>
      </c>
      <c r="J777">
        <v>10.44</v>
      </c>
      <c r="K777">
        <v>4</v>
      </c>
      <c r="L777">
        <v>85474.6</v>
      </c>
    </row>
    <row r="778" spans="1:12" x14ac:dyDescent="0.3">
      <c r="A778">
        <v>777</v>
      </c>
      <c r="B778" t="s">
        <v>16</v>
      </c>
      <c r="C778">
        <v>2021</v>
      </c>
      <c r="D778">
        <v>136354</v>
      </c>
      <c r="E778" t="s">
        <v>17</v>
      </c>
      <c r="F778" t="s">
        <v>14</v>
      </c>
      <c r="G778" t="s">
        <v>15</v>
      </c>
      <c r="H778">
        <v>4356</v>
      </c>
      <c r="I778">
        <v>422.7</v>
      </c>
      <c r="J778">
        <v>21.93</v>
      </c>
      <c r="K778">
        <v>2</v>
      </c>
      <c r="L778">
        <v>12968.46</v>
      </c>
    </row>
    <row r="779" spans="1:12" x14ac:dyDescent="0.3">
      <c r="A779">
        <v>778</v>
      </c>
      <c r="B779" t="s">
        <v>19</v>
      </c>
      <c r="C779">
        <v>2023</v>
      </c>
      <c r="D779">
        <v>137970</v>
      </c>
      <c r="E779" t="s">
        <v>26</v>
      </c>
      <c r="F779" t="s">
        <v>18</v>
      </c>
      <c r="G779" t="s">
        <v>15</v>
      </c>
      <c r="H779">
        <v>3481</v>
      </c>
      <c r="I779">
        <v>372.5</v>
      </c>
      <c r="J779">
        <v>25.08</v>
      </c>
      <c r="K779">
        <v>4</v>
      </c>
      <c r="L779">
        <v>79060.820000000007</v>
      </c>
    </row>
    <row r="780" spans="1:12" x14ac:dyDescent="0.3">
      <c r="A780">
        <v>779</v>
      </c>
      <c r="B780" t="s">
        <v>27</v>
      </c>
      <c r="C780">
        <v>2018</v>
      </c>
      <c r="D780">
        <v>9135</v>
      </c>
      <c r="E780" t="s">
        <v>26</v>
      </c>
      <c r="F780" t="s">
        <v>14</v>
      </c>
      <c r="G780" t="s">
        <v>20</v>
      </c>
      <c r="H780">
        <v>3999</v>
      </c>
      <c r="I780">
        <v>462.7</v>
      </c>
      <c r="J780">
        <v>19.05</v>
      </c>
      <c r="K780">
        <v>2</v>
      </c>
      <c r="L780">
        <v>79477.81</v>
      </c>
    </row>
    <row r="781" spans="1:12" x14ac:dyDescent="0.3">
      <c r="A781">
        <v>780</v>
      </c>
      <c r="B781" t="s">
        <v>24</v>
      </c>
      <c r="C781">
        <v>2016</v>
      </c>
      <c r="D781">
        <v>142701</v>
      </c>
      <c r="E781" t="s">
        <v>17</v>
      </c>
      <c r="F781" t="s">
        <v>14</v>
      </c>
      <c r="G781" t="s">
        <v>15</v>
      </c>
      <c r="H781">
        <v>1738</v>
      </c>
      <c r="I781">
        <v>213.3</v>
      </c>
      <c r="J781">
        <v>23.52</v>
      </c>
      <c r="K781">
        <v>7</v>
      </c>
      <c r="L781">
        <v>114877.88</v>
      </c>
    </row>
    <row r="782" spans="1:12" x14ac:dyDescent="0.3">
      <c r="A782">
        <v>781</v>
      </c>
      <c r="B782" t="s">
        <v>12</v>
      </c>
      <c r="C782">
        <v>2014</v>
      </c>
      <c r="D782">
        <v>114472</v>
      </c>
      <c r="E782" t="s">
        <v>22</v>
      </c>
      <c r="F782" t="s">
        <v>14</v>
      </c>
      <c r="G782" t="s">
        <v>20</v>
      </c>
      <c r="H782">
        <v>1241</v>
      </c>
      <c r="I782">
        <v>290.89999999999998</v>
      </c>
      <c r="J782">
        <v>21.55</v>
      </c>
      <c r="K782">
        <v>4</v>
      </c>
      <c r="L782">
        <v>3353.44</v>
      </c>
    </row>
    <row r="783" spans="1:12" x14ac:dyDescent="0.3">
      <c r="A783">
        <v>782</v>
      </c>
      <c r="B783" t="s">
        <v>19</v>
      </c>
      <c r="C783">
        <v>2024</v>
      </c>
      <c r="D783">
        <v>130147</v>
      </c>
      <c r="E783" t="s">
        <v>13</v>
      </c>
      <c r="F783" t="s">
        <v>14</v>
      </c>
      <c r="G783" t="s">
        <v>15</v>
      </c>
      <c r="H783">
        <v>3350</v>
      </c>
      <c r="I783">
        <v>267.10000000000002</v>
      </c>
      <c r="J783">
        <v>13.89</v>
      </c>
      <c r="K783">
        <v>7</v>
      </c>
      <c r="L783">
        <v>32008.1</v>
      </c>
    </row>
    <row r="784" spans="1:12" x14ac:dyDescent="0.3">
      <c r="A784">
        <v>783</v>
      </c>
      <c r="B784" t="s">
        <v>28</v>
      </c>
      <c r="C784">
        <v>2022</v>
      </c>
      <c r="D784">
        <v>94087</v>
      </c>
      <c r="E784" t="s">
        <v>22</v>
      </c>
      <c r="F784" t="s">
        <v>18</v>
      </c>
      <c r="G784" t="s">
        <v>23</v>
      </c>
      <c r="H784">
        <v>1396</v>
      </c>
      <c r="I784">
        <v>591.1</v>
      </c>
      <c r="J784">
        <v>25.22</v>
      </c>
      <c r="K784">
        <v>5</v>
      </c>
      <c r="L784">
        <v>111551.6</v>
      </c>
    </row>
    <row r="785" spans="1:12" x14ac:dyDescent="0.3">
      <c r="A785">
        <v>784</v>
      </c>
      <c r="B785" t="s">
        <v>24</v>
      </c>
      <c r="C785">
        <v>2015</v>
      </c>
      <c r="D785">
        <v>38380</v>
      </c>
      <c r="E785" t="s">
        <v>22</v>
      </c>
      <c r="F785" t="s">
        <v>18</v>
      </c>
      <c r="G785" t="s">
        <v>15</v>
      </c>
      <c r="H785">
        <v>2305</v>
      </c>
      <c r="I785">
        <v>203.7</v>
      </c>
      <c r="J785">
        <v>12.37</v>
      </c>
      <c r="K785">
        <v>2</v>
      </c>
      <c r="L785">
        <v>112059.67</v>
      </c>
    </row>
    <row r="786" spans="1:12" x14ac:dyDescent="0.3">
      <c r="A786">
        <v>785</v>
      </c>
      <c r="B786" t="s">
        <v>19</v>
      </c>
      <c r="C786">
        <v>2006</v>
      </c>
      <c r="D786">
        <v>134951</v>
      </c>
      <c r="E786" t="s">
        <v>13</v>
      </c>
      <c r="F786" t="s">
        <v>14</v>
      </c>
      <c r="G786" t="s">
        <v>15</v>
      </c>
      <c r="H786">
        <v>1661</v>
      </c>
      <c r="I786">
        <v>205.1</v>
      </c>
      <c r="J786">
        <v>19.28</v>
      </c>
      <c r="K786">
        <v>5</v>
      </c>
      <c r="L786">
        <v>87308.61</v>
      </c>
    </row>
    <row r="787" spans="1:12" x14ac:dyDescent="0.3">
      <c r="A787">
        <v>786</v>
      </c>
      <c r="B787" t="s">
        <v>25</v>
      </c>
      <c r="C787">
        <v>2022</v>
      </c>
      <c r="D787">
        <v>22071</v>
      </c>
      <c r="E787" t="s">
        <v>17</v>
      </c>
      <c r="F787" t="s">
        <v>18</v>
      </c>
      <c r="G787" t="s">
        <v>15</v>
      </c>
      <c r="H787">
        <v>3440</v>
      </c>
      <c r="I787">
        <v>238.5</v>
      </c>
      <c r="J787">
        <v>23.63</v>
      </c>
      <c r="K787">
        <v>2</v>
      </c>
      <c r="L787">
        <v>92594.31</v>
      </c>
    </row>
    <row r="788" spans="1:12" x14ac:dyDescent="0.3">
      <c r="A788">
        <v>787</v>
      </c>
      <c r="B788" t="s">
        <v>12</v>
      </c>
      <c r="C788">
        <v>2011</v>
      </c>
      <c r="D788">
        <v>25074</v>
      </c>
      <c r="E788" t="s">
        <v>26</v>
      </c>
      <c r="F788" t="s">
        <v>14</v>
      </c>
      <c r="G788" t="s">
        <v>20</v>
      </c>
      <c r="H788">
        <v>4531</v>
      </c>
      <c r="I788">
        <v>356.2</v>
      </c>
      <c r="J788">
        <v>14.47</v>
      </c>
      <c r="K788">
        <v>7</v>
      </c>
      <c r="L788">
        <v>13703.51</v>
      </c>
    </row>
    <row r="789" spans="1:12" x14ac:dyDescent="0.3">
      <c r="A789">
        <v>788</v>
      </c>
      <c r="B789" t="s">
        <v>25</v>
      </c>
      <c r="C789">
        <v>2019</v>
      </c>
      <c r="D789">
        <v>72843</v>
      </c>
      <c r="E789" t="s">
        <v>17</v>
      </c>
      <c r="F789" t="s">
        <v>14</v>
      </c>
      <c r="G789" t="s">
        <v>23</v>
      </c>
      <c r="H789">
        <v>2351</v>
      </c>
      <c r="I789">
        <v>181.3</v>
      </c>
      <c r="J789">
        <v>12.57</v>
      </c>
      <c r="K789">
        <v>6</v>
      </c>
      <c r="L789">
        <v>63123.47</v>
      </c>
    </row>
    <row r="790" spans="1:12" x14ac:dyDescent="0.3">
      <c r="A790">
        <v>789</v>
      </c>
      <c r="B790" t="s">
        <v>12</v>
      </c>
      <c r="C790">
        <v>2015</v>
      </c>
      <c r="D790">
        <v>44901</v>
      </c>
      <c r="E790" t="s">
        <v>17</v>
      </c>
      <c r="F790" t="s">
        <v>18</v>
      </c>
      <c r="G790" t="s">
        <v>15</v>
      </c>
      <c r="H790">
        <v>4036</v>
      </c>
      <c r="I790">
        <v>552.6</v>
      </c>
      <c r="J790">
        <v>16.48</v>
      </c>
      <c r="K790">
        <v>4</v>
      </c>
      <c r="L790">
        <v>30095.21</v>
      </c>
    </row>
    <row r="791" spans="1:12" x14ac:dyDescent="0.3">
      <c r="A791">
        <v>790</v>
      </c>
      <c r="B791" t="s">
        <v>28</v>
      </c>
      <c r="C791">
        <v>2022</v>
      </c>
      <c r="D791">
        <v>16205</v>
      </c>
      <c r="E791" t="s">
        <v>22</v>
      </c>
      <c r="F791" t="s">
        <v>18</v>
      </c>
      <c r="G791" t="s">
        <v>20</v>
      </c>
      <c r="H791">
        <v>2536</v>
      </c>
      <c r="I791">
        <v>188.8</v>
      </c>
      <c r="J791">
        <v>25.45</v>
      </c>
      <c r="K791">
        <v>7</v>
      </c>
      <c r="L791">
        <v>24202.51</v>
      </c>
    </row>
    <row r="792" spans="1:12" x14ac:dyDescent="0.3">
      <c r="A792">
        <v>791</v>
      </c>
      <c r="B792" t="s">
        <v>24</v>
      </c>
      <c r="C792">
        <v>2016</v>
      </c>
      <c r="D792">
        <v>191733</v>
      </c>
      <c r="E792" t="s">
        <v>26</v>
      </c>
      <c r="F792" t="s">
        <v>14</v>
      </c>
      <c r="G792" t="s">
        <v>23</v>
      </c>
      <c r="H792">
        <v>2249</v>
      </c>
      <c r="I792">
        <v>541.70000000000005</v>
      </c>
      <c r="J792">
        <v>28.25</v>
      </c>
      <c r="K792">
        <v>2</v>
      </c>
      <c r="L792">
        <v>97805.49</v>
      </c>
    </row>
    <row r="793" spans="1:12" x14ac:dyDescent="0.3">
      <c r="A793">
        <v>792</v>
      </c>
      <c r="B793" t="s">
        <v>27</v>
      </c>
      <c r="C793">
        <v>2010</v>
      </c>
      <c r="D793">
        <v>129661</v>
      </c>
      <c r="E793" t="s">
        <v>26</v>
      </c>
      <c r="F793" t="s">
        <v>14</v>
      </c>
      <c r="G793" t="s">
        <v>20</v>
      </c>
      <c r="H793">
        <v>1064</v>
      </c>
      <c r="I793">
        <v>97.9</v>
      </c>
      <c r="J793">
        <v>18.63</v>
      </c>
      <c r="K793">
        <v>2</v>
      </c>
      <c r="L793">
        <v>18799.46</v>
      </c>
    </row>
    <row r="794" spans="1:12" x14ac:dyDescent="0.3">
      <c r="A794">
        <v>793</v>
      </c>
      <c r="B794" t="s">
        <v>25</v>
      </c>
      <c r="C794">
        <v>2024</v>
      </c>
      <c r="D794">
        <v>10906</v>
      </c>
      <c r="E794" t="s">
        <v>17</v>
      </c>
      <c r="F794" t="s">
        <v>18</v>
      </c>
      <c r="G794" t="s">
        <v>20</v>
      </c>
      <c r="H794">
        <v>3459</v>
      </c>
      <c r="I794">
        <v>407.7</v>
      </c>
      <c r="J794">
        <v>21.54</v>
      </c>
      <c r="K794">
        <v>2</v>
      </c>
      <c r="L794">
        <v>57832.24</v>
      </c>
    </row>
    <row r="795" spans="1:12" x14ac:dyDescent="0.3">
      <c r="A795">
        <v>794</v>
      </c>
      <c r="B795" t="s">
        <v>25</v>
      </c>
      <c r="C795">
        <v>2017</v>
      </c>
      <c r="D795">
        <v>138663</v>
      </c>
      <c r="E795" t="s">
        <v>13</v>
      </c>
      <c r="F795" t="s">
        <v>14</v>
      </c>
      <c r="G795" t="s">
        <v>23</v>
      </c>
      <c r="H795">
        <v>3521</v>
      </c>
      <c r="I795">
        <v>547.9</v>
      </c>
      <c r="J795">
        <v>27.58</v>
      </c>
      <c r="K795">
        <v>2</v>
      </c>
      <c r="L795">
        <v>112813.65</v>
      </c>
    </row>
    <row r="796" spans="1:12" x14ac:dyDescent="0.3">
      <c r="A796">
        <v>795</v>
      </c>
      <c r="B796" t="s">
        <v>30</v>
      </c>
      <c r="C796">
        <v>2024</v>
      </c>
      <c r="D796">
        <v>130576</v>
      </c>
      <c r="E796" t="s">
        <v>17</v>
      </c>
      <c r="F796" t="s">
        <v>18</v>
      </c>
      <c r="G796" t="s">
        <v>15</v>
      </c>
      <c r="H796">
        <v>2262</v>
      </c>
      <c r="I796">
        <v>134.5</v>
      </c>
      <c r="J796">
        <v>7.46</v>
      </c>
      <c r="K796">
        <v>4</v>
      </c>
      <c r="L796">
        <v>24742.35</v>
      </c>
    </row>
    <row r="797" spans="1:12" x14ac:dyDescent="0.3">
      <c r="A797">
        <v>796</v>
      </c>
      <c r="B797" t="s">
        <v>12</v>
      </c>
      <c r="C797">
        <v>2020</v>
      </c>
      <c r="D797">
        <v>67987</v>
      </c>
      <c r="E797" t="s">
        <v>13</v>
      </c>
      <c r="F797" t="s">
        <v>14</v>
      </c>
      <c r="G797" t="s">
        <v>20</v>
      </c>
      <c r="H797">
        <v>2245</v>
      </c>
      <c r="I797">
        <v>582.29999999999995</v>
      </c>
      <c r="J797">
        <v>10.8</v>
      </c>
      <c r="K797">
        <v>5</v>
      </c>
      <c r="L797">
        <v>117425.23</v>
      </c>
    </row>
    <row r="798" spans="1:12" x14ac:dyDescent="0.3">
      <c r="A798">
        <v>797</v>
      </c>
      <c r="B798" t="s">
        <v>21</v>
      </c>
      <c r="C798">
        <v>2022</v>
      </c>
      <c r="D798">
        <v>199442</v>
      </c>
      <c r="E798" t="s">
        <v>26</v>
      </c>
      <c r="F798" t="s">
        <v>14</v>
      </c>
      <c r="G798" t="s">
        <v>20</v>
      </c>
      <c r="H798">
        <v>3098</v>
      </c>
      <c r="I798">
        <v>293.60000000000002</v>
      </c>
      <c r="J798">
        <v>22.72</v>
      </c>
      <c r="K798">
        <v>6</v>
      </c>
      <c r="L798">
        <v>119331.69</v>
      </c>
    </row>
    <row r="799" spans="1:12" x14ac:dyDescent="0.3">
      <c r="A799">
        <v>798</v>
      </c>
      <c r="B799" t="s">
        <v>24</v>
      </c>
      <c r="C799">
        <v>2014</v>
      </c>
      <c r="D799">
        <v>85685</v>
      </c>
      <c r="E799" t="s">
        <v>17</v>
      </c>
      <c r="F799" t="s">
        <v>18</v>
      </c>
      <c r="G799" t="s">
        <v>15</v>
      </c>
      <c r="H799">
        <v>3725</v>
      </c>
      <c r="I799">
        <v>569.6</v>
      </c>
      <c r="J799">
        <v>25.59</v>
      </c>
      <c r="K799">
        <v>4</v>
      </c>
      <c r="L799">
        <v>68007.210000000006</v>
      </c>
    </row>
    <row r="800" spans="1:12" x14ac:dyDescent="0.3">
      <c r="A800">
        <v>799</v>
      </c>
      <c r="B800" t="s">
        <v>12</v>
      </c>
      <c r="C800">
        <v>2012</v>
      </c>
      <c r="D800">
        <v>115454</v>
      </c>
      <c r="E800" t="s">
        <v>22</v>
      </c>
      <c r="F800" t="s">
        <v>18</v>
      </c>
      <c r="G800" t="s">
        <v>15</v>
      </c>
      <c r="H800">
        <v>2432</v>
      </c>
      <c r="I800">
        <v>419</v>
      </c>
      <c r="J800">
        <v>26.43</v>
      </c>
      <c r="K800">
        <v>2</v>
      </c>
      <c r="L800">
        <v>22906.7</v>
      </c>
    </row>
    <row r="801" spans="1:12" x14ac:dyDescent="0.3">
      <c r="A801">
        <v>800</v>
      </c>
      <c r="B801" t="s">
        <v>30</v>
      </c>
      <c r="C801">
        <v>2022</v>
      </c>
      <c r="D801">
        <v>110487</v>
      </c>
      <c r="E801" t="s">
        <v>17</v>
      </c>
      <c r="F801" t="s">
        <v>18</v>
      </c>
      <c r="G801" t="s">
        <v>23</v>
      </c>
      <c r="H801">
        <v>3174</v>
      </c>
      <c r="I801">
        <v>208.9</v>
      </c>
      <c r="J801">
        <v>15.38</v>
      </c>
      <c r="K801">
        <v>4</v>
      </c>
      <c r="L801">
        <v>39984.269999999997</v>
      </c>
    </row>
    <row r="802" spans="1:12" x14ac:dyDescent="0.3">
      <c r="A802">
        <v>801</v>
      </c>
      <c r="B802" t="s">
        <v>29</v>
      </c>
      <c r="C802">
        <v>2005</v>
      </c>
      <c r="D802">
        <v>59400</v>
      </c>
      <c r="E802" t="s">
        <v>26</v>
      </c>
      <c r="F802" t="s">
        <v>18</v>
      </c>
      <c r="G802" t="s">
        <v>23</v>
      </c>
      <c r="H802">
        <v>1312</v>
      </c>
      <c r="I802">
        <v>145.4</v>
      </c>
      <c r="J802">
        <v>7.23</v>
      </c>
      <c r="K802">
        <v>7</v>
      </c>
      <c r="L802">
        <v>52665.66</v>
      </c>
    </row>
    <row r="803" spans="1:12" x14ac:dyDescent="0.3">
      <c r="A803">
        <v>802</v>
      </c>
      <c r="B803" t="s">
        <v>12</v>
      </c>
      <c r="C803">
        <v>2012</v>
      </c>
      <c r="D803">
        <v>161222</v>
      </c>
      <c r="E803" t="s">
        <v>22</v>
      </c>
      <c r="F803" t="s">
        <v>18</v>
      </c>
      <c r="G803" t="s">
        <v>23</v>
      </c>
      <c r="H803">
        <v>1015</v>
      </c>
      <c r="I803">
        <v>210.1</v>
      </c>
      <c r="J803">
        <v>15.94</v>
      </c>
      <c r="K803">
        <v>2</v>
      </c>
      <c r="L803">
        <v>39190.93</v>
      </c>
    </row>
    <row r="804" spans="1:12" x14ac:dyDescent="0.3">
      <c r="A804">
        <v>803</v>
      </c>
      <c r="B804" t="s">
        <v>27</v>
      </c>
      <c r="C804">
        <v>2010</v>
      </c>
      <c r="D804">
        <v>36852</v>
      </c>
      <c r="E804" t="s">
        <v>22</v>
      </c>
      <c r="F804" t="s">
        <v>18</v>
      </c>
      <c r="G804" t="s">
        <v>15</v>
      </c>
      <c r="H804">
        <v>4131</v>
      </c>
      <c r="I804">
        <v>92.1</v>
      </c>
      <c r="J804">
        <v>10.77</v>
      </c>
      <c r="K804">
        <v>6</v>
      </c>
      <c r="L804">
        <v>35834.36</v>
      </c>
    </row>
    <row r="805" spans="1:12" x14ac:dyDescent="0.3">
      <c r="A805">
        <v>804</v>
      </c>
      <c r="B805" t="s">
        <v>24</v>
      </c>
      <c r="C805">
        <v>2009</v>
      </c>
      <c r="D805">
        <v>178942</v>
      </c>
      <c r="E805" t="s">
        <v>13</v>
      </c>
      <c r="F805" t="s">
        <v>18</v>
      </c>
      <c r="G805" t="s">
        <v>20</v>
      </c>
      <c r="H805">
        <v>2972</v>
      </c>
      <c r="I805">
        <v>120.6</v>
      </c>
      <c r="J805">
        <v>12.28</v>
      </c>
      <c r="K805">
        <v>2</v>
      </c>
      <c r="L805">
        <v>116750.88</v>
      </c>
    </row>
    <row r="806" spans="1:12" x14ac:dyDescent="0.3">
      <c r="A806">
        <v>805</v>
      </c>
      <c r="B806" t="s">
        <v>30</v>
      </c>
      <c r="C806">
        <v>2019</v>
      </c>
      <c r="D806">
        <v>57756</v>
      </c>
      <c r="E806" t="s">
        <v>22</v>
      </c>
      <c r="F806" t="s">
        <v>14</v>
      </c>
      <c r="G806" t="s">
        <v>20</v>
      </c>
      <c r="H806">
        <v>3953</v>
      </c>
      <c r="I806">
        <v>98.6</v>
      </c>
      <c r="J806">
        <v>24.31</v>
      </c>
      <c r="K806">
        <v>6</v>
      </c>
      <c r="L806">
        <v>20943.68</v>
      </c>
    </row>
    <row r="807" spans="1:12" x14ac:dyDescent="0.3">
      <c r="A807">
        <v>806</v>
      </c>
      <c r="B807" t="s">
        <v>29</v>
      </c>
      <c r="C807">
        <v>2019</v>
      </c>
      <c r="D807">
        <v>120357</v>
      </c>
      <c r="E807" t="s">
        <v>22</v>
      </c>
      <c r="F807" t="s">
        <v>14</v>
      </c>
      <c r="G807" t="s">
        <v>23</v>
      </c>
      <c r="H807">
        <v>2506</v>
      </c>
      <c r="I807">
        <v>276.8</v>
      </c>
      <c r="J807">
        <v>6.89</v>
      </c>
      <c r="K807">
        <v>6</v>
      </c>
      <c r="L807">
        <v>88799.37</v>
      </c>
    </row>
    <row r="808" spans="1:12" x14ac:dyDescent="0.3">
      <c r="A808">
        <v>807</v>
      </c>
      <c r="B808" t="s">
        <v>16</v>
      </c>
      <c r="C808">
        <v>2006</v>
      </c>
      <c r="D808">
        <v>124052</v>
      </c>
      <c r="E808" t="s">
        <v>17</v>
      </c>
      <c r="F808" t="s">
        <v>14</v>
      </c>
      <c r="G808" t="s">
        <v>15</v>
      </c>
      <c r="H808">
        <v>2906</v>
      </c>
      <c r="I808">
        <v>485.5</v>
      </c>
      <c r="J808">
        <v>25.69</v>
      </c>
      <c r="K808">
        <v>5</v>
      </c>
      <c r="L808">
        <v>3048</v>
      </c>
    </row>
    <row r="809" spans="1:12" x14ac:dyDescent="0.3">
      <c r="A809">
        <v>808</v>
      </c>
      <c r="B809" t="s">
        <v>30</v>
      </c>
      <c r="C809">
        <v>2005</v>
      </c>
      <c r="D809">
        <v>61481</v>
      </c>
      <c r="E809" t="s">
        <v>26</v>
      </c>
      <c r="F809" t="s">
        <v>18</v>
      </c>
      <c r="G809" t="s">
        <v>20</v>
      </c>
      <c r="H809">
        <v>2367</v>
      </c>
      <c r="I809">
        <v>119.2</v>
      </c>
      <c r="J809">
        <v>15.69</v>
      </c>
      <c r="K809">
        <v>5</v>
      </c>
      <c r="L809">
        <v>72753.37</v>
      </c>
    </row>
    <row r="810" spans="1:12" x14ac:dyDescent="0.3">
      <c r="A810">
        <v>809</v>
      </c>
      <c r="B810" t="s">
        <v>16</v>
      </c>
      <c r="C810">
        <v>2015</v>
      </c>
      <c r="D810">
        <v>6283</v>
      </c>
      <c r="E810" t="s">
        <v>13</v>
      </c>
      <c r="F810" t="s">
        <v>18</v>
      </c>
      <c r="G810" t="s">
        <v>23</v>
      </c>
      <c r="H810">
        <v>3008</v>
      </c>
      <c r="I810">
        <v>113</v>
      </c>
      <c r="J810">
        <v>19.899999999999999</v>
      </c>
      <c r="K810">
        <v>4</v>
      </c>
      <c r="L810">
        <v>110165.33</v>
      </c>
    </row>
    <row r="811" spans="1:12" x14ac:dyDescent="0.3">
      <c r="A811">
        <v>810</v>
      </c>
      <c r="B811" t="s">
        <v>24</v>
      </c>
      <c r="C811">
        <v>2014</v>
      </c>
      <c r="D811">
        <v>38691</v>
      </c>
      <c r="E811" t="s">
        <v>17</v>
      </c>
      <c r="F811" t="s">
        <v>18</v>
      </c>
      <c r="G811" t="s">
        <v>20</v>
      </c>
      <c r="H811">
        <v>3131</v>
      </c>
      <c r="I811">
        <v>400.3</v>
      </c>
      <c r="J811">
        <v>7.24</v>
      </c>
      <c r="K811">
        <v>4</v>
      </c>
      <c r="L811">
        <v>36688.29</v>
      </c>
    </row>
    <row r="812" spans="1:12" x14ac:dyDescent="0.3">
      <c r="A812">
        <v>811</v>
      </c>
      <c r="B812" t="s">
        <v>25</v>
      </c>
      <c r="C812">
        <v>2022</v>
      </c>
      <c r="D812">
        <v>137197</v>
      </c>
      <c r="E812" t="s">
        <v>22</v>
      </c>
      <c r="F812" t="s">
        <v>14</v>
      </c>
      <c r="G812" t="s">
        <v>20</v>
      </c>
      <c r="H812">
        <v>2953</v>
      </c>
      <c r="I812">
        <v>150.4</v>
      </c>
      <c r="J812">
        <v>13.43</v>
      </c>
      <c r="K812">
        <v>6</v>
      </c>
      <c r="L812">
        <v>24706.54</v>
      </c>
    </row>
    <row r="813" spans="1:12" x14ac:dyDescent="0.3">
      <c r="A813">
        <v>812</v>
      </c>
      <c r="B813" t="s">
        <v>30</v>
      </c>
      <c r="C813">
        <v>2022</v>
      </c>
      <c r="D813">
        <v>31170</v>
      </c>
      <c r="E813" t="s">
        <v>22</v>
      </c>
      <c r="F813" t="s">
        <v>18</v>
      </c>
      <c r="G813" t="s">
        <v>15</v>
      </c>
      <c r="H813">
        <v>1928</v>
      </c>
      <c r="I813">
        <v>94.7</v>
      </c>
      <c r="J813">
        <v>7.24</v>
      </c>
      <c r="K813">
        <v>2</v>
      </c>
      <c r="L813">
        <v>79246.539999999994</v>
      </c>
    </row>
    <row r="814" spans="1:12" x14ac:dyDescent="0.3">
      <c r="A814">
        <v>813</v>
      </c>
      <c r="B814" t="s">
        <v>28</v>
      </c>
      <c r="C814">
        <v>2021</v>
      </c>
      <c r="D814">
        <v>13438</v>
      </c>
      <c r="E814" t="s">
        <v>13</v>
      </c>
      <c r="F814" t="s">
        <v>18</v>
      </c>
      <c r="G814" t="s">
        <v>15</v>
      </c>
      <c r="H814">
        <v>4310</v>
      </c>
      <c r="I814">
        <v>133.4</v>
      </c>
      <c r="J814">
        <v>29.04</v>
      </c>
      <c r="K814">
        <v>7</v>
      </c>
      <c r="L814">
        <v>86374.36</v>
      </c>
    </row>
    <row r="815" spans="1:12" x14ac:dyDescent="0.3">
      <c r="A815">
        <v>814</v>
      </c>
      <c r="B815" t="s">
        <v>16</v>
      </c>
      <c r="C815">
        <v>2012</v>
      </c>
      <c r="D815">
        <v>25095</v>
      </c>
      <c r="E815" t="s">
        <v>26</v>
      </c>
      <c r="F815" t="s">
        <v>14</v>
      </c>
      <c r="G815" t="s">
        <v>20</v>
      </c>
      <c r="H815">
        <v>4453</v>
      </c>
      <c r="I815">
        <v>557.29999999999995</v>
      </c>
      <c r="J815">
        <v>25.18</v>
      </c>
      <c r="K815">
        <v>7</v>
      </c>
      <c r="L815">
        <v>83499.570000000007</v>
      </c>
    </row>
    <row r="816" spans="1:12" x14ac:dyDescent="0.3">
      <c r="A816">
        <v>815</v>
      </c>
      <c r="B816" t="s">
        <v>27</v>
      </c>
      <c r="C816">
        <v>2019</v>
      </c>
      <c r="D816">
        <v>152226</v>
      </c>
      <c r="E816" t="s">
        <v>13</v>
      </c>
      <c r="F816" t="s">
        <v>18</v>
      </c>
      <c r="G816" t="s">
        <v>23</v>
      </c>
      <c r="H816">
        <v>3165</v>
      </c>
      <c r="I816">
        <v>500</v>
      </c>
      <c r="J816">
        <v>16.489999999999998</v>
      </c>
      <c r="K816">
        <v>2</v>
      </c>
      <c r="L816">
        <v>40360.07</v>
      </c>
    </row>
    <row r="817" spans="1:12" x14ac:dyDescent="0.3">
      <c r="A817">
        <v>816</v>
      </c>
      <c r="B817" t="s">
        <v>28</v>
      </c>
      <c r="C817">
        <v>2012</v>
      </c>
      <c r="D817">
        <v>144076</v>
      </c>
      <c r="E817" t="s">
        <v>17</v>
      </c>
      <c r="F817" t="s">
        <v>14</v>
      </c>
      <c r="G817" t="s">
        <v>15</v>
      </c>
      <c r="H817">
        <v>3721</v>
      </c>
      <c r="I817">
        <v>238.3</v>
      </c>
      <c r="J817">
        <v>10.59</v>
      </c>
      <c r="K817">
        <v>2</v>
      </c>
      <c r="L817">
        <v>32507.68</v>
      </c>
    </row>
    <row r="818" spans="1:12" x14ac:dyDescent="0.3">
      <c r="A818">
        <v>817</v>
      </c>
      <c r="B818" t="s">
        <v>19</v>
      </c>
      <c r="C818">
        <v>2021</v>
      </c>
      <c r="D818">
        <v>14752</v>
      </c>
      <c r="E818" t="s">
        <v>13</v>
      </c>
      <c r="F818" t="s">
        <v>14</v>
      </c>
      <c r="G818" t="s">
        <v>20</v>
      </c>
      <c r="H818">
        <v>1879</v>
      </c>
      <c r="I818">
        <v>407.3</v>
      </c>
      <c r="J818">
        <v>28.34</v>
      </c>
      <c r="K818">
        <v>5</v>
      </c>
      <c r="L818">
        <v>114842.5</v>
      </c>
    </row>
    <row r="819" spans="1:12" x14ac:dyDescent="0.3">
      <c r="A819">
        <v>818</v>
      </c>
      <c r="B819" t="s">
        <v>19</v>
      </c>
      <c r="C819">
        <v>2016</v>
      </c>
      <c r="D819">
        <v>60426</v>
      </c>
      <c r="E819" t="s">
        <v>22</v>
      </c>
      <c r="F819" t="s">
        <v>18</v>
      </c>
      <c r="G819" t="s">
        <v>15</v>
      </c>
      <c r="H819">
        <v>4311</v>
      </c>
      <c r="I819">
        <v>340.9</v>
      </c>
      <c r="J819">
        <v>13.61</v>
      </c>
      <c r="K819">
        <v>7</v>
      </c>
      <c r="L819">
        <v>111026.04</v>
      </c>
    </row>
    <row r="820" spans="1:12" x14ac:dyDescent="0.3">
      <c r="A820">
        <v>819</v>
      </c>
      <c r="B820" t="s">
        <v>29</v>
      </c>
      <c r="C820">
        <v>2012</v>
      </c>
      <c r="D820">
        <v>31819</v>
      </c>
      <c r="E820" t="s">
        <v>17</v>
      </c>
      <c r="F820" t="s">
        <v>18</v>
      </c>
      <c r="G820" t="s">
        <v>15</v>
      </c>
      <c r="H820">
        <v>3541</v>
      </c>
      <c r="I820">
        <v>419.2</v>
      </c>
      <c r="J820">
        <v>9.02</v>
      </c>
      <c r="K820">
        <v>6</v>
      </c>
      <c r="L820">
        <v>56506.04</v>
      </c>
    </row>
    <row r="821" spans="1:12" x14ac:dyDescent="0.3">
      <c r="A821">
        <v>820</v>
      </c>
      <c r="B821" t="s">
        <v>25</v>
      </c>
      <c r="C821">
        <v>2018</v>
      </c>
      <c r="D821">
        <v>97051</v>
      </c>
      <c r="E821" t="s">
        <v>22</v>
      </c>
      <c r="F821" t="s">
        <v>18</v>
      </c>
      <c r="G821" t="s">
        <v>15</v>
      </c>
      <c r="H821">
        <v>3820</v>
      </c>
      <c r="I821">
        <v>422.3</v>
      </c>
      <c r="J821">
        <v>19.079999999999998</v>
      </c>
      <c r="K821">
        <v>4</v>
      </c>
      <c r="L821">
        <v>102004.68</v>
      </c>
    </row>
    <row r="822" spans="1:12" x14ac:dyDescent="0.3">
      <c r="A822">
        <v>821</v>
      </c>
      <c r="B822" t="s">
        <v>24</v>
      </c>
      <c r="C822">
        <v>2008</v>
      </c>
      <c r="D822">
        <v>160289</v>
      </c>
      <c r="E822" t="s">
        <v>26</v>
      </c>
      <c r="F822" t="s">
        <v>14</v>
      </c>
      <c r="G822" t="s">
        <v>20</v>
      </c>
      <c r="H822">
        <v>1028</v>
      </c>
      <c r="I822">
        <v>392.1</v>
      </c>
      <c r="J822">
        <v>28.59</v>
      </c>
      <c r="K822">
        <v>5</v>
      </c>
      <c r="L822">
        <v>55921.85</v>
      </c>
    </row>
    <row r="823" spans="1:12" x14ac:dyDescent="0.3">
      <c r="A823">
        <v>822</v>
      </c>
      <c r="B823" t="s">
        <v>30</v>
      </c>
      <c r="C823">
        <v>2005</v>
      </c>
      <c r="D823">
        <v>37994</v>
      </c>
      <c r="E823" t="s">
        <v>22</v>
      </c>
      <c r="F823" t="s">
        <v>14</v>
      </c>
      <c r="G823" t="s">
        <v>23</v>
      </c>
      <c r="H823">
        <v>970</v>
      </c>
      <c r="I823">
        <v>189</v>
      </c>
      <c r="J823">
        <v>5.0999999999999996</v>
      </c>
      <c r="K823">
        <v>7</v>
      </c>
      <c r="L823">
        <v>52653.52</v>
      </c>
    </row>
    <row r="824" spans="1:12" x14ac:dyDescent="0.3">
      <c r="A824">
        <v>823</v>
      </c>
      <c r="B824" t="s">
        <v>21</v>
      </c>
      <c r="C824">
        <v>2005</v>
      </c>
      <c r="D824">
        <v>151108</v>
      </c>
      <c r="E824" t="s">
        <v>22</v>
      </c>
      <c r="F824" t="s">
        <v>14</v>
      </c>
      <c r="G824" t="s">
        <v>23</v>
      </c>
      <c r="H824">
        <v>1094</v>
      </c>
      <c r="I824">
        <v>61.8</v>
      </c>
      <c r="J824">
        <v>10.95</v>
      </c>
      <c r="K824">
        <v>2</v>
      </c>
      <c r="L824">
        <v>21341.26</v>
      </c>
    </row>
    <row r="825" spans="1:12" x14ac:dyDescent="0.3">
      <c r="A825">
        <v>824</v>
      </c>
      <c r="B825" t="s">
        <v>27</v>
      </c>
      <c r="C825">
        <v>2023</v>
      </c>
      <c r="D825">
        <v>102756</v>
      </c>
      <c r="E825" t="s">
        <v>13</v>
      </c>
      <c r="F825" t="s">
        <v>18</v>
      </c>
      <c r="G825" t="s">
        <v>23</v>
      </c>
      <c r="H825">
        <v>1225</v>
      </c>
      <c r="I825">
        <v>295.10000000000002</v>
      </c>
      <c r="J825">
        <v>28.46</v>
      </c>
      <c r="K825">
        <v>7</v>
      </c>
      <c r="L825">
        <v>52889.51</v>
      </c>
    </row>
    <row r="826" spans="1:12" x14ac:dyDescent="0.3">
      <c r="A826">
        <v>825</v>
      </c>
      <c r="B826" t="s">
        <v>16</v>
      </c>
      <c r="C826">
        <v>2020</v>
      </c>
      <c r="D826">
        <v>185488</v>
      </c>
      <c r="E826" t="s">
        <v>22</v>
      </c>
      <c r="F826" t="s">
        <v>18</v>
      </c>
      <c r="G826" t="s">
        <v>15</v>
      </c>
      <c r="H826">
        <v>1718</v>
      </c>
      <c r="I826">
        <v>538.9</v>
      </c>
      <c r="J826">
        <v>9.2799999999999994</v>
      </c>
      <c r="K826">
        <v>6</v>
      </c>
      <c r="L826">
        <v>65877.78</v>
      </c>
    </row>
    <row r="827" spans="1:12" x14ac:dyDescent="0.3">
      <c r="A827">
        <v>826</v>
      </c>
      <c r="B827" t="s">
        <v>24</v>
      </c>
      <c r="C827">
        <v>2018</v>
      </c>
      <c r="D827">
        <v>145659</v>
      </c>
      <c r="E827" t="s">
        <v>17</v>
      </c>
      <c r="F827" t="s">
        <v>18</v>
      </c>
      <c r="G827" t="s">
        <v>20</v>
      </c>
      <c r="H827">
        <v>4053</v>
      </c>
      <c r="I827">
        <v>358.9</v>
      </c>
      <c r="J827">
        <v>7.83</v>
      </c>
      <c r="K827">
        <v>5</v>
      </c>
      <c r="L827">
        <v>5633.01</v>
      </c>
    </row>
    <row r="828" spans="1:12" x14ac:dyDescent="0.3">
      <c r="A828">
        <v>827</v>
      </c>
      <c r="B828" t="s">
        <v>28</v>
      </c>
      <c r="C828">
        <v>2020</v>
      </c>
      <c r="D828">
        <v>100665</v>
      </c>
      <c r="E828" t="s">
        <v>17</v>
      </c>
      <c r="F828" t="s">
        <v>18</v>
      </c>
      <c r="G828" t="s">
        <v>15</v>
      </c>
      <c r="H828">
        <v>1298</v>
      </c>
      <c r="I828">
        <v>506.1</v>
      </c>
      <c r="J828">
        <v>19.25</v>
      </c>
      <c r="K828">
        <v>2</v>
      </c>
      <c r="L828">
        <v>54961.22</v>
      </c>
    </row>
    <row r="829" spans="1:12" x14ac:dyDescent="0.3">
      <c r="A829">
        <v>828</v>
      </c>
      <c r="B829" t="s">
        <v>19</v>
      </c>
      <c r="C829">
        <v>2009</v>
      </c>
      <c r="D829">
        <v>136717</v>
      </c>
      <c r="E829" t="s">
        <v>26</v>
      </c>
      <c r="F829" t="s">
        <v>14</v>
      </c>
      <c r="G829" t="s">
        <v>23</v>
      </c>
      <c r="H829">
        <v>3609</v>
      </c>
      <c r="I829">
        <v>595.29999999999995</v>
      </c>
      <c r="J829">
        <v>26.55</v>
      </c>
      <c r="K829">
        <v>6</v>
      </c>
      <c r="L829">
        <v>94418.68</v>
      </c>
    </row>
    <row r="830" spans="1:12" x14ac:dyDescent="0.3">
      <c r="A830">
        <v>829</v>
      </c>
      <c r="B830" t="s">
        <v>27</v>
      </c>
      <c r="C830">
        <v>2013</v>
      </c>
      <c r="D830">
        <v>167002</v>
      </c>
      <c r="E830" t="s">
        <v>17</v>
      </c>
      <c r="F830" t="s">
        <v>14</v>
      </c>
      <c r="G830" t="s">
        <v>23</v>
      </c>
      <c r="H830">
        <v>1625</v>
      </c>
      <c r="I830">
        <v>131.6</v>
      </c>
      <c r="J830">
        <v>16.93</v>
      </c>
      <c r="K830">
        <v>4</v>
      </c>
      <c r="L830">
        <v>82565.39</v>
      </c>
    </row>
    <row r="831" spans="1:12" x14ac:dyDescent="0.3">
      <c r="A831">
        <v>830</v>
      </c>
      <c r="B831" t="s">
        <v>21</v>
      </c>
      <c r="C831">
        <v>2006</v>
      </c>
      <c r="D831">
        <v>86835</v>
      </c>
      <c r="E831" t="s">
        <v>13</v>
      </c>
      <c r="F831" t="s">
        <v>14</v>
      </c>
      <c r="G831" t="s">
        <v>20</v>
      </c>
      <c r="H831">
        <v>4579</v>
      </c>
      <c r="I831">
        <v>427.4</v>
      </c>
      <c r="J831">
        <v>29.86</v>
      </c>
      <c r="K831">
        <v>5</v>
      </c>
      <c r="L831">
        <v>77313.37</v>
      </c>
    </row>
    <row r="832" spans="1:12" x14ac:dyDescent="0.3">
      <c r="A832">
        <v>831</v>
      </c>
      <c r="B832" t="s">
        <v>30</v>
      </c>
      <c r="C832">
        <v>2022</v>
      </c>
      <c r="D832">
        <v>127232</v>
      </c>
      <c r="E832" t="s">
        <v>26</v>
      </c>
      <c r="F832" t="s">
        <v>14</v>
      </c>
      <c r="G832" t="s">
        <v>15</v>
      </c>
      <c r="H832">
        <v>2658</v>
      </c>
      <c r="I832">
        <v>417.6</v>
      </c>
      <c r="J832">
        <v>21.98</v>
      </c>
      <c r="K832">
        <v>6</v>
      </c>
      <c r="L832">
        <v>109417.99</v>
      </c>
    </row>
    <row r="833" spans="1:12" x14ac:dyDescent="0.3">
      <c r="A833">
        <v>832</v>
      </c>
      <c r="B833" t="s">
        <v>29</v>
      </c>
      <c r="C833">
        <v>2010</v>
      </c>
      <c r="D833">
        <v>166162</v>
      </c>
      <c r="E833" t="s">
        <v>17</v>
      </c>
      <c r="F833" t="s">
        <v>18</v>
      </c>
      <c r="G833" t="s">
        <v>23</v>
      </c>
      <c r="H833">
        <v>2918</v>
      </c>
      <c r="I833">
        <v>588.79999999999995</v>
      </c>
      <c r="J833">
        <v>6.85</v>
      </c>
      <c r="K833">
        <v>6</v>
      </c>
      <c r="L833">
        <v>5109.75</v>
      </c>
    </row>
    <row r="834" spans="1:12" x14ac:dyDescent="0.3">
      <c r="A834">
        <v>833</v>
      </c>
      <c r="B834" t="s">
        <v>21</v>
      </c>
      <c r="C834">
        <v>2013</v>
      </c>
      <c r="D834">
        <v>188214</v>
      </c>
      <c r="E834" t="s">
        <v>13</v>
      </c>
      <c r="F834" t="s">
        <v>18</v>
      </c>
      <c r="G834" t="s">
        <v>20</v>
      </c>
      <c r="H834">
        <v>945</v>
      </c>
      <c r="I834">
        <v>591.9</v>
      </c>
      <c r="J834">
        <v>29.82</v>
      </c>
      <c r="K834">
        <v>2</v>
      </c>
      <c r="L834">
        <v>68174.570000000007</v>
      </c>
    </row>
    <row r="835" spans="1:12" x14ac:dyDescent="0.3">
      <c r="A835">
        <v>834</v>
      </c>
      <c r="B835" t="s">
        <v>27</v>
      </c>
      <c r="C835">
        <v>2005</v>
      </c>
      <c r="D835">
        <v>162547</v>
      </c>
      <c r="E835" t="s">
        <v>17</v>
      </c>
      <c r="F835" t="s">
        <v>18</v>
      </c>
      <c r="G835" t="s">
        <v>15</v>
      </c>
      <c r="H835">
        <v>4377</v>
      </c>
      <c r="I835">
        <v>424.5</v>
      </c>
      <c r="J835">
        <v>15.2</v>
      </c>
      <c r="K835">
        <v>4</v>
      </c>
      <c r="L835">
        <v>95119.82</v>
      </c>
    </row>
    <row r="836" spans="1:12" x14ac:dyDescent="0.3">
      <c r="A836">
        <v>835</v>
      </c>
      <c r="B836" t="s">
        <v>21</v>
      </c>
      <c r="C836">
        <v>2013</v>
      </c>
      <c r="D836">
        <v>154960</v>
      </c>
      <c r="E836" t="s">
        <v>17</v>
      </c>
      <c r="F836" t="s">
        <v>14</v>
      </c>
      <c r="G836" t="s">
        <v>15</v>
      </c>
      <c r="H836">
        <v>992</v>
      </c>
      <c r="I836">
        <v>176.4</v>
      </c>
      <c r="J836">
        <v>12.19</v>
      </c>
      <c r="K836">
        <v>6</v>
      </c>
      <c r="L836">
        <v>66336.240000000005</v>
      </c>
    </row>
    <row r="837" spans="1:12" x14ac:dyDescent="0.3">
      <c r="A837">
        <v>836</v>
      </c>
      <c r="B837" t="s">
        <v>27</v>
      </c>
      <c r="C837">
        <v>2020</v>
      </c>
      <c r="D837">
        <v>48732</v>
      </c>
      <c r="E837" t="s">
        <v>22</v>
      </c>
      <c r="F837" t="s">
        <v>14</v>
      </c>
      <c r="G837" t="s">
        <v>23</v>
      </c>
      <c r="H837">
        <v>4688</v>
      </c>
      <c r="I837">
        <v>487.2</v>
      </c>
      <c r="J837">
        <v>18.95</v>
      </c>
      <c r="K837">
        <v>5</v>
      </c>
      <c r="L837">
        <v>40895.78</v>
      </c>
    </row>
    <row r="838" spans="1:12" x14ac:dyDescent="0.3">
      <c r="A838">
        <v>837</v>
      </c>
      <c r="B838" t="s">
        <v>27</v>
      </c>
      <c r="C838">
        <v>2017</v>
      </c>
      <c r="D838">
        <v>51305</v>
      </c>
      <c r="E838" t="s">
        <v>17</v>
      </c>
      <c r="F838" t="s">
        <v>18</v>
      </c>
      <c r="G838" t="s">
        <v>23</v>
      </c>
      <c r="H838">
        <v>851</v>
      </c>
      <c r="I838">
        <v>99.9</v>
      </c>
      <c r="J838">
        <v>12.61</v>
      </c>
      <c r="K838">
        <v>6</v>
      </c>
      <c r="L838">
        <v>18941.32</v>
      </c>
    </row>
    <row r="839" spans="1:12" x14ac:dyDescent="0.3">
      <c r="A839">
        <v>838</v>
      </c>
      <c r="B839" t="s">
        <v>12</v>
      </c>
      <c r="C839">
        <v>2013</v>
      </c>
      <c r="D839">
        <v>182109</v>
      </c>
      <c r="E839" t="s">
        <v>17</v>
      </c>
      <c r="F839" t="s">
        <v>18</v>
      </c>
      <c r="G839" t="s">
        <v>15</v>
      </c>
      <c r="H839">
        <v>3210</v>
      </c>
      <c r="I839">
        <v>477.2</v>
      </c>
      <c r="J839">
        <v>7.16</v>
      </c>
      <c r="K839">
        <v>7</v>
      </c>
      <c r="L839">
        <v>106844.88</v>
      </c>
    </row>
    <row r="840" spans="1:12" x14ac:dyDescent="0.3">
      <c r="A840">
        <v>839</v>
      </c>
      <c r="B840" t="s">
        <v>16</v>
      </c>
      <c r="C840">
        <v>2017</v>
      </c>
      <c r="D840">
        <v>14346</v>
      </c>
      <c r="E840" t="s">
        <v>13</v>
      </c>
      <c r="F840" t="s">
        <v>14</v>
      </c>
      <c r="G840" t="s">
        <v>15</v>
      </c>
      <c r="H840">
        <v>2620</v>
      </c>
      <c r="I840">
        <v>549.70000000000005</v>
      </c>
      <c r="J840">
        <v>5.04</v>
      </c>
      <c r="K840">
        <v>5</v>
      </c>
      <c r="L840">
        <v>58079.199999999997</v>
      </c>
    </row>
    <row r="841" spans="1:12" x14ac:dyDescent="0.3">
      <c r="A841">
        <v>840</v>
      </c>
      <c r="B841" t="s">
        <v>19</v>
      </c>
      <c r="C841">
        <v>2013</v>
      </c>
      <c r="D841">
        <v>5587</v>
      </c>
      <c r="E841" t="s">
        <v>13</v>
      </c>
      <c r="F841" t="s">
        <v>18</v>
      </c>
      <c r="G841" t="s">
        <v>23</v>
      </c>
      <c r="H841">
        <v>3764</v>
      </c>
      <c r="I841">
        <v>254.4</v>
      </c>
      <c r="J841">
        <v>16.239999999999998</v>
      </c>
      <c r="K841">
        <v>5</v>
      </c>
      <c r="L841">
        <v>105739.48</v>
      </c>
    </row>
    <row r="842" spans="1:12" x14ac:dyDescent="0.3">
      <c r="A842">
        <v>841</v>
      </c>
      <c r="B842" t="s">
        <v>12</v>
      </c>
      <c r="C842">
        <v>2015</v>
      </c>
      <c r="D842">
        <v>17763</v>
      </c>
      <c r="E842" t="s">
        <v>22</v>
      </c>
      <c r="F842" t="s">
        <v>14</v>
      </c>
      <c r="G842" t="s">
        <v>15</v>
      </c>
      <c r="H842">
        <v>3321</v>
      </c>
      <c r="I842">
        <v>393.2</v>
      </c>
      <c r="J842">
        <v>25.92</v>
      </c>
      <c r="K842">
        <v>6</v>
      </c>
      <c r="L842">
        <v>71544.7</v>
      </c>
    </row>
    <row r="843" spans="1:12" x14ac:dyDescent="0.3">
      <c r="A843">
        <v>842</v>
      </c>
      <c r="B843" t="s">
        <v>30</v>
      </c>
      <c r="C843">
        <v>2008</v>
      </c>
      <c r="D843">
        <v>195237</v>
      </c>
      <c r="E843" t="s">
        <v>17</v>
      </c>
      <c r="F843" t="s">
        <v>14</v>
      </c>
      <c r="G843" t="s">
        <v>23</v>
      </c>
      <c r="H843">
        <v>2669</v>
      </c>
      <c r="I843">
        <v>280.89999999999998</v>
      </c>
      <c r="J843">
        <v>19.309999999999999</v>
      </c>
      <c r="K843">
        <v>2</v>
      </c>
      <c r="L843">
        <v>81880.479999999996</v>
      </c>
    </row>
    <row r="844" spans="1:12" x14ac:dyDescent="0.3">
      <c r="A844">
        <v>843</v>
      </c>
      <c r="B844" t="s">
        <v>12</v>
      </c>
      <c r="C844">
        <v>2006</v>
      </c>
      <c r="D844">
        <v>74615</v>
      </c>
      <c r="E844" t="s">
        <v>22</v>
      </c>
      <c r="F844" t="s">
        <v>14</v>
      </c>
      <c r="G844" t="s">
        <v>15</v>
      </c>
      <c r="H844">
        <v>3368</v>
      </c>
      <c r="I844">
        <v>285.10000000000002</v>
      </c>
      <c r="J844">
        <v>29.98</v>
      </c>
      <c r="K844">
        <v>5</v>
      </c>
      <c r="L844">
        <v>97098.559999999998</v>
      </c>
    </row>
    <row r="845" spans="1:12" x14ac:dyDescent="0.3">
      <c r="A845">
        <v>844</v>
      </c>
      <c r="B845" t="s">
        <v>25</v>
      </c>
      <c r="C845">
        <v>2010</v>
      </c>
      <c r="D845">
        <v>172188</v>
      </c>
      <c r="E845" t="s">
        <v>17</v>
      </c>
      <c r="F845" t="s">
        <v>18</v>
      </c>
      <c r="G845" t="s">
        <v>23</v>
      </c>
      <c r="H845">
        <v>2667</v>
      </c>
      <c r="I845">
        <v>213.8</v>
      </c>
      <c r="J845">
        <v>12.17</v>
      </c>
      <c r="K845">
        <v>7</v>
      </c>
      <c r="L845">
        <v>80121.2</v>
      </c>
    </row>
    <row r="846" spans="1:12" x14ac:dyDescent="0.3">
      <c r="A846">
        <v>845</v>
      </c>
      <c r="B846" t="s">
        <v>25</v>
      </c>
      <c r="C846">
        <v>2018</v>
      </c>
      <c r="D846">
        <v>125987</v>
      </c>
      <c r="E846" t="s">
        <v>26</v>
      </c>
      <c r="F846" t="s">
        <v>18</v>
      </c>
      <c r="G846" t="s">
        <v>20</v>
      </c>
      <c r="H846">
        <v>3538</v>
      </c>
      <c r="I846">
        <v>466.8</v>
      </c>
      <c r="J846">
        <v>12.01</v>
      </c>
      <c r="K846">
        <v>2</v>
      </c>
      <c r="L846">
        <v>49572.42</v>
      </c>
    </row>
    <row r="847" spans="1:12" x14ac:dyDescent="0.3">
      <c r="A847">
        <v>846</v>
      </c>
      <c r="B847" t="s">
        <v>19</v>
      </c>
      <c r="C847">
        <v>2008</v>
      </c>
      <c r="D847">
        <v>96353</v>
      </c>
      <c r="E847" t="s">
        <v>26</v>
      </c>
      <c r="F847" t="s">
        <v>14</v>
      </c>
      <c r="G847" t="s">
        <v>23</v>
      </c>
      <c r="H847">
        <v>4069</v>
      </c>
      <c r="I847">
        <v>564.29999999999995</v>
      </c>
      <c r="J847">
        <v>8.99</v>
      </c>
      <c r="K847">
        <v>2</v>
      </c>
      <c r="L847">
        <v>63095.11</v>
      </c>
    </row>
    <row r="848" spans="1:12" x14ac:dyDescent="0.3">
      <c r="A848">
        <v>847</v>
      </c>
      <c r="B848" t="s">
        <v>21</v>
      </c>
      <c r="C848">
        <v>2010</v>
      </c>
      <c r="D848">
        <v>100648</v>
      </c>
      <c r="E848" t="s">
        <v>22</v>
      </c>
      <c r="F848" t="s">
        <v>18</v>
      </c>
      <c r="G848" t="s">
        <v>23</v>
      </c>
      <c r="H848">
        <v>3999</v>
      </c>
      <c r="I848">
        <v>566.79999999999995</v>
      </c>
      <c r="J848">
        <v>9.1</v>
      </c>
      <c r="K848">
        <v>2</v>
      </c>
      <c r="L848">
        <v>96956.33</v>
      </c>
    </row>
    <row r="849" spans="1:12" x14ac:dyDescent="0.3">
      <c r="A849">
        <v>848</v>
      </c>
      <c r="B849" t="s">
        <v>16</v>
      </c>
      <c r="C849">
        <v>2023</v>
      </c>
      <c r="D849">
        <v>30556</v>
      </c>
      <c r="E849" t="s">
        <v>22</v>
      </c>
      <c r="F849" t="s">
        <v>14</v>
      </c>
      <c r="G849" t="s">
        <v>20</v>
      </c>
      <c r="H849">
        <v>3379</v>
      </c>
      <c r="I849">
        <v>137.9</v>
      </c>
      <c r="J849">
        <v>12.13</v>
      </c>
      <c r="K849">
        <v>5</v>
      </c>
      <c r="L849">
        <v>46717.08</v>
      </c>
    </row>
    <row r="850" spans="1:12" x14ac:dyDescent="0.3">
      <c r="A850">
        <v>849</v>
      </c>
      <c r="B850" t="s">
        <v>19</v>
      </c>
      <c r="C850">
        <v>2010</v>
      </c>
      <c r="D850">
        <v>64042</v>
      </c>
      <c r="E850" t="s">
        <v>22</v>
      </c>
      <c r="F850" t="s">
        <v>14</v>
      </c>
      <c r="G850" t="s">
        <v>15</v>
      </c>
      <c r="H850">
        <v>4805</v>
      </c>
      <c r="I850">
        <v>529.9</v>
      </c>
      <c r="J850">
        <v>24.82</v>
      </c>
      <c r="K850">
        <v>2</v>
      </c>
      <c r="L850">
        <v>48410.21</v>
      </c>
    </row>
    <row r="851" spans="1:12" x14ac:dyDescent="0.3">
      <c r="A851">
        <v>850</v>
      </c>
      <c r="B851" t="s">
        <v>27</v>
      </c>
      <c r="C851">
        <v>2006</v>
      </c>
      <c r="D851">
        <v>23099</v>
      </c>
      <c r="E851" t="s">
        <v>13</v>
      </c>
      <c r="F851" t="s">
        <v>14</v>
      </c>
      <c r="G851" t="s">
        <v>20</v>
      </c>
      <c r="H851">
        <v>1040</v>
      </c>
      <c r="I851">
        <v>453</v>
      </c>
      <c r="J851">
        <v>27.64</v>
      </c>
      <c r="K851">
        <v>6</v>
      </c>
      <c r="L851">
        <v>14195.74</v>
      </c>
    </row>
    <row r="852" spans="1:12" x14ac:dyDescent="0.3">
      <c r="A852">
        <v>851</v>
      </c>
      <c r="B852" t="s">
        <v>28</v>
      </c>
      <c r="C852">
        <v>2022</v>
      </c>
      <c r="D852">
        <v>114089</v>
      </c>
      <c r="E852" t="s">
        <v>13</v>
      </c>
      <c r="F852" t="s">
        <v>14</v>
      </c>
      <c r="G852" t="s">
        <v>23</v>
      </c>
      <c r="H852">
        <v>4240</v>
      </c>
      <c r="I852">
        <v>181.6</v>
      </c>
      <c r="J852">
        <v>29.38</v>
      </c>
      <c r="K852">
        <v>2</v>
      </c>
      <c r="L852">
        <v>110006.38</v>
      </c>
    </row>
    <row r="853" spans="1:12" x14ac:dyDescent="0.3">
      <c r="A853">
        <v>852</v>
      </c>
      <c r="B853" t="s">
        <v>16</v>
      </c>
      <c r="C853">
        <v>2017</v>
      </c>
      <c r="D853">
        <v>181168</v>
      </c>
      <c r="E853" t="s">
        <v>13</v>
      </c>
      <c r="F853" t="s">
        <v>18</v>
      </c>
      <c r="G853" t="s">
        <v>15</v>
      </c>
      <c r="H853">
        <v>2207</v>
      </c>
      <c r="I853">
        <v>77.7</v>
      </c>
      <c r="J853">
        <v>10.81</v>
      </c>
      <c r="K853">
        <v>7</v>
      </c>
      <c r="L853">
        <v>13651.25</v>
      </c>
    </row>
    <row r="854" spans="1:12" x14ac:dyDescent="0.3">
      <c r="A854">
        <v>853</v>
      </c>
      <c r="B854" t="s">
        <v>16</v>
      </c>
      <c r="C854">
        <v>2013</v>
      </c>
      <c r="D854">
        <v>149302</v>
      </c>
      <c r="E854" t="s">
        <v>22</v>
      </c>
      <c r="F854" t="s">
        <v>14</v>
      </c>
      <c r="G854" t="s">
        <v>20</v>
      </c>
      <c r="H854">
        <v>4302</v>
      </c>
      <c r="I854">
        <v>190.1</v>
      </c>
      <c r="J854">
        <v>27.03</v>
      </c>
      <c r="K854">
        <v>4</v>
      </c>
      <c r="L854">
        <v>78840.47</v>
      </c>
    </row>
    <row r="855" spans="1:12" x14ac:dyDescent="0.3">
      <c r="A855">
        <v>854</v>
      </c>
      <c r="B855" t="s">
        <v>27</v>
      </c>
      <c r="C855">
        <v>2023</v>
      </c>
      <c r="D855">
        <v>165081</v>
      </c>
      <c r="E855" t="s">
        <v>17</v>
      </c>
      <c r="F855" t="s">
        <v>14</v>
      </c>
      <c r="G855" t="s">
        <v>15</v>
      </c>
      <c r="H855">
        <v>4838</v>
      </c>
      <c r="I855">
        <v>550.79999999999995</v>
      </c>
      <c r="J855">
        <v>13.21</v>
      </c>
      <c r="K855">
        <v>7</v>
      </c>
      <c r="L855">
        <v>51343.75</v>
      </c>
    </row>
    <row r="856" spans="1:12" x14ac:dyDescent="0.3">
      <c r="A856">
        <v>855</v>
      </c>
      <c r="B856" t="s">
        <v>27</v>
      </c>
      <c r="C856">
        <v>2017</v>
      </c>
      <c r="D856">
        <v>38866</v>
      </c>
      <c r="E856" t="s">
        <v>26</v>
      </c>
      <c r="F856" t="s">
        <v>18</v>
      </c>
      <c r="G856" t="s">
        <v>15</v>
      </c>
      <c r="H856">
        <v>882</v>
      </c>
      <c r="I856">
        <v>394.6</v>
      </c>
      <c r="J856">
        <v>7.82</v>
      </c>
      <c r="K856">
        <v>5</v>
      </c>
      <c r="L856">
        <v>50457.47</v>
      </c>
    </row>
    <row r="857" spans="1:12" x14ac:dyDescent="0.3">
      <c r="A857">
        <v>856</v>
      </c>
      <c r="B857" t="s">
        <v>29</v>
      </c>
      <c r="C857">
        <v>2015</v>
      </c>
      <c r="D857">
        <v>110400</v>
      </c>
      <c r="E857" t="s">
        <v>22</v>
      </c>
      <c r="F857" t="s">
        <v>14</v>
      </c>
      <c r="G857" t="s">
        <v>20</v>
      </c>
      <c r="H857">
        <v>4568</v>
      </c>
      <c r="I857">
        <v>443.8</v>
      </c>
      <c r="J857">
        <v>26.75</v>
      </c>
      <c r="K857">
        <v>2</v>
      </c>
      <c r="L857">
        <v>82507.56</v>
      </c>
    </row>
    <row r="858" spans="1:12" x14ac:dyDescent="0.3">
      <c r="A858">
        <v>857</v>
      </c>
      <c r="B858" t="s">
        <v>19</v>
      </c>
      <c r="C858">
        <v>2005</v>
      </c>
      <c r="D858">
        <v>89246</v>
      </c>
      <c r="E858" t="s">
        <v>13</v>
      </c>
      <c r="F858" t="s">
        <v>14</v>
      </c>
      <c r="G858" t="s">
        <v>15</v>
      </c>
      <c r="H858">
        <v>1750</v>
      </c>
      <c r="I858">
        <v>184</v>
      </c>
      <c r="J858">
        <v>20.9</v>
      </c>
      <c r="K858">
        <v>2</v>
      </c>
      <c r="L858">
        <v>10849.97</v>
      </c>
    </row>
    <row r="859" spans="1:12" x14ac:dyDescent="0.3">
      <c r="A859">
        <v>858</v>
      </c>
      <c r="B859" t="s">
        <v>27</v>
      </c>
      <c r="C859">
        <v>2011</v>
      </c>
      <c r="D859">
        <v>81975</v>
      </c>
      <c r="E859" t="s">
        <v>13</v>
      </c>
      <c r="F859" t="s">
        <v>18</v>
      </c>
      <c r="G859" t="s">
        <v>20</v>
      </c>
      <c r="H859">
        <v>1410</v>
      </c>
      <c r="I859">
        <v>442.9</v>
      </c>
      <c r="J859">
        <v>9.1199999999999992</v>
      </c>
      <c r="K859">
        <v>6</v>
      </c>
      <c r="L859">
        <v>72463.58</v>
      </c>
    </row>
    <row r="860" spans="1:12" x14ac:dyDescent="0.3">
      <c r="A860">
        <v>859</v>
      </c>
      <c r="B860" t="s">
        <v>25</v>
      </c>
      <c r="C860">
        <v>2019</v>
      </c>
      <c r="D860">
        <v>177927</v>
      </c>
      <c r="E860" t="s">
        <v>22</v>
      </c>
      <c r="F860" t="s">
        <v>18</v>
      </c>
      <c r="G860" t="s">
        <v>23</v>
      </c>
      <c r="H860">
        <v>4405</v>
      </c>
      <c r="I860">
        <v>55.7</v>
      </c>
      <c r="J860">
        <v>15.75</v>
      </c>
      <c r="K860">
        <v>2</v>
      </c>
      <c r="L860">
        <v>93327.72</v>
      </c>
    </row>
    <row r="861" spans="1:12" x14ac:dyDescent="0.3">
      <c r="A861">
        <v>860</v>
      </c>
      <c r="B861" t="s">
        <v>30</v>
      </c>
      <c r="C861">
        <v>2005</v>
      </c>
      <c r="D861">
        <v>86557</v>
      </c>
      <c r="E861" t="s">
        <v>22</v>
      </c>
      <c r="F861" t="s">
        <v>18</v>
      </c>
      <c r="G861" t="s">
        <v>15</v>
      </c>
      <c r="H861">
        <v>4083</v>
      </c>
      <c r="I861">
        <v>250.2</v>
      </c>
      <c r="J861">
        <v>12.18</v>
      </c>
      <c r="K861">
        <v>7</v>
      </c>
      <c r="L861">
        <v>99900.89</v>
      </c>
    </row>
    <row r="862" spans="1:12" x14ac:dyDescent="0.3">
      <c r="A862">
        <v>861</v>
      </c>
      <c r="B862" t="s">
        <v>28</v>
      </c>
      <c r="C862">
        <v>2016</v>
      </c>
      <c r="D862">
        <v>142488</v>
      </c>
      <c r="E862" t="s">
        <v>13</v>
      </c>
      <c r="F862" t="s">
        <v>14</v>
      </c>
      <c r="G862" t="s">
        <v>23</v>
      </c>
      <c r="H862">
        <v>2973</v>
      </c>
      <c r="I862">
        <v>391</v>
      </c>
      <c r="J862">
        <v>23.42</v>
      </c>
      <c r="K862">
        <v>5</v>
      </c>
      <c r="L862">
        <v>22952.06</v>
      </c>
    </row>
    <row r="863" spans="1:12" x14ac:dyDescent="0.3">
      <c r="A863">
        <v>862</v>
      </c>
      <c r="B863" t="s">
        <v>19</v>
      </c>
      <c r="C863">
        <v>2011</v>
      </c>
      <c r="D863">
        <v>77516</v>
      </c>
      <c r="E863" t="s">
        <v>17</v>
      </c>
      <c r="F863" t="s">
        <v>18</v>
      </c>
      <c r="G863" t="s">
        <v>23</v>
      </c>
      <c r="H863">
        <v>4284</v>
      </c>
      <c r="I863">
        <v>121.8</v>
      </c>
      <c r="J863">
        <v>16.34</v>
      </c>
      <c r="K863">
        <v>4</v>
      </c>
      <c r="L863">
        <v>107998.03</v>
      </c>
    </row>
    <row r="864" spans="1:12" x14ac:dyDescent="0.3">
      <c r="A864">
        <v>863</v>
      </c>
      <c r="B864" t="s">
        <v>24</v>
      </c>
      <c r="C864">
        <v>2019</v>
      </c>
      <c r="D864">
        <v>191987</v>
      </c>
      <c r="E864" t="s">
        <v>13</v>
      </c>
      <c r="F864" t="s">
        <v>18</v>
      </c>
      <c r="G864" t="s">
        <v>15</v>
      </c>
      <c r="H864">
        <v>2322</v>
      </c>
      <c r="I864">
        <v>500.9</v>
      </c>
      <c r="J864">
        <v>29.73</v>
      </c>
      <c r="K864">
        <v>2</v>
      </c>
      <c r="L864">
        <v>79769.09</v>
      </c>
    </row>
    <row r="865" spans="1:12" x14ac:dyDescent="0.3">
      <c r="A865">
        <v>864</v>
      </c>
      <c r="B865" t="s">
        <v>25</v>
      </c>
      <c r="C865">
        <v>2023</v>
      </c>
      <c r="D865">
        <v>154130</v>
      </c>
      <c r="E865" t="s">
        <v>13</v>
      </c>
      <c r="F865" t="s">
        <v>14</v>
      </c>
      <c r="G865" t="s">
        <v>20</v>
      </c>
      <c r="H865">
        <v>3401</v>
      </c>
      <c r="I865">
        <v>171.6</v>
      </c>
      <c r="J865">
        <v>6.37</v>
      </c>
      <c r="K865">
        <v>4</v>
      </c>
      <c r="L865">
        <v>106177.01</v>
      </c>
    </row>
    <row r="866" spans="1:12" x14ac:dyDescent="0.3">
      <c r="A866">
        <v>865</v>
      </c>
      <c r="B866" t="s">
        <v>21</v>
      </c>
      <c r="C866">
        <v>2005</v>
      </c>
      <c r="D866">
        <v>176790</v>
      </c>
      <c r="E866" t="s">
        <v>22</v>
      </c>
      <c r="F866" t="s">
        <v>14</v>
      </c>
      <c r="G866" t="s">
        <v>15</v>
      </c>
      <c r="H866">
        <v>3457</v>
      </c>
      <c r="I866">
        <v>405.3</v>
      </c>
      <c r="J866">
        <v>13.88</v>
      </c>
      <c r="K866">
        <v>2</v>
      </c>
      <c r="L866">
        <v>59777.84</v>
      </c>
    </row>
    <row r="867" spans="1:12" x14ac:dyDescent="0.3">
      <c r="A867">
        <v>866</v>
      </c>
      <c r="B867" t="s">
        <v>27</v>
      </c>
      <c r="C867">
        <v>2021</v>
      </c>
      <c r="D867">
        <v>37602</v>
      </c>
      <c r="E867" t="s">
        <v>17</v>
      </c>
      <c r="F867" t="s">
        <v>14</v>
      </c>
      <c r="G867" t="s">
        <v>23</v>
      </c>
      <c r="H867">
        <v>2959</v>
      </c>
      <c r="I867">
        <v>266.89999999999998</v>
      </c>
      <c r="J867">
        <v>17.05</v>
      </c>
      <c r="K867">
        <v>5</v>
      </c>
      <c r="L867">
        <v>66417.899999999994</v>
      </c>
    </row>
    <row r="868" spans="1:12" x14ac:dyDescent="0.3">
      <c r="A868">
        <v>867</v>
      </c>
      <c r="B868" t="s">
        <v>24</v>
      </c>
      <c r="C868">
        <v>2021</v>
      </c>
      <c r="D868">
        <v>194139</v>
      </c>
      <c r="E868" t="s">
        <v>13</v>
      </c>
      <c r="F868" t="s">
        <v>14</v>
      </c>
      <c r="G868" t="s">
        <v>23</v>
      </c>
      <c r="H868">
        <v>3249</v>
      </c>
      <c r="I868">
        <v>373.8</v>
      </c>
      <c r="J868">
        <v>17.579999999999998</v>
      </c>
      <c r="K868">
        <v>7</v>
      </c>
      <c r="L868">
        <v>110527.48</v>
      </c>
    </row>
    <row r="869" spans="1:12" x14ac:dyDescent="0.3">
      <c r="A869">
        <v>868</v>
      </c>
      <c r="B869" t="s">
        <v>27</v>
      </c>
      <c r="C869">
        <v>2007</v>
      </c>
      <c r="D869">
        <v>163588</v>
      </c>
      <c r="E869" t="s">
        <v>13</v>
      </c>
      <c r="F869" t="s">
        <v>14</v>
      </c>
      <c r="G869" t="s">
        <v>20</v>
      </c>
      <c r="H869">
        <v>4630</v>
      </c>
      <c r="I869">
        <v>100.2</v>
      </c>
      <c r="J869">
        <v>12.9</v>
      </c>
      <c r="K869">
        <v>5</v>
      </c>
      <c r="L869">
        <v>108289.42</v>
      </c>
    </row>
    <row r="870" spans="1:12" x14ac:dyDescent="0.3">
      <c r="A870">
        <v>869</v>
      </c>
      <c r="B870" t="s">
        <v>16</v>
      </c>
      <c r="C870">
        <v>2016</v>
      </c>
      <c r="D870">
        <v>134295</v>
      </c>
      <c r="E870" t="s">
        <v>26</v>
      </c>
      <c r="F870" t="s">
        <v>18</v>
      </c>
      <c r="G870" t="s">
        <v>15</v>
      </c>
      <c r="H870">
        <v>921</v>
      </c>
      <c r="I870">
        <v>49.5</v>
      </c>
      <c r="J870">
        <v>23.23</v>
      </c>
      <c r="K870">
        <v>4</v>
      </c>
      <c r="L870">
        <v>55434.82</v>
      </c>
    </row>
    <row r="871" spans="1:12" x14ac:dyDescent="0.3">
      <c r="A871">
        <v>870</v>
      </c>
      <c r="B871" t="s">
        <v>25</v>
      </c>
      <c r="C871">
        <v>2010</v>
      </c>
      <c r="D871">
        <v>92969</v>
      </c>
      <c r="E871" t="s">
        <v>22</v>
      </c>
      <c r="F871" t="s">
        <v>18</v>
      </c>
      <c r="G871" t="s">
        <v>23</v>
      </c>
      <c r="H871">
        <v>2117</v>
      </c>
      <c r="I871">
        <v>549.4</v>
      </c>
      <c r="J871">
        <v>26.87</v>
      </c>
      <c r="K871">
        <v>2</v>
      </c>
      <c r="L871">
        <v>35106.28</v>
      </c>
    </row>
    <row r="872" spans="1:12" x14ac:dyDescent="0.3">
      <c r="A872">
        <v>871</v>
      </c>
      <c r="B872" t="s">
        <v>16</v>
      </c>
      <c r="C872">
        <v>2015</v>
      </c>
      <c r="D872">
        <v>137161</v>
      </c>
      <c r="E872" t="s">
        <v>26</v>
      </c>
      <c r="F872" t="s">
        <v>18</v>
      </c>
      <c r="G872" t="s">
        <v>23</v>
      </c>
      <c r="H872">
        <v>3318</v>
      </c>
      <c r="I872">
        <v>191</v>
      </c>
      <c r="J872">
        <v>28.47</v>
      </c>
      <c r="K872">
        <v>4</v>
      </c>
      <c r="L872">
        <v>49000.94</v>
      </c>
    </row>
    <row r="873" spans="1:12" x14ac:dyDescent="0.3">
      <c r="A873">
        <v>872</v>
      </c>
      <c r="B873" t="s">
        <v>29</v>
      </c>
      <c r="C873">
        <v>2007</v>
      </c>
      <c r="D873">
        <v>173418</v>
      </c>
      <c r="E873" t="s">
        <v>26</v>
      </c>
      <c r="F873" t="s">
        <v>14</v>
      </c>
      <c r="G873" t="s">
        <v>23</v>
      </c>
      <c r="H873">
        <v>2030</v>
      </c>
      <c r="I873">
        <v>499</v>
      </c>
      <c r="J873">
        <v>25.13</v>
      </c>
      <c r="K873">
        <v>7</v>
      </c>
      <c r="L873">
        <v>48368.43</v>
      </c>
    </row>
    <row r="874" spans="1:12" x14ac:dyDescent="0.3">
      <c r="A874">
        <v>873</v>
      </c>
      <c r="B874" t="s">
        <v>16</v>
      </c>
      <c r="C874">
        <v>2012</v>
      </c>
      <c r="D874">
        <v>146559</v>
      </c>
      <c r="E874" t="s">
        <v>13</v>
      </c>
      <c r="F874" t="s">
        <v>14</v>
      </c>
      <c r="G874" t="s">
        <v>20</v>
      </c>
      <c r="H874">
        <v>1933</v>
      </c>
      <c r="I874">
        <v>599.6</v>
      </c>
      <c r="J874">
        <v>26.26</v>
      </c>
      <c r="K874">
        <v>5</v>
      </c>
      <c r="L874">
        <v>36563.42</v>
      </c>
    </row>
    <row r="875" spans="1:12" x14ac:dyDescent="0.3">
      <c r="A875">
        <v>874</v>
      </c>
      <c r="B875" t="s">
        <v>29</v>
      </c>
      <c r="C875">
        <v>2018</v>
      </c>
      <c r="D875">
        <v>5155</v>
      </c>
      <c r="E875" t="s">
        <v>22</v>
      </c>
      <c r="F875" t="s">
        <v>14</v>
      </c>
      <c r="G875" t="s">
        <v>23</v>
      </c>
      <c r="H875">
        <v>2101</v>
      </c>
      <c r="I875">
        <v>158.4</v>
      </c>
      <c r="J875">
        <v>18.760000000000002</v>
      </c>
      <c r="K875">
        <v>4</v>
      </c>
      <c r="L875">
        <v>34423.81</v>
      </c>
    </row>
    <row r="876" spans="1:12" x14ac:dyDescent="0.3">
      <c r="A876">
        <v>875</v>
      </c>
      <c r="B876" t="s">
        <v>29</v>
      </c>
      <c r="C876">
        <v>2018</v>
      </c>
      <c r="D876">
        <v>128950</v>
      </c>
      <c r="E876" t="s">
        <v>17</v>
      </c>
      <c r="F876" t="s">
        <v>18</v>
      </c>
      <c r="G876" t="s">
        <v>23</v>
      </c>
      <c r="H876">
        <v>4834</v>
      </c>
      <c r="I876">
        <v>188.5</v>
      </c>
      <c r="J876">
        <v>25.65</v>
      </c>
      <c r="K876">
        <v>4</v>
      </c>
      <c r="L876">
        <v>103744.36</v>
      </c>
    </row>
    <row r="877" spans="1:12" x14ac:dyDescent="0.3">
      <c r="A877">
        <v>876</v>
      </c>
      <c r="B877" t="s">
        <v>24</v>
      </c>
      <c r="C877">
        <v>2014</v>
      </c>
      <c r="D877">
        <v>72494</v>
      </c>
      <c r="E877" t="s">
        <v>13</v>
      </c>
      <c r="F877" t="s">
        <v>18</v>
      </c>
      <c r="G877" t="s">
        <v>15</v>
      </c>
      <c r="H877">
        <v>2710</v>
      </c>
      <c r="I877">
        <v>411.2</v>
      </c>
      <c r="J877">
        <v>12.59</v>
      </c>
      <c r="K877">
        <v>7</v>
      </c>
      <c r="L877">
        <v>11173.84</v>
      </c>
    </row>
    <row r="878" spans="1:12" x14ac:dyDescent="0.3">
      <c r="A878">
        <v>877</v>
      </c>
      <c r="B878" t="s">
        <v>27</v>
      </c>
      <c r="C878">
        <v>2006</v>
      </c>
      <c r="D878">
        <v>81229</v>
      </c>
      <c r="E878" t="s">
        <v>17</v>
      </c>
      <c r="F878" t="s">
        <v>14</v>
      </c>
      <c r="G878" t="s">
        <v>15</v>
      </c>
      <c r="H878">
        <v>2305</v>
      </c>
      <c r="I878">
        <v>580.70000000000005</v>
      </c>
      <c r="J878">
        <v>14.96</v>
      </c>
      <c r="K878">
        <v>2</v>
      </c>
      <c r="L878">
        <v>82280.509999999995</v>
      </c>
    </row>
    <row r="879" spans="1:12" x14ac:dyDescent="0.3">
      <c r="A879">
        <v>878</v>
      </c>
      <c r="B879" t="s">
        <v>21</v>
      </c>
      <c r="C879">
        <v>2018</v>
      </c>
      <c r="D879">
        <v>109648</v>
      </c>
      <c r="E879" t="s">
        <v>17</v>
      </c>
      <c r="F879" t="s">
        <v>18</v>
      </c>
      <c r="G879" t="s">
        <v>23</v>
      </c>
      <c r="H879">
        <v>3985</v>
      </c>
      <c r="I879">
        <v>552.9</v>
      </c>
      <c r="J879">
        <v>12.92</v>
      </c>
      <c r="K879">
        <v>4</v>
      </c>
      <c r="L879">
        <v>23219.95</v>
      </c>
    </row>
    <row r="880" spans="1:12" x14ac:dyDescent="0.3">
      <c r="A880">
        <v>879</v>
      </c>
      <c r="B880" t="s">
        <v>16</v>
      </c>
      <c r="C880">
        <v>2013</v>
      </c>
      <c r="D880">
        <v>43547</v>
      </c>
      <c r="E880" t="s">
        <v>22</v>
      </c>
      <c r="F880" t="s">
        <v>14</v>
      </c>
      <c r="G880" t="s">
        <v>23</v>
      </c>
      <c r="H880">
        <v>2716</v>
      </c>
      <c r="I880">
        <v>321.60000000000002</v>
      </c>
      <c r="J880">
        <v>16.68</v>
      </c>
      <c r="K880">
        <v>7</v>
      </c>
      <c r="L880">
        <v>43307.19</v>
      </c>
    </row>
    <row r="881" spans="1:12" x14ac:dyDescent="0.3">
      <c r="A881">
        <v>880</v>
      </c>
      <c r="B881" t="s">
        <v>25</v>
      </c>
      <c r="C881">
        <v>2007</v>
      </c>
      <c r="D881">
        <v>33795</v>
      </c>
      <c r="E881" t="s">
        <v>26</v>
      </c>
      <c r="F881" t="s">
        <v>18</v>
      </c>
      <c r="G881" t="s">
        <v>15</v>
      </c>
      <c r="H881">
        <v>4348</v>
      </c>
      <c r="I881">
        <v>485.3</v>
      </c>
      <c r="J881">
        <v>12.14</v>
      </c>
      <c r="K881">
        <v>2</v>
      </c>
      <c r="L881">
        <v>10200.530000000001</v>
      </c>
    </row>
    <row r="882" spans="1:12" x14ac:dyDescent="0.3">
      <c r="A882">
        <v>881</v>
      </c>
      <c r="B882" t="s">
        <v>29</v>
      </c>
      <c r="C882">
        <v>2012</v>
      </c>
      <c r="D882">
        <v>191368</v>
      </c>
      <c r="E882" t="s">
        <v>22</v>
      </c>
      <c r="F882" t="s">
        <v>18</v>
      </c>
      <c r="G882" t="s">
        <v>20</v>
      </c>
      <c r="H882">
        <v>3557</v>
      </c>
      <c r="I882">
        <v>116</v>
      </c>
      <c r="J882">
        <v>29.04</v>
      </c>
      <c r="K882">
        <v>2</v>
      </c>
      <c r="L882">
        <v>34586.92</v>
      </c>
    </row>
    <row r="883" spans="1:12" x14ac:dyDescent="0.3">
      <c r="A883">
        <v>882</v>
      </c>
      <c r="B883" t="s">
        <v>27</v>
      </c>
      <c r="C883">
        <v>2020</v>
      </c>
      <c r="D883">
        <v>26447</v>
      </c>
      <c r="E883" t="s">
        <v>17</v>
      </c>
      <c r="F883" t="s">
        <v>18</v>
      </c>
      <c r="G883" t="s">
        <v>20</v>
      </c>
      <c r="H883">
        <v>2756</v>
      </c>
      <c r="I883">
        <v>587.4</v>
      </c>
      <c r="J883">
        <v>12.82</v>
      </c>
      <c r="K883">
        <v>5</v>
      </c>
      <c r="L883">
        <v>92905.27</v>
      </c>
    </row>
    <row r="884" spans="1:12" x14ac:dyDescent="0.3">
      <c r="A884">
        <v>883</v>
      </c>
      <c r="B884" t="s">
        <v>28</v>
      </c>
      <c r="C884">
        <v>2006</v>
      </c>
      <c r="D884">
        <v>172670</v>
      </c>
      <c r="E884" t="s">
        <v>13</v>
      </c>
      <c r="F884" t="s">
        <v>14</v>
      </c>
      <c r="G884" t="s">
        <v>20</v>
      </c>
      <c r="H884">
        <v>978</v>
      </c>
      <c r="I884">
        <v>580</v>
      </c>
      <c r="J884">
        <v>7.45</v>
      </c>
      <c r="K884">
        <v>7</v>
      </c>
      <c r="L884">
        <v>106546.79</v>
      </c>
    </row>
    <row r="885" spans="1:12" x14ac:dyDescent="0.3">
      <c r="A885">
        <v>884</v>
      </c>
      <c r="B885" t="s">
        <v>19</v>
      </c>
      <c r="C885">
        <v>2010</v>
      </c>
      <c r="D885">
        <v>177886</v>
      </c>
      <c r="E885" t="s">
        <v>17</v>
      </c>
      <c r="F885" t="s">
        <v>18</v>
      </c>
      <c r="G885" t="s">
        <v>20</v>
      </c>
      <c r="H885">
        <v>1696</v>
      </c>
      <c r="I885">
        <v>131.69999999999999</v>
      </c>
      <c r="J885">
        <v>18.170000000000002</v>
      </c>
      <c r="K885">
        <v>2</v>
      </c>
      <c r="L885">
        <v>28918.68</v>
      </c>
    </row>
    <row r="886" spans="1:12" x14ac:dyDescent="0.3">
      <c r="A886">
        <v>885</v>
      </c>
      <c r="B886" t="s">
        <v>24</v>
      </c>
      <c r="C886">
        <v>2016</v>
      </c>
      <c r="D886">
        <v>92960</v>
      </c>
      <c r="E886" t="s">
        <v>13</v>
      </c>
      <c r="F886" t="s">
        <v>18</v>
      </c>
      <c r="G886" t="s">
        <v>20</v>
      </c>
      <c r="H886">
        <v>2351</v>
      </c>
      <c r="I886">
        <v>207.7</v>
      </c>
      <c r="J886">
        <v>6.43</v>
      </c>
      <c r="K886">
        <v>5</v>
      </c>
      <c r="L886">
        <v>57235.1</v>
      </c>
    </row>
    <row r="887" spans="1:12" x14ac:dyDescent="0.3">
      <c r="A887">
        <v>886</v>
      </c>
      <c r="B887" t="s">
        <v>21</v>
      </c>
      <c r="C887">
        <v>2009</v>
      </c>
      <c r="D887">
        <v>68278</v>
      </c>
      <c r="E887" t="s">
        <v>13</v>
      </c>
      <c r="F887" t="s">
        <v>14</v>
      </c>
      <c r="G887" t="s">
        <v>20</v>
      </c>
      <c r="H887">
        <v>1291</v>
      </c>
      <c r="I887">
        <v>96.1</v>
      </c>
      <c r="J887">
        <v>7.76</v>
      </c>
      <c r="K887">
        <v>6</v>
      </c>
      <c r="L887">
        <v>58027.91</v>
      </c>
    </row>
    <row r="888" spans="1:12" x14ac:dyDescent="0.3">
      <c r="A888">
        <v>887</v>
      </c>
      <c r="B888" t="s">
        <v>12</v>
      </c>
      <c r="C888">
        <v>2006</v>
      </c>
      <c r="D888">
        <v>60077</v>
      </c>
      <c r="E888" t="s">
        <v>22</v>
      </c>
      <c r="F888" t="s">
        <v>18</v>
      </c>
      <c r="G888" t="s">
        <v>20</v>
      </c>
      <c r="H888">
        <v>860</v>
      </c>
      <c r="I888">
        <v>192.2</v>
      </c>
      <c r="J888">
        <v>10.48</v>
      </c>
      <c r="K888">
        <v>7</v>
      </c>
      <c r="L888">
        <v>105208.31</v>
      </c>
    </row>
    <row r="889" spans="1:12" x14ac:dyDescent="0.3">
      <c r="A889">
        <v>888</v>
      </c>
      <c r="B889" t="s">
        <v>24</v>
      </c>
      <c r="C889">
        <v>2020</v>
      </c>
      <c r="D889">
        <v>117782</v>
      </c>
      <c r="E889" t="s">
        <v>17</v>
      </c>
      <c r="F889" t="s">
        <v>14</v>
      </c>
      <c r="G889" t="s">
        <v>20</v>
      </c>
      <c r="H889">
        <v>1877</v>
      </c>
      <c r="I889">
        <v>496.9</v>
      </c>
      <c r="J889">
        <v>16.61</v>
      </c>
      <c r="K889">
        <v>6</v>
      </c>
      <c r="L889">
        <v>92247.49</v>
      </c>
    </row>
    <row r="890" spans="1:12" x14ac:dyDescent="0.3">
      <c r="A890">
        <v>889</v>
      </c>
      <c r="B890" t="s">
        <v>28</v>
      </c>
      <c r="C890">
        <v>2009</v>
      </c>
      <c r="D890">
        <v>107932</v>
      </c>
      <c r="E890" t="s">
        <v>26</v>
      </c>
      <c r="F890" t="s">
        <v>14</v>
      </c>
      <c r="G890" t="s">
        <v>15</v>
      </c>
      <c r="H890">
        <v>3695</v>
      </c>
      <c r="I890">
        <v>251.9</v>
      </c>
      <c r="J890">
        <v>15.83</v>
      </c>
      <c r="K890">
        <v>2</v>
      </c>
      <c r="L890">
        <v>63030.03</v>
      </c>
    </row>
    <row r="891" spans="1:12" x14ac:dyDescent="0.3">
      <c r="A891">
        <v>890</v>
      </c>
      <c r="B891" t="s">
        <v>19</v>
      </c>
      <c r="C891">
        <v>2019</v>
      </c>
      <c r="D891">
        <v>145600</v>
      </c>
      <c r="E891" t="s">
        <v>17</v>
      </c>
      <c r="F891" t="s">
        <v>14</v>
      </c>
      <c r="G891" t="s">
        <v>20</v>
      </c>
      <c r="H891">
        <v>4960</v>
      </c>
      <c r="I891">
        <v>89.5</v>
      </c>
      <c r="J891">
        <v>24.99</v>
      </c>
      <c r="K891">
        <v>7</v>
      </c>
      <c r="L891">
        <v>81477.42</v>
      </c>
    </row>
    <row r="892" spans="1:12" x14ac:dyDescent="0.3">
      <c r="A892">
        <v>891</v>
      </c>
      <c r="B892" t="s">
        <v>28</v>
      </c>
      <c r="C892">
        <v>2016</v>
      </c>
      <c r="D892">
        <v>186172</v>
      </c>
      <c r="E892" t="s">
        <v>17</v>
      </c>
      <c r="F892" t="s">
        <v>14</v>
      </c>
      <c r="G892" t="s">
        <v>20</v>
      </c>
      <c r="H892">
        <v>4483</v>
      </c>
      <c r="I892">
        <v>231.6</v>
      </c>
      <c r="J892">
        <v>23.49</v>
      </c>
      <c r="K892">
        <v>5</v>
      </c>
      <c r="L892">
        <v>102140.54</v>
      </c>
    </row>
    <row r="893" spans="1:12" x14ac:dyDescent="0.3">
      <c r="A893">
        <v>892</v>
      </c>
      <c r="B893" t="s">
        <v>16</v>
      </c>
      <c r="C893">
        <v>2008</v>
      </c>
      <c r="D893">
        <v>114869</v>
      </c>
      <c r="E893" t="s">
        <v>26</v>
      </c>
      <c r="F893" t="s">
        <v>14</v>
      </c>
      <c r="G893" t="s">
        <v>20</v>
      </c>
      <c r="H893">
        <v>1385</v>
      </c>
      <c r="I893">
        <v>589.6</v>
      </c>
      <c r="J893">
        <v>15.66</v>
      </c>
      <c r="K893">
        <v>2</v>
      </c>
      <c r="L893">
        <v>4116.0600000000004</v>
      </c>
    </row>
    <row r="894" spans="1:12" x14ac:dyDescent="0.3">
      <c r="A894">
        <v>893</v>
      </c>
      <c r="B894" t="s">
        <v>29</v>
      </c>
      <c r="C894">
        <v>2019</v>
      </c>
      <c r="D894">
        <v>144251</v>
      </c>
      <c r="E894" t="s">
        <v>22</v>
      </c>
      <c r="F894" t="s">
        <v>18</v>
      </c>
      <c r="G894" t="s">
        <v>23</v>
      </c>
      <c r="H894">
        <v>4760</v>
      </c>
      <c r="I894">
        <v>392.6</v>
      </c>
      <c r="J894">
        <v>13.34</v>
      </c>
      <c r="K894">
        <v>7</v>
      </c>
      <c r="L894">
        <v>50138.13</v>
      </c>
    </row>
    <row r="895" spans="1:12" x14ac:dyDescent="0.3">
      <c r="A895">
        <v>894</v>
      </c>
      <c r="B895" t="s">
        <v>21</v>
      </c>
      <c r="C895">
        <v>2015</v>
      </c>
      <c r="D895">
        <v>53781</v>
      </c>
      <c r="E895" t="s">
        <v>17</v>
      </c>
      <c r="F895" t="s">
        <v>14</v>
      </c>
      <c r="G895" t="s">
        <v>15</v>
      </c>
      <c r="H895">
        <v>4570</v>
      </c>
      <c r="I895">
        <v>273.10000000000002</v>
      </c>
      <c r="J895">
        <v>12.91</v>
      </c>
      <c r="K895">
        <v>7</v>
      </c>
      <c r="L895">
        <v>109147.45</v>
      </c>
    </row>
    <row r="896" spans="1:12" x14ac:dyDescent="0.3">
      <c r="A896">
        <v>895</v>
      </c>
      <c r="B896" t="s">
        <v>30</v>
      </c>
      <c r="C896">
        <v>2020</v>
      </c>
      <c r="D896">
        <v>191339</v>
      </c>
      <c r="E896" t="s">
        <v>17</v>
      </c>
      <c r="F896" t="s">
        <v>14</v>
      </c>
      <c r="G896" t="s">
        <v>15</v>
      </c>
      <c r="H896">
        <v>1334</v>
      </c>
      <c r="I896">
        <v>133.30000000000001</v>
      </c>
      <c r="J896">
        <v>24.35</v>
      </c>
      <c r="K896">
        <v>6</v>
      </c>
      <c r="L896">
        <v>89616.62</v>
      </c>
    </row>
    <row r="897" spans="1:12" x14ac:dyDescent="0.3">
      <c r="A897">
        <v>896</v>
      </c>
      <c r="B897" t="s">
        <v>29</v>
      </c>
      <c r="C897">
        <v>2010</v>
      </c>
      <c r="D897">
        <v>160024</v>
      </c>
      <c r="E897" t="s">
        <v>13</v>
      </c>
      <c r="F897" t="s">
        <v>14</v>
      </c>
      <c r="G897" t="s">
        <v>15</v>
      </c>
      <c r="H897">
        <v>4262</v>
      </c>
      <c r="I897">
        <v>592.29999999999995</v>
      </c>
      <c r="J897">
        <v>6.3</v>
      </c>
      <c r="K897">
        <v>2</v>
      </c>
      <c r="L897">
        <v>66512.44</v>
      </c>
    </row>
    <row r="898" spans="1:12" x14ac:dyDescent="0.3">
      <c r="A898">
        <v>897</v>
      </c>
      <c r="B898" t="s">
        <v>30</v>
      </c>
      <c r="C898">
        <v>2018</v>
      </c>
      <c r="D898">
        <v>58798</v>
      </c>
      <c r="E898" t="s">
        <v>17</v>
      </c>
      <c r="F898" t="s">
        <v>14</v>
      </c>
      <c r="G898" t="s">
        <v>20</v>
      </c>
      <c r="H898">
        <v>4811</v>
      </c>
      <c r="I898">
        <v>499.7</v>
      </c>
      <c r="J898">
        <v>5.32</v>
      </c>
      <c r="K898">
        <v>5</v>
      </c>
      <c r="L898">
        <v>64968.41</v>
      </c>
    </row>
    <row r="899" spans="1:12" x14ac:dyDescent="0.3">
      <c r="A899">
        <v>898</v>
      </c>
      <c r="B899" t="s">
        <v>19</v>
      </c>
      <c r="C899">
        <v>2022</v>
      </c>
      <c r="D899">
        <v>103696</v>
      </c>
      <c r="E899" t="s">
        <v>26</v>
      </c>
      <c r="F899" t="s">
        <v>18</v>
      </c>
      <c r="G899" t="s">
        <v>20</v>
      </c>
      <c r="H899">
        <v>4198</v>
      </c>
      <c r="I899">
        <v>197.6</v>
      </c>
      <c r="J899">
        <v>24.89</v>
      </c>
      <c r="K899">
        <v>5</v>
      </c>
      <c r="L899">
        <v>43689.1</v>
      </c>
    </row>
    <row r="900" spans="1:12" x14ac:dyDescent="0.3">
      <c r="A900">
        <v>899</v>
      </c>
      <c r="B900" t="s">
        <v>27</v>
      </c>
      <c r="C900">
        <v>2016</v>
      </c>
      <c r="D900">
        <v>55939</v>
      </c>
      <c r="E900" t="s">
        <v>13</v>
      </c>
      <c r="F900" t="s">
        <v>14</v>
      </c>
      <c r="G900" t="s">
        <v>23</v>
      </c>
      <c r="H900">
        <v>2955</v>
      </c>
      <c r="I900">
        <v>79.2</v>
      </c>
      <c r="J900">
        <v>16.93</v>
      </c>
      <c r="K900">
        <v>2</v>
      </c>
      <c r="L900">
        <v>63900.9</v>
      </c>
    </row>
    <row r="901" spans="1:12" x14ac:dyDescent="0.3">
      <c r="A901">
        <v>900</v>
      </c>
      <c r="B901" t="s">
        <v>12</v>
      </c>
      <c r="C901">
        <v>2015</v>
      </c>
      <c r="D901">
        <v>34516</v>
      </c>
      <c r="E901" t="s">
        <v>22</v>
      </c>
      <c r="F901" t="s">
        <v>18</v>
      </c>
      <c r="G901" t="s">
        <v>15</v>
      </c>
      <c r="H901">
        <v>1804</v>
      </c>
      <c r="I901">
        <v>71.7</v>
      </c>
      <c r="J901">
        <v>8.27</v>
      </c>
      <c r="K901">
        <v>2</v>
      </c>
      <c r="L901">
        <v>79679.83</v>
      </c>
    </row>
    <row r="902" spans="1:12" x14ac:dyDescent="0.3">
      <c r="A902">
        <v>901</v>
      </c>
      <c r="B902" t="s">
        <v>25</v>
      </c>
      <c r="C902">
        <v>2017</v>
      </c>
      <c r="D902">
        <v>192598</v>
      </c>
      <c r="E902" t="s">
        <v>13</v>
      </c>
      <c r="F902" t="s">
        <v>14</v>
      </c>
      <c r="G902" t="s">
        <v>20</v>
      </c>
      <c r="H902">
        <v>3299</v>
      </c>
      <c r="I902">
        <v>107.4</v>
      </c>
      <c r="J902">
        <v>10.89</v>
      </c>
      <c r="K902">
        <v>4</v>
      </c>
      <c r="L902">
        <v>51948.480000000003</v>
      </c>
    </row>
    <row r="903" spans="1:12" x14ac:dyDescent="0.3">
      <c r="A903">
        <v>902</v>
      </c>
      <c r="B903" t="s">
        <v>29</v>
      </c>
      <c r="C903">
        <v>2015</v>
      </c>
      <c r="D903">
        <v>146521</v>
      </c>
      <c r="E903" t="s">
        <v>26</v>
      </c>
      <c r="F903" t="s">
        <v>18</v>
      </c>
      <c r="G903" t="s">
        <v>15</v>
      </c>
      <c r="H903">
        <v>1126</v>
      </c>
      <c r="I903">
        <v>365.2</v>
      </c>
      <c r="J903">
        <v>28.31</v>
      </c>
      <c r="K903">
        <v>6</v>
      </c>
      <c r="L903">
        <v>86555.92</v>
      </c>
    </row>
    <row r="904" spans="1:12" x14ac:dyDescent="0.3">
      <c r="A904">
        <v>903</v>
      </c>
      <c r="B904" t="s">
        <v>21</v>
      </c>
      <c r="C904">
        <v>2020</v>
      </c>
      <c r="D904">
        <v>55290</v>
      </c>
      <c r="E904" t="s">
        <v>26</v>
      </c>
      <c r="F904" t="s">
        <v>14</v>
      </c>
      <c r="G904" t="s">
        <v>23</v>
      </c>
      <c r="H904">
        <v>3506</v>
      </c>
      <c r="I904">
        <v>560.1</v>
      </c>
      <c r="J904">
        <v>26.49</v>
      </c>
      <c r="K904">
        <v>2</v>
      </c>
      <c r="L904">
        <v>103764.17</v>
      </c>
    </row>
    <row r="905" spans="1:12" x14ac:dyDescent="0.3">
      <c r="A905">
        <v>904</v>
      </c>
      <c r="B905" t="s">
        <v>28</v>
      </c>
      <c r="C905">
        <v>2019</v>
      </c>
      <c r="D905">
        <v>131688</v>
      </c>
      <c r="E905" t="s">
        <v>13</v>
      </c>
      <c r="F905" t="s">
        <v>14</v>
      </c>
      <c r="G905" t="s">
        <v>23</v>
      </c>
      <c r="H905">
        <v>801</v>
      </c>
      <c r="I905">
        <v>318.2</v>
      </c>
      <c r="J905">
        <v>22.74</v>
      </c>
      <c r="K905">
        <v>2</v>
      </c>
      <c r="L905">
        <v>21098.13</v>
      </c>
    </row>
    <row r="906" spans="1:12" x14ac:dyDescent="0.3">
      <c r="A906">
        <v>905</v>
      </c>
      <c r="B906" t="s">
        <v>21</v>
      </c>
      <c r="C906">
        <v>2019</v>
      </c>
      <c r="D906">
        <v>91661</v>
      </c>
      <c r="E906" t="s">
        <v>22</v>
      </c>
      <c r="F906" t="s">
        <v>18</v>
      </c>
      <c r="G906" t="s">
        <v>23</v>
      </c>
      <c r="H906">
        <v>1833</v>
      </c>
      <c r="I906">
        <v>512</v>
      </c>
      <c r="J906">
        <v>17.059999999999999</v>
      </c>
      <c r="K906">
        <v>4</v>
      </c>
      <c r="L906">
        <v>55831</v>
      </c>
    </row>
    <row r="907" spans="1:12" x14ac:dyDescent="0.3">
      <c r="A907">
        <v>906</v>
      </c>
      <c r="B907" t="s">
        <v>19</v>
      </c>
      <c r="C907">
        <v>2008</v>
      </c>
      <c r="D907">
        <v>77954</v>
      </c>
      <c r="E907" t="s">
        <v>13</v>
      </c>
      <c r="F907" t="s">
        <v>14</v>
      </c>
      <c r="G907" t="s">
        <v>15</v>
      </c>
      <c r="H907">
        <v>3281</v>
      </c>
      <c r="I907">
        <v>289.7</v>
      </c>
      <c r="J907">
        <v>18.010000000000002</v>
      </c>
      <c r="K907">
        <v>4</v>
      </c>
      <c r="L907">
        <v>50738.35</v>
      </c>
    </row>
    <row r="908" spans="1:12" x14ac:dyDescent="0.3">
      <c r="A908">
        <v>907</v>
      </c>
      <c r="B908" t="s">
        <v>30</v>
      </c>
      <c r="C908">
        <v>2015</v>
      </c>
      <c r="D908">
        <v>27746</v>
      </c>
      <c r="E908" t="s">
        <v>22</v>
      </c>
      <c r="F908" t="s">
        <v>18</v>
      </c>
      <c r="G908" t="s">
        <v>20</v>
      </c>
      <c r="H908">
        <v>924</v>
      </c>
      <c r="I908">
        <v>436.8</v>
      </c>
      <c r="J908">
        <v>29.38</v>
      </c>
      <c r="K908">
        <v>7</v>
      </c>
      <c r="L908">
        <v>83433.38</v>
      </c>
    </row>
    <row r="909" spans="1:12" x14ac:dyDescent="0.3">
      <c r="A909">
        <v>908</v>
      </c>
      <c r="B909" t="s">
        <v>28</v>
      </c>
      <c r="C909">
        <v>2023</v>
      </c>
      <c r="D909">
        <v>72990</v>
      </c>
      <c r="E909" t="s">
        <v>13</v>
      </c>
      <c r="F909" t="s">
        <v>14</v>
      </c>
      <c r="G909" t="s">
        <v>20</v>
      </c>
      <c r="H909">
        <v>1904</v>
      </c>
      <c r="I909">
        <v>449.8</v>
      </c>
      <c r="J909">
        <v>29.14</v>
      </c>
      <c r="K909">
        <v>5</v>
      </c>
      <c r="L909">
        <v>32234.49</v>
      </c>
    </row>
    <row r="910" spans="1:12" x14ac:dyDescent="0.3">
      <c r="A910">
        <v>909</v>
      </c>
      <c r="B910" t="s">
        <v>25</v>
      </c>
      <c r="C910">
        <v>2019</v>
      </c>
      <c r="D910">
        <v>63810</v>
      </c>
      <c r="E910" t="s">
        <v>26</v>
      </c>
      <c r="F910" t="s">
        <v>18</v>
      </c>
      <c r="G910" t="s">
        <v>23</v>
      </c>
      <c r="H910">
        <v>3499</v>
      </c>
      <c r="I910">
        <v>137.4</v>
      </c>
      <c r="J910">
        <v>10.38</v>
      </c>
      <c r="K910">
        <v>6</v>
      </c>
      <c r="L910">
        <v>77909.36</v>
      </c>
    </row>
    <row r="911" spans="1:12" x14ac:dyDescent="0.3">
      <c r="A911">
        <v>910</v>
      </c>
      <c r="B911" t="s">
        <v>25</v>
      </c>
      <c r="C911">
        <v>2008</v>
      </c>
      <c r="D911">
        <v>123362</v>
      </c>
      <c r="E911" t="s">
        <v>17</v>
      </c>
      <c r="F911" t="s">
        <v>14</v>
      </c>
      <c r="G911" t="s">
        <v>20</v>
      </c>
      <c r="H911">
        <v>2661</v>
      </c>
      <c r="I911">
        <v>242.3</v>
      </c>
      <c r="J911">
        <v>25.28</v>
      </c>
      <c r="K911">
        <v>7</v>
      </c>
      <c r="L911">
        <v>105666.24000000001</v>
      </c>
    </row>
    <row r="912" spans="1:12" x14ac:dyDescent="0.3">
      <c r="A912">
        <v>911</v>
      </c>
      <c r="B912" t="s">
        <v>29</v>
      </c>
      <c r="C912">
        <v>2017</v>
      </c>
      <c r="D912">
        <v>151295</v>
      </c>
      <c r="E912" t="s">
        <v>17</v>
      </c>
      <c r="F912" t="s">
        <v>14</v>
      </c>
      <c r="G912" t="s">
        <v>23</v>
      </c>
      <c r="H912">
        <v>3720</v>
      </c>
      <c r="I912">
        <v>396.9</v>
      </c>
      <c r="J912">
        <v>9.93</v>
      </c>
      <c r="K912">
        <v>2</v>
      </c>
      <c r="L912">
        <v>51921.4</v>
      </c>
    </row>
    <row r="913" spans="1:12" x14ac:dyDescent="0.3">
      <c r="A913">
        <v>912</v>
      </c>
      <c r="B913" t="s">
        <v>19</v>
      </c>
      <c r="C913">
        <v>2023</v>
      </c>
      <c r="D913">
        <v>138669</v>
      </c>
      <c r="E913" t="s">
        <v>22</v>
      </c>
      <c r="F913" t="s">
        <v>18</v>
      </c>
      <c r="G913" t="s">
        <v>15</v>
      </c>
      <c r="H913">
        <v>928</v>
      </c>
      <c r="I913">
        <v>79.599999999999994</v>
      </c>
      <c r="J913">
        <v>10.34</v>
      </c>
      <c r="K913">
        <v>4</v>
      </c>
      <c r="L913">
        <v>109588.84</v>
      </c>
    </row>
    <row r="914" spans="1:12" x14ac:dyDescent="0.3">
      <c r="A914">
        <v>913</v>
      </c>
      <c r="B914" t="s">
        <v>27</v>
      </c>
      <c r="C914">
        <v>2006</v>
      </c>
      <c r="D914">
        <v>7659</v>
      </c>
      <c r="E914" t="s">
        <v>22</v>
      </c>
      <c r="F914" t="s">
        <v>14</v>
      </c>
      <c r="G914" t="s">
        <v>23</v>
      </c>
      <c r="H914">
        <v>1237</v>
      </c>
      <c r="I914">
        <v>242.5</v>
      </c>
      <c r="J914">
        <v>21.9</v>
      </c>
      <c r="K914">
        <v>5</v>
      </c>
      <c r="L914">
        <v>119200.16</v>
      </c>
    </row>
    <row r="915" spans="1:12" x14ac:dyDescent="0.3">
      <c r="A915">
        <v>914</v>
      </c>
      <c r="B915" t="s">
        <v>19</v>
      </c>
      <c r="C915">
        <v>2018</v>
      </c>
      <c r="D915">
        <v>91516</v>
      </c>
      <c r="E915" t="s">
        <v>22</v>
      </c>
      <c r="F915" t="s">
        <v>14</v>
      </c>
      <c r="G915" t="s">
        <v>15</v>
      </c>
      <c r="H915">
        <v>3348</v>
      </c>
      <c r="I915">
        <v>339.5</v>
      </c>
      <c r="J915">
        <v>15.13</v>
      </c>
      <c r="K915">
        <v>7</v>
      </c>
      <c r="L915">
        <v>15412.77</v>
      </c>
    </row>
    <row r="916" spans="1:12" x14ac:dyDescent="0.3">
      <c r="A916">
        <v>915</v>
      </c>
      <c r="B916" t="s">
        <v>30</v>
      </c>
      <c r="C916">
        <v>2008</v>
      </c>
      <c r="D916">
        <v>79567</v>
      </c>
      <c r="E916" t="s">
        <v>26</v>
      </c>
      <c r="F916" t="s">
        <v>14</v>
      </c>
      <c r="G916" t="s">
        <v>23</v>
      </c>
      <c r="H916">
        <v>3929</v>
      </c>
      <c r="I916">
        <v>597.9</v>
      </c>
      <c r="J916">
        <v>28.29</v>
      </c>
      <c r="K916">
        <v>5</v>
      </c>
      <c r="L916">
        <v>30267.22</v>
      </c>
    </row>
    <row r="917" spans="1:12" x14ac:dyDescent="0.3">
      <c r="A917">
        <v>916</v>
      </c>
      <c r="B917" t="s">
        <v>21</v>
      </c>
      <c r="C917">
        <v>2020</v>
      </c>
      <c r="D917">
        <v>20037</v>
      </c>
      <c r="E917" t="s">
        <v>13</v>
      </c>
      <c r="F917" t="s">
        <v>14</v>
      </c>
      <c r="G917" t="s">
        <v>20</v>
      </c>
      <c r="H917">
        <v>2021</v>
      </c>
      <c r="I917">
        <v>305.7</v>
      </c>
      <c r="J917">
        <v>7.23</v>
      </c>
      <c r="K917">
        <v>4</v>
      </c>
      <c r="L917">
        <v>114194.43</v>
      </c>
    </row>
    <row r="918" spans="1:12" x14ac:dyDescent="0.3">
      <c r="A918">
        <v>917</v>
      </c>
      <c r="B918" t="s">
        <v>25</v>
      </c>
      <c r="C918">
        <v>2024</v>
      </c>
      <c r="D918">
        <v>131498</v>
      </c>
      <c r="E918" t="s">
        <v>26</v>
      </c>
      <c r="F918" t="s">
        <v>14</v>
      </c>
      <c r="G918" t="s">
        <v>20</v>
      </c>
      <c r="H918">
        <v>1701</v>
      </c>
      <c r="I918">
        <v>497</v>
      </c>
      <c r="J918">
        <v>17.79</v>
      </c>
      <c r="K918">
        <v>7</v>
      </c>
      <c r="L918">
        <v>115124.34</v>
      </c>
    </row>
    <row r="919" spans="1:12" x14ac:dyDescent="0.3">
      <c r="A919">
        <v>918</v>
      </c>
      <c r="B919" t="s">
        <v>21</v>
      </c>
      <c r="C919">
        <v>2018</v>
      </c>
      <c r="D919">
        <v>182810</v>
      </c>
      <c r="E919" t="s">
        <v>17</v>
      </c>
      <c r="F919" t="s">
        <v>14</v>
      </c>
      <c r="G919" t="s">
        <v>23</v>
      </c>
      <c r="H919">
        <v>3968</v>
      </c>
      <c r="I919">
        <v>282</v>
      </c>
      <c r="J919">
        <v>27.96</v>
      </c>
      <c r="K919">
        <v>7</v>
      </c>
      <c r="L919">
        <v>14431.75</v>
      </c>
    </row>
    <row r="920" spans="1:12" x14ac:dyDescent="0.3">
      <c r="A920">
        <v>919</v>
      </c>
      <c r="B920" t="s">
        <v>21</v>
      </c>
      <c r="C920">
        <v>2019</v>
      </c>
      <c r="D920">
        <v>17109</v>
      </c>
      <c r="E920" t="s">
        <v>22</v>
      </c>
      <c r="F920" t="s">
        <v>18</v>
      </c>
      <c r="G920" t="s">
        <v>20</v>
      </c>
      <c r="H920">
        <v>4718</v>
      </c>
      <c r="I920">
        <v>486</v>
      </c>
      <c r="J920">
        <v>27.6</v>
      </c>
      <c r="K920">
        <v>5</v>
      </c>
      <c r="L920">
        <v>4754.82</v>
      </c>
    </row>
    <row r="921" spans="1:12" x14ac:dyDescent="0.3">
      <c r="A921">
        <v>920</v>
      </c>
      <c r="B921" t="s">
        <v>21</v>
      </c>
      <c r="C921">
        <v>2007</v>
      </c>
      <c r="D921">
        <v>27010</v>
      </c>
      <c r="E921" t="s">
        <v>13</v>
      </c>
      <c r="F921" t="s">
        <v>18</v>
      </c>
      <c r="G921" t="s">
        <v>20</v>
      </c>
      <c r="H921">
        <v>1867</v>
      </c>
      <c r="I921">
        <v>373.4</v>
      </c>
      <c r="J921">
        <v>8.91</v>
      </c>
      <c r="K921">
        <v>4</v>
      </c>
      <c r="L921">
        <v>21848.7</v>
      </c>
    </row>
    <row r="922" spans="1:12" x14ac:dyDescent="0.3">
      <c r="A922">
        <v>921</v>
      </c>
      <c r="B922" t="s">
        <v>25</v>
      </c>
      <c r="C922">
        <v>2012</v>
      </c>
      <c r="D922">
        <v>13787</v>
      </c>
      <c r="E922" t="s">
        <v>17</v>
      </c>
      <c r="F922" t="s">
        <v>18</v>
      </c>
      <c r="G922" t="s">
        <v>20</v>
      </c>
      <c r="H922">
        <v>826</v>
      </c>
      <c r="I922">
        <v>536.5</v>
      </c>
      <c r="J922">
        <v>14.17</v>
      </c>
      <c r="K922">
        <v>2</v>
      </c>
      <c r="L922">
        <v>119533.5</v>
      </c>
    </row>
    <row r="923" spans="1:12" x14ac:dyDescent="0.3">
      <c r="A923">
        <v>922</v>
      </c>
      <c r="B923" t="s">
        <v>24</v>
      </c>
      <c r="C923">
        <v>2020</v>
      </c>
      <c r="D923">
        <v>144544</v>
      </c>
      <c r="E923" t="s">
        <v>17</v>
      </c>
      <c r="F923" t="s">
        <v>14</v>
      </c>
      <c r="G923" t="s">
        <v>15</v>
      </c>
      <c r="H923">
        <v>1347</v>
      </c>
      <c r="I923">
        <v>270.10000000000002</v>
      </c>
      <c r="J923">
        <v>20.48</v>
      </c>
      <c r="K923">
        <v>7</v>
      </c>
      <c r="L923">
        <v>24059.96</v>
      </c>
    </row>
    <row r="924" spans="1:12" x14ac:dyDescent="0.3">
      <c r="A924">
        <v>923</v>
      </c>
      <c r="B924" t="s">
        <v>16</v>
      </c>
      <c r="C924">
        <v>2014</v>
      </c>
      <c r="D924">
        <v>159455</v>
      </c>
      <c r="E924" t="s">
        <v>17</v>
      </c>
      <c r="F924" t="s">
        <v>18</v>
      </c>
      <c r="G924" t="s">
        <v>20</v>
      </c>
      <c r="H924">
        <v>3468</v>
      </c>
      <c r="I924">
        <v>378.4</v>
      </c>
      <c r="J924">
        <v>8.98</v>
      </c>
      <c r="K924">
        <v>2</v>
      </c>
      <c r="L924">
        <v>61798.07</v>
      </c>
    </row>
    <row r="925" spans="1:12" x14ac:dyDescent="0.3">
      <c r="A925">
        <v>924</v>
      </c>
      <c r="B925" t="s">
        <v>30</v>
      </c>
      <c r="C925">
        <v>2008</v>
      </c>
      <c r="D925">
        <v>66709</v>
      </c>
      <c r="E925" t="s">
        <v>26</v>
      </c>
      <c r="F925" t="s">
        <v>14</v>
      </c>
      <c r="G925" t="s">
        <v>15</v>
      </c>
      <c r="H925">
        <v>1366</v>
      </c>
      <c r="I925">
        <v>392.8</v>
      </c>
      <c r="J925">
        <v>29.2</v>
      </c>
      <c r="K925">
        <v>4</v>
      </c>
      <c r="L925">
        <v>102264.87</v>
      </c>
    </row>
    <row r="926" spans="1:12" x14ac:dyDescent="0.3">
      <c r="A926">
        <v>925</v>
      </c>
      <c r="B926" t="s">
        <v>24</v>
      </c>
      <c r="C926">
        <v>2022</v>
      </c>
      <c r="D926">
        <v>39518</v>
      </c>
      <c r="E926" t="s">
        <v>22</v>
      </c>
      <c r="F926" t="s">
        <v>14</v>
      </c>
      <c r="G926" t="s">
        <v>23</v>
      </c>
      <c r="H926">
        <v>1503</v>
      </c>
      <c r="I926">
        <v>273.7</v>
      </c>
      <c r="J926">
        <v>27.87</v>
      </c>
      <c r="K926">
        <v>7</v>
      </c>
      <c r="L926">
        <v>5386.99</v>
      </c>
    </row>
    <row r="927" spans="1:12" x14ac:dyDescent="0.3">
      <c r="A927">
        <v>926</v>
      </c>
      <c r="B927" t="s">
        <v>30</v>
      </c>
      <c r="C927">
        <v>2006</v>
      </c>
      <c r="D927">
        <v>58909</v>
      </c>
      <c r="E927" t="s">
        <v>17</v>
      </c>
      <c r="F927" t="s">
        <v>14</v>
      </c>
      <c r="G927" t="s">
        <v>20</v>
      </c>
      <c r="H927">
        <v>3940</v>
      </c>
      <c r="I927">
        <v>120.8</v>
      </c>
      <c r="J927">
        <v>9.17</v>
      </c>
      <c r="K927">
        <v>7</v>
      </c>
      <c r="L927">
        <v>73725.210000000006</v>
      </c>
    </row>
    <row r="928" spans="1:12" x14ac:dyDescent="0.3">
      <c r="A928">
        <v>927</v>
      </c>
      <c r="B928" t="s">
        <v>28</v>
      </c>
      <c r="C928">
        <v>2021</v>
      </c>
      <c r="D928">
        <v>23351</v>
      </c>
      <c r="E928" t="s">
        <v>22</v>
      </c>
      <c r="F928" t="s">
        <v>14</v>
      </c>
      <c r="G928" t="s">
        <v>20</v>
      </c>
      <c r="H928">
        <v>2390</v>
      </c>
      <c r="I928">
        <v>92.4</v>
      </c>
      <c r="J928">
        <v>8.0299999999999994</v>
      </c>
      <c r="K928">
        <v>2</v>
      </c>
      <c r="L928">
        <v>35411.980000000003</v>
      </c>
    </row>
    <row r="929" spans="1:12" x14ac:dyDescent="0.3">
      <c r="A929">
        <v>928</v>
      </c>
      <c r="B929" t="s">
        <v>19</v>
      </c>
      <c r="C929">
        <v>2017</v>
      </c>
      <c r="D929">
        <v>189402</v>
      </c>
      <c r="E929" t="s">
        <v>26</v>
      </c>
      <c r="F929" t="s">
        <v>18</v>
      </c>
      <c r="G929" t="s">
        <v>20</v>
      </c>
      <c r="H929">
        <v>1605</v>
      </c>
      <c r="I929">
        <v>49.3</v>
      </c>
      <c r="J929">
        <v>7.14</v>
      </c>
      <c r="K929">
        <v>6</v>
      </c>
      <c r="L929">
        <v>103893.19</v>
      </c>
    </row>
    <row r="930" spans="1:12" x14ac:dyDescent="0.3">
      <c r="A930">
        <v>929</v>
      </c>
      <c r="B930" t="s">
        <v>19</v>
      </c>
      <c r="C930">
        <v>2008</v>
      </c>
      <c r="D930">
        <v>20282</v>
      </c>
      <c r="E930" t="s">
        <v>17</v>
      </c>
      <c r="F930" t="s">
        <v>14</v>
      </c>
      <c r="G930" t="s">
        <v>23</v>
      </c>
      <c r="H930">
        <v>4591</v>
      </c>
      <c r="I930">
        <v>529.20000000000005</v>
      </c>
      <c r="J930">
        <v>27.74</v>
      </c>
      <c r="K930">
        <v>2</v>
      </c>
      <c r="L930">
        <v>36164.949999999997</v>
      </c>
    </row>
    <row r="931" spans="1:12" x14ac:dyDescent="0.3">
      <c r="A931">
        <v>930</v>
      </c>
      <c r="B931" t="s">
        <v>12</v>
      </c>
      <c r="C931">
        <v>2015</v>
      </c>
      <c r="D931">
        <v>157850</v>
      </c>
      <c r="E931" t="s">
        <v>26</v>
      </c>
      <c r="F931" t="s">
        <v>18</v>
      </c>
      <c r="G931" t="s">
        <v>15</v>
      </c>
      <c r="H931">
        <v>2157</v>
      </c>
      <c r="I931">
        <v>172.4</v>
      </c>
      <c r="J931">
        <v>9.84</v>
      </c>
      <c r="K931">
        <v>2</v>
      </c>
      <c r="L931">
        <v>83350.42</v>
      </c>
    </row>
    <row r="932" spans="1:12" x14ac:dyDescent="0.3">
      <c r="A932">
        <v>931</v>
      </c>
      <c r="B932" t="s">
        <v>19</v>
      </c>
      <c r="C932">
        <v>2011</v>
      </c>
      <c r="D932">
        <v>160336</v>
      </c>
      <c r="E932" t="s">
        <v>26</v>
      </c>
      <c r="F932" t="s">
        <v>14</v>
      </c>
      <c r="G932" t="s">
        <v>15</v>
      </c>
      <c r="H932">
        <v>4025</v>
      </c>
      <c r="I932">
        <v>158.4</v>
      </c>
      <c r="J932">
        <v>15.41</v>
      </c>
      <c r="K932">
        <v>6</v>
      </c>
      <c r="L932">
        <v>81883.7</v>
      </c>
    </row>
    <row r="933" spans="1:12" x14ac:dyDescent="0.3">
      <c r="A933">
        <v>932</v>
      </c>
      <c r="B933" t="s">
        <v>25</v>
      </c>
      <c r="C933">
        <v>2016</v>
      </c>
      <c r="D933">
        <v>195747</v>
      </c>
      <c r="E933" t="s">
        <v>22</v>
      </c>
      <c r="F933" t="s">
        <v>18</v>
      </c>
      <c r="G933" t="s">
        <v>20</v>
      </c>
      <c r="H933">
        <v>4418</v>
      </c>
      <c r="I933">
        <v>452.2</v>
      </c>
      <c r="J933">
        <v>16.22</v>
      </c>
      <c r="K933">
        <v>4</v>
      </c>
      <c r="L933">
        <v>28914.75</v>
      </c>
    </row>
    <row r="934" spans="1:12" x14ac:dyDescent="0.3">
      <c r="A934">
        <v>933</v>
      </c>
      <c r="B934" t="s">
        <v>27</v>
      </c>
      <c r="C934">
        <v>2014</v>
      </c>
      <c r="D934">
        <v>10075</v>
      </c>
      <c r="E934" t="s">
        <v>17</v>
      </c>
      <c r="F934" t="s">
        <v>18</v>
      </c>
      <c r="G934" t="s">
        <v>23</v>
      </c>
      <c r="H934">
        <v>2926</v>
      </c>
      <c r="I934">
        <v>219.2</v>
      </c>
      <c r="J934">
        <v>19.98</v>
      </c>
      <c r="K934">
        <v>4</v>
      </c>
      <c r="L934">
        <v>7071.51</v>
      </c>
    </row>
    <row r="935" spans="1:12" x14ac:dyDescent="0.3">
      <c r="A935">
        <v>934</v>
      </c>
      <c r="B935" t="s">
        <v>29</v>
      </c>
      <c r="C935">
        <v>2011</v>
      </c>
      <c r="D935">
        <v>184526</v>
      </c>
      <c r="E935" t="s">
        <v>26</v>
      </c>
      <c r="F935" t="s">
        <v>18</v>
      </c>
      <c r="G935" t="s">
        <v>23</v>
      </c>
      <c r="H935">
        <v>3260</v>
      </c>
      <c r="I935">
        <v>323.39999999999998</v>
      </c>
      <c r="J935">
        <v>6.79</v>
      </c>
      <c r="K935">
        <v>7</v>
      </c>
      <c r="L935">
        <v>50882.2</v>
      </c>
    </row>
    <row r="936" spans="1:12" x14ac:dyDescent="0.3">
      <c r="A936">
        <v>935</v>
      </c>
      <c r="B936" t="s">
        <v>12</v>
      </c>
      <c r="C936">
        <v>2017</v>
      </c>
      <c r="D936">
        <v>33365</v>
      </c>
      <c r="E936" t="s">
        <v>17</v>
      </c>
      <c r="F936" t="s">
        <v>18</v>
      </c>
      <c r="G936" t="s">
        <v>23</v>
      </c>
      <c r="H936">
        <v>1345</v>
      </c>
      <c r="I936">
        <v>131</v>
      </c>
      <c r="J936">
        <v>10.67</v>
      </c>
      <c r="K936">
        <v>5</v>
      </c>
      <c r="L936">
        <v>36835.599999999999</v>
      </c>
    </row>
    <row r="937" spans="1:12" x14ac:dyDescent="0.3">
      <c r="A937">
        <v>936</v>
      </c>
      <c r="B937" t="s">
        <v>29</v>
      </c>
      <c r="C937">
        <v>2011</v>
      </c>
      <c r="D937">
        <v>184272</v>
      </c>
      <c r="E937" t="s">
        <v>22</v>
      </c>
      <c r="F937" t="s">
        <v>18</v>
      </c>
      <c r="G937" t="s">
        <v>23</v>
      </c>
      <c r="H937">
        <v>3528</v>
      </c>
      <c r="I937">
        <v>577.5</v>
      </c>
      <c r="J937">
        <v>28.29</v>
      </c>
      <c r="K937">
        <v>5</v>
      </c>
      <c r="L937">
        <v>97650.4</v>
      </c>
    </row>
    <row r="938" spans="1:12" x14ac:dyDescent="0.3">
      <c r="A938">
        <v>937</v>
      </c>
      <c r="B938" t="s">
        <v>30</v>
      </c>
      <c r="C938">
        <v>2021</v>
      </c>
      <c r="D938">
        <v>16002</v>
      </c>
      <c r="E938" t="s">
        <v>26</v>
      </c>
      <c r="F938" t="s">
        <v>18</v>
      </c>
      <c r="G938" t="s">
        <v>23</v>
      </c>
      <c r="H938">
        <v>4534</v>
      </c>
      <c r="I938">
        <v>516.9</v>
      </c>
      <c r="J938">
        <v>27.71</v>
      </c>
      <c r="K938">
        <v>7</v>
      </c>
      <c r="L938">
        <v>96642.61</v>
      </c>
    </row>
    <row r="939" spans="1:12" x14ac:dyDescent="0.3">
      <c r="A939">
        <v>938</v>
      </c>
      <c r="B939" t="s">
        <v>29</v>
      </c>
      <c r="C939">
        <v>2014</v>
      </c>
      <c r="D939">
        <v>18947</v>
      </c>
      <c r="E939" t="s">
        <v>22</v>
      </c>
      <c r="F939" t="s">
        <v>14</v>
      </c>
      <c r="G939" t="s">
        <v>15</v>
      </c>
      <c r="H939">
        <v>3362</v>
      </c>
      <c r="I939">
        <v>523.70000000000005</v>
      </c>
      <c r="J939">
        <v>24.53</v>
      </c>
      <c r="K939">
        <v>5</v>
      </c>
      <c r="L939">
        <v>56471.8</v>
      </c>
    </row>
    <row r="940" spans="1:12" x14ac:dyDescent="0.3">
      <c r="A940">
        <v>939</v>
      </c>
      <c r="B940" t="s">
        <v>29</v>
      </c>
      <c r="C940">
        <v>2014</v>
      </c>
      <c r="D940">
        <v>99840</v>
      </c>
      <c r="E940" t="s">
        <v>17</v>
      </c>
      <c r="F940" t="s">
        <v>18</v>
      </c>
      <c r="G940" t="s">
        <v>15</v>
      </c>
      <c r="H940">
        <v>2879</v>
      </c>
      <c r="I940">
        <v>267.8</v>
      </c>
      <c r="J940">
        <v>5.49</v>
      </c>
      <c r="K940">
        <v>2</v>
      </c>
      <c r="L940">
        <v>73961.929999999993</v>
      </c>
    </row>
    <row r="941" spans="1:12" x14ac:dyDescent="0.3">
      <c r="A941">
        <v>940</v>
      </c>
      <c r="B941" t="s">
        <v>12</v>
      </c>
      <c r="C941">
        <v>2008</v>
      </c>
      <c r="D941">
        <v>121219</v>
      </c>
      <c r="E941" t="s">
        <v>17</v>
      </c>
      <c r="F941" t="s">
        <v>14</v>
      </c>
      <c r="G941" t="s">
        <v>15</v>
      </c>
      <c r="H941">
        <v>3441</v>
      </c>
      <c r="I941">
        <v>466.9</v>
      </c>
      <c r="J941">
        <v>13.18</v>
      </c>
      <c r="K941">
        <v>2</v>
      </c>
      <c r="L941">
        <v>73698.36</v>
      </c>
    </row>
    <row r="942" spans="1:12" x14ac:dyDescent="0.3">
      <c r="A942">
        <v>941</v>
      </c>
      <c r="B942" t="s">
        <v>28</v>
      </c>
      <c r="C942">
        <v>2024</v>
      </c>
      <c r="D942">
        <v>83610</v>
      </c>
      <c r="E942" t="s">
        <v>22</v>
      </c>
      <c r="F942" t="s">
        <v>18</v>
      </c>
      <c r="G942" t="s">
        <v>20</v>
      </c>
      <c r="H942">
        <v>3914</v>
      </c>
      <c r="I942">
        <v>120.6</v>
      </c>
      <c r="J942">
        <v>20.7</v>
      </c>
      <c r="K942">
        <v>6</v>
      </c>
      <c r="L942">
        <v>99777.5</v>
      </c>
    </row>
    <row r="943" spans="1:12" x14ac:dyDescent="0.3">
      <c r="A943">
        <v>942</v>
      </c>
      <c r="B943" t="s">
        <v>21</v>
      </c>
      <c r="C943">
        <v>2008</v>
      </c>
      <c r="D943">
        <v>57142</v>
      </c>
      <c r="E943" t="s">
        <v>13</v>
      </c>
      <c r="F943" t="s">
        <v>14</v>
      </c>
      <c r="G943" t="s">
        <v>23</v>
      </c>
      <c r="H943">
        <v>2726</v>
      </c>
      <c r="I943">
        <v>44.8</v>
      </c>
      <c r="J943">
        <v>11.88</v>
      </c>
      <c r="K943">
        <v>6</v>
      </c>
      <c r="L943">
        <v>52725.279999999999</v>
      </c>
    </row>
    <row r="944" spans="1:12" x14ac:dyDescent="0.3">
      <c r="A944">
        <v>943</v>
      </c>
      <c r="B944" t="s">
        <v>19</v>
      </c>
      <c r="C944">
        <v>2011</v>
      </c>
      <c r="D944">
        <v>61307</v>
      </c>
      <c r="E944" t="s">
        <v>26</v>
      </c>
      <c r="F944" t="s">
        <v>18</v>
      </c>
      <c r="G944" t="s">
        <v>20</v>
      </c>
      <c r="H944">
        <v>1416</v>
      </c>
      <c r="I944">
        <v>51.2</v>
      </c>
      <c r="J944">
        <v>27.74</v>
      </c>
      <c r="K944">
        <v>7</v>
      </c>
      <c r="L944">
        <v>35227.26</v>
      </c>
    </row>
    <row r="945" spans="1:12" x14ac:dyDescent="0.3">
      <c r="A945">
        <v>944</v>
      </c>
      <c r="B945" t="s">
        <v>19</v>
      </c>
      <c r="C945">
        <v>2005</v>
      </c>
      <c r="D945">
        <v>140565</v>
      </c>
      <c r="E945" t="s">
        <v>17</v>
      </c>
      <c r="F945" t="s">
        <v>18</v>
      </c>
      <c r="G945" t="s">
        <v>23</v>
      </c>
      <c r="H945">
        <v>4444</v>
      </c>
      <c r="I945">
        <v>368.5</v>
      </c>
      <c r="J945">
        <v>20.85</v>
      </c>
      <c r="K945">
        <v>7</v>
      </c>
      <c r="L945">
        <v>34009.089999999997</v>
      </c>
    </row>
    <row r="946" spans="1:12" x14ac:dyDescent="0.3">
      <c r="A946">
        <v>945</v>
      </c>
      <c r="B946" t="s">
        <v>25</v>
      </c>
      <c r="C946">
        <v>2016</v>
      </c>
      <c r="D946">
        <v>55085</v>
      </c>
      <c r="E946" t="s">
        <v>17</v>
      </c>
      <c r="F946" t="s">
        <v>14</v>
      </c>
      <c r="G946" t="s">
        <v>15</v>
      </c>
      <c r="H946">
        <v>2003</v>
      </c>
      <c r="I946">
        <v>295</v>
      </c>
      <c r="J946">
        <v>6.8</v>
      </c>
      <c r="K946">
        <v>7</v>
      </c>
      <c r="L946">
        <v>65734.5</v>
      </c>
    </row>
    <row r="947" spans="1:12" x14ac:dyDescent="0.3">
      <c r="A947">
        <v>946</v>
      </c>
      <c r="B947" t="s">
        <v>12</v>
      </c>
      <c r="C947">
        <v>2017</v>
      </c>
      <c r="D947">
        <v>39228</v>
      </c>
      <c r="E947" t="s">
        <v>26</v>
      </c>
      <c r="F947" t="s">
        <v>18</v>
      </c>
      <c r="G947" t="s">
        <v>20</v>
      </c>
      <c r="H947">
        <v>2559</v>
      </c>
      <c r="I947">
        <v>330.1</v>
      </c>
      <c r="J947">
        <v>27.73</v>
      </c>
      <c r="K947">
        <v>2</v>
      </c>
      <c r="L947">
        <v>55550.34</v>
      </c>
    </row>
    <row r="948" spans="1:12" x14ac:dyDescent="0.3">
      <c r="A948">
        <v>947</v>
      </c>
      <c r="B948" t="s">
        <v>25</v>
      </c>
      <c r="C948">
        <v>2014</v>
      </c>
      <c r="D948">
        <v>187947</v>
      </c>
      <c r="E948" t="s">
        <v>22</v>
      </c>
      <c r="F948" t="s">
        <v>18</v>
      </c>
      <c r="G948" t="s">
        <v>15</v>
      </c>
      <c r="H948">
        <v>3365</v>
      </c>
      <c r="I948">
        <v>44.2</v>
      </c>
      <c r="J948">
        <v>28.94</v>
      </c>
      <c r="K948">
        <v>5</v>
      </c>
      <c r="L948">
        <v>54494.13</v>
      </c>
    </row>
    <row r="949" spans="1:12" x14ac:dyDescent="0.3">
      <c r="A949">
        <v>948</v>
      </c>
      <c r="B949" t="s">
        <v>27</v>
      </c>
      <c r="C949">
        <v>2019</v>
      </c>
      <c r="D949">
        <v>167727</v>
      </c>
      <c r="E949" t="s">
        <v>22</v>
      </c>
      <c r="F949" t="s">
        <v>18</v>
      </c>
      <c r="G949" t="s">
        <v>23</v>
      </c>
      <c r="H949">
        <v>3974</v>
      </c>
      <c r="I949">
        <v>276.7</v>
      </c>
      <c r="J949">
        <v>6.94</v>
      </c>
      <c r="K949">
        <v>7</v>
      </c>
      <c r="L949">
        <v>13663.07</v>
      </c>
    </row>
    <row r="950" spans="1:12" x14ac:dyDescent="0.3">
      <c r="A950">
        <v>949</v>
      </c>
      <c r="B950" t="s">
        <v>27</v>
      </c>
      <c r="C950">
        <v>2017</v>
      </c>
      <c r="D950">
        <v>48472</v>
      </c>
      <c r="E950" t="s">
        <v>22</v>
      </c>
      <c r="F950" t="s">
        <v>14</v>
      </c>
      <c r="G950" t="s">
        <v>23</v>
      </c>
      <c r="H950">
        <v>3881</v>
      </c>
      <c r="I950">
        <v>442.1</v>
      </c>
      <c r="J950">
        <v>18.309999999999999</v>
      </c>
      <c r="K950">
        <v>7</v>
      </c>
      <c r="L950">
        <v>87076.64</v>
      </c>
    </row>
    <row r="951" spans="1:12" x14ac:dyDescent="0.3">
      <c r="A951">
        <v>950</v>
      </c>
      <c r="B951" t="s">
        <v>25</v>
      </c>
      <c r="C951">
        <v>2013</v>
      </c>
      <c r="D951">
        <v>54437</v>
      </c>
      <c r="E951" t="s">
        <v>13</v>
      </c>
      <c r="F951" t="s">
        <v>18</v>
      </c>
      <c r="G951" t="s">
        <v>23</v>
      </c>
      <c r="H951">
        <v>3430</v>
      </c>
      <c r="I951">
        <v>287.89999999999998</v>
      </c>
      <c r="J951">
        <v>12.58</v>
      </c>
      <c r="K951">
        <v>2</v>
      </c>
      <c r="L951">
        <v>28007.19</v>
      </c>
    </row>
    <row r="952" spans="1:12" x14ac:dyDescent="0.3">
      <c r="A952">
        <v>951</v>
      </c>
      <c r="B952" t="s">
        <v>12</v>
      </c>
      <c r="C952">
        <v>2013</v>
      </c>
      <c r="D952">
        <v>185488</v>
      </c>
      <c r="E952" t="s">
        <v>13</v>
      </c>
      <c r="F952" t="s">
        <v>14</v>
      </c>
      <c r="G952" t="s">
        <v>15</v>
      </c>
      <c r="H952">
        <v>3961</v>
      </c>
      <c r="I952">
        <v>450</v>
      </c>
      <c r="J952">
        <v>14.82</v>
      </c>
      <c r="K952">
        <v>2</v>
      </c>
      <c r="L952">
        <v>26043.57</v>
      </c>
    </row>
    <row r="953" spans="1:12" x14ac:dyDescent="0.3">
      <c r="A953">
        <v>952</v>
      </c>
      <c r="B953" t="s">
        <v>25</v>
      </c>
      <c r="C953">
        <v>2019</v>
      </c>
      <c r="D953">
        <v>64711</v>
      </c>
      <c r="E953" t="s">
        <v>17</v>
      </c>
      <c r="F953" t="s">
        <v>18</v>
      </c>
      <c r="G953" t="s">
        <v>23</v>
      </c>
      <c r="H953">
        <v>1469</v>
      </c>
      <c r="I953">
        <v>170.5</v>
      </c>
      <c r="J953">
        <v>9.49</v>
      </c>
      <c r="K953">
        <v>2</v>
      </c>
      <c r="L953">
        <v>51292.72</v>
      </c>
    </row>
    <row r="954" spans="1:12" x14ac:dyDescent="0.3">
      <c r="A954">
        <v>953</v>
      </c>
      <c r="B954" t="s">
        <v>19</v>
      </c>
      <c r="C954">
        <v>2014</v>
      </c>
      <c r="D954">
        <v>142888</v>
      </c>
      <c r="E954" t="s">
        <v>22</v>
      </c>
      <c r="F954" t="s">
        <v>18</v>
      </c>
      <c r="G954" t="s">
        <v>15</v>
      </c>
      <c r="H954">
        <v>3968</v>
      </c>
      <c r="I954">
        <v>495.4</v>
      </c>
      <c r="J954">
        <v>19.45</v>
      </c>
      <c r="K954">
        <v>5</v>
      </c>
      <c r="L954">
        <v>29650.07</v>
      </c>
    </row>
    <row r="955" spans="1:12" x14ac:dyDescent="0.3">
      <c r="A955">
        <v>954</v>
      </c>
      <c r="B955" t="s">
        <v>24</v>
      </c>
      <c r="C955">
        <v>2014</v>
      </c>
      <c r="D955">
        <v>82175</v>
      </c>
      <c r="E955" t="s">
        <v>26</v>
      </c>
      <c r="F955" t="s">
        <v>14</v>
      </c>
      <c r="G955" t="s">
        <v>20</v>
      </c>
      <c r="H955">
        <v>2921</v>
      </c>
      <c r="I955">
        <v>369.5</v>
      </c>
      <c r="J955">
        <v>28.95</v>
      </c>
      <c r="K955">
        <v>7</v>
      </c>
      <c r="L955">
        <v>71311.42</v>
      </c>
    </row>
    <row r="956" spans="1:12" x14ac:dyDescent="0.3">
      <c r="A956">
        <v>955</v>
      </c>
      <c r="B956" t="s">
        <v>16</v>
      </c>
      <c r="C956">
        <v>2012</v>
      </c>
      <c r="D956">
        <v>69307</v>
      </c>
      <c r="E956" t="s">
        <v>17</v>
      </c>
      <c r="F956" t="s">
        <v>18</v>
      </c>
      <c r="G956" t="s">
        <v>23</v>
      </c>
      <c r="H956">
        <v>4878</v>
      </c>
      <c r="I956">
        <v>158</v>
      </c>
      <c r="J956">
        <v>17.579999999999998</v>
      </c>
      <c r="K956">
        <v>4</v>
      </c>
      <c r="L956">
        <v>46461.21</v>
      </c>
    </row>
    <row r="957" spans="1:12" x14ac:dyDescent="0.3">
      <c r="A957">
        <v>956</v>
      </c>
      <c r="B957" t="s">
        <v>29</v>
      </c>
      <c r="C957">
        <v>2020</v>
      </c>
      <c r="D957">
        <v>51733</v>
      </c>
      <c r="E957" t="s">
        <v>26</v>
      </c>
      <c r="F957" t="s">
        <v>18</v>
      </c>
      <c r="G957" t="s">
        <v>23</v>
      </c>
      <c r="H957">
        <v>4951</v>
      </c>
      <c r="I957">
        <v>172.6</v>
      </c>
      <c r="J957">
        <v>7.07</v>
      </c>
      <c r="K957">
        <v>4</v>
      </c>
      <c r="L957">
        <v>55522.67</v>
      </c>
    </row>
    <row r="958" spans="1:12" x14ac:dyDescent="0.3">
      <c r="A958">
        <v>957</v>
      </c>
      <c r="B958" t="s">
        <v>16</v>
      </c>
      <c r="C958">
        <v>2021</v>
      </c>
      <c r="D958">
        <v>133202</v>
      </c>
      <c r="E958" t="s">
        <v>17</v>
      </c>
      <c r="F958" t="s">
        <v>14</v>
      </c>
      <c r="G958" t="s">
        <v>23</v>
      </c>
      <c r="H958">
        <v>1519</v>
      </c>
      <c r="I958">
        <v>391.7</v>
      </c>
      <c r="J958">
        <v>20.5</v>
      </c>
      <c r="K958">
        <v>7</v>
      </c>
      <c r="L958">
        <v>65848.81</v>
      </c>
    </row>
    <row r="959" spans="1:12" x14ac:dyDescent="0.3">
      <c r="A959">
        <v>958</v>
      </c>
      <c r="B959" t="s">
        <v>12</v>
      </c>
      <c r="C959">
        <v>2009</v>
      </c>
      <c r="D959">
        <v>100028</v>
      </c>
      <c r="E959" t="s">
        <v>13</v>
      </c>
      <c r="F959" t="s">
        <v>18</v>
      </c>
      <c r="G959" t="s">
        <v>20</v>
      </c>
      <c r="H959">
        <v>3400</v>
      </c>
      <c r="I959">
        <v>504.8</v>
      </c>
      <c r="J959">
        <v>13.51</v>
      </c>
      <c r="K959">
        <v>7</v>
      </c>
      <c r="L959">
        <v>26813.66</v>
      </c>
    </row>
    <row r="960" spans="1:12" x14ac:dyDescent="0.3">
      <c r="A960">
        <v>959</v>
      </c>
      <c r="B960" t="s">
        <v>16</v>
      </c>
      <c r="C960">
        <v>2008</v>
      </c>
      <c r="D960">
        <v>147312</v>
      </c>
      <c r="E960" t="s">
        <v>17</v>
      </c>
      <c r="F960" t="s">
        <v>14</v>
      </c>
      <c r="G960" t="s">
        <v>23</v>
      </c>
      <c r="H960">
        <v>4398</v>
      </c>
      <c r="I960">
        <v>272.8</v>
      </c>
      <c r="J960">
        <v>26.4</v>
      </c>
      <c r="K960">
        <v>7</v>
      </c>
      <c r="L960">
        <v>21222.94</v>
      </c>
    </row>
    <row r="961" spans="1:12" x14ac:dyDescent="0.3">
      <c r="A961">
        <v>960</v>
      </c>
      <c r="B961" t="s">
        <v>27</v>
      </c>
      <c r="C961">
        <v>2022</v>
      </c>
      <c r="D961">
        <v>97493</v>
      </c>
      <c r="E961" t="s">
        <v>13</v>
      </c>
      <c r="F961" t="s">
        <v>14</v>
      </c>
      <c r="G961" t="s">
        <v>15</v>
      </c>
      <c r="H961">
        <v>1466</v>
      </c>
      <c r="I961">
        <v>184.6</v>
      </c>
      <c r="J961">
        <v>15.87</v>
      </c>
      <c r="K961">
        <v>7</v>
      </c>
      <c r="L961">
        <v>106009.36</v>
      </c>
    </row>
    <row r="962" spans="1:12" x14ac:dyDescent="0.3">
      <c r="A962">
        <v>961</v>
      </c>
      <c r="B962" t="s">
        <v>30</v>
      </c>
      <c r="C962">
        <v>2023</v>
      </c>
      <c r="D962">
        <v>130149</v>
      </c>
      <c r="E962" t="s">
        <v>17</v>
      </c>
      <c r="F962" t="s">
        <v>14</v>
      </c>
      <c r="G962" t="s">
        <v>15</v>
      </c>
      <c r="H962">
        <v>1083</v>
      </c>
      <c r="I962">
        <v>525.5</v>
      </c>
      <c r="J962">
        <v>9.82</v>
      </c>
      <c r="K962">
        <v>5</v>
      </c>
      <c r="L962">
        <v>53745.67</v>
      </c>
    </row>
    <row r="963" spans="1:12" x14ac:dyDescent="0.3">
      <c r="A963">
        <v>962</v>
      </c>
      <c r="B963" t="s">
        <v>29</v>
      </c>
      <c r="C963">
        <v>2008</v>
      </c>
      <c r="D963">
        <v>168834</v>
      </c>
      <c r="E963" t="s">
        <v>22</v>
      </c>
      <c r="F963" t="s">
        <v>18</v>
      </c>
      <c r="G963" t="s">
        <v>23</v>
      </c>
      <c r="H963">
        <v>4703</v>
      </c>
      <c r="I963">
        <v>414.8</v>
      </c>
      <c r="J963">
        <v>9.7799999999999994</v>
      </c>
      <c r="K963">
        <v>4</v>
      </c>
      <c r="L963">
        <v>51214.95</v>
      </c>
    </row>
    <row r="964" spans="1:12" x14ac:dyDescent="0.3">
      <c r="A964">
        <v>963</v>
      </c>
      <c r="B964" t="s">
        <v>21</v>
      </c>
      <c r="C964">
        <v>2011</v>
      </c>
      <c r="D964">
        <v>13259</v>
      </c>
      <c r="E964" t="s">
        <v>26</v>
      </c>
      <c r="F964" t="s">
        <v>14</v>
      </c>
      <c r="G964" t="s">
        <v>23</v>
      </c>
      <c r="H964">
        <v>4365</v>
      </c>
      <c r="I964">
        <v>290.89999999999998</v>
      </c>
      <c r="J964">
        <v>24.22</v>
      </c>
      <c r="K964">
        <v>6</v>
      </c>
      <c r="L964">
        <v>7166.62</v>
      </c>
    </row>
    <row r="965" spans="1:12" x14ac:dyDescent="0.3">
      <c r="A965">
        <v>964</v>
      </c>
      <c r="B965" t="s">
        <v>12</v>
      </c>
      <c r="C965">
        <v>2014</v>
      </c>
      <c r="D965">
        <v>186211</v>
      </c>
      <c r="E965" t="s">
        <v>22</v>
      </c>
      <c r="F965" t="s">
        <v>14</v>
      </c>
      <c r="G965" t="s">
        <v>20</v>
      </c>
      <c r="H965">
        <v>3034</v>
      </c>
      <c r="I965">
        <v>313.2</v>
      </c>
      <c r="J965">
        <v>11.64</v>
      </c>
      <c r="K965">
        <v>4</v>
      </c>
      <c r="L965">
        <v>61263.23</v>
      </c>
    </row>
    <row r="966" spans="1:12" x14ac:dyDescent="0.3">
      <c r="A966">
        <v>965</v>
      </c>
      <c r="B966" t="s">
        <v>29</v>
      </c>
      <c r="C966">
        <v>2022</v>
      </c>
      <c r="D966">
        <v>133775</v>
      </c>
      <c r="E966" t="s">
        <v>17</v>
      </c>
      <c r="F966" t="s">
        <v>18</v>
      </c>
      <c r="G966" t="s">
        <v>20</v>
      </c>
      <c r="H966">
        <v>2265</v>
      </c>
      <c r="I966">
        <v>154.4</v>
      </c>
      <c r="J966">
        <v>24.18</v>
      </c>
      <c r="K966">
        <v>4</v>
      </c>
      <c r="L966">
        <v>67837.86</v>
      </c>
    </row>
    <row r="967" spans="1:12" x14ac:dyDescent="0.3">
      <c r="A967">
        <v>966</v>
      </c>
      <c r="B967" t="s">
        <v>16</v>
      </c>
      <c r="C967">
        <v>2023</v>
      </c>
      <c r="D967">
        <v>19849</v>
      </c>
      <c r="E967" t="s">
        <v>17</v>
      </c>
      <c r="F967" t="s">
        <v>14</v>
      </c>
      <c r="G967" t="s">
        <v>20</v>
      </c>
      <c r="H967">
        <v>929</v>
      </c>
      <c r="I967">
        <v>391</v>
      </c>
      <c r="J967">
        <v>10.15</v>
      </c>
      <c r="K967">
        <v>2</v>
      </c>
      <c r="L967">
        <v>68384.38</v>
      </c>
    </row>
    <row r="968" spans="1:12" x14ac:dyDescent="0.3">
      <c r="A968">
        <v>967</v>
      </c>
      <c r="B968" t="s">
        <v>27</v>
      </c>
      <c r="C968">
        <v>2008</v>
      </c>
      <c r="D968">
        <v>86768</v>
      </c>
      <c r="E968" t="s">
        <v>17</v>
      </c>
      <c r="F968" t="s">
        <v>18</v>
      </c>
      <c r="G968" t="s">
        <v>23</v>
      </c>
      <c r="H968">
        <v>2860</v>
      </c>
      <c r="I968">
        <v>240.9</v>
      </c>
      <c r="J968">
        <v>13.04</v>
      </c>
      <c r="K968">
        <v>7</v>
      </c>
      <c r="L968">
        <v>85722.65</v>
      </c>
    </row>
    <row r="969" spans="1:12" x14ac:dyDescent="0.3">
      <c r="A969">
        <v>968</v>
      </c>
      <c r="B969" t="s">
        <v>28</v>
      </c>
      <c r="C969">
        <v>2014</v>
      </c>
      <c r="D969">
        <v>111108</v>
      </c>
      <c r="E969" t="s">
        <v>13</v>
      </c>
      <c r="F969" t="s">
        <v>18</v>
      </c>
      <c r="G969" t="s">
        <v>20</v>
      </c>
      <c r="H969">
        <v>4472</v>
      </c>
      <c r="I969">
        <v>597.6</v>
      </c>
      <c r="J969">
        <v>16.64</v>
      </c>
      <c r="K969">
        <v>7</v>
      </c>
      <c r="L969">
        <v>23765.37</v>
      </c>
    </row>
    <row r="970" spans="1:12" x14ac:dyDescent="0.3">
      <c r="A970">
        <v>969</v>
      </c>
      <c r="B970" t="s">
        <v>24</v>
      </c>
      <c r="C970">
        <v>2005</v>
      </c>
      <c r="D970">
        <v>94709</v>
      </c>
      <c r="E970" t="s">
        <v>26</v>
      </c>
      <c r="F970" t="s">
        <v>18</v>
      </c>
      <c r="G970" t="s">
        <v>20</v>
      </c>
      <c r="H970">
        <v>3294</v>
      </c>
      <c r="I970">
        <v>308.89999999999998</v>
      </c>
      <c r="J970">
        <v>28.58</v>
      </c>
      <c r="K970">
        <v>7</v>
      </c>
      <c r="L970">
        <v>32510.11</v>
      </c>
    </row>
    <row r="971" spans="1:12" x14ac:dyDescent="0.3">
      <c r="A971">
        <v>970</v>
      </c>
      <c r="B971" t="s">
        <v>21</v>
      </c>
      <c r="C971">
        <v>2022</v>
      </c>
      <c r="D971">
        <v>59869</v>
      </c>
      <c r="E971" t="s">
        <v>26</v>
      </c>
      <c r="F971" t="s">
        <v>18</v>
      </c>
      <c r="G971" t="s">
        <v>15</v>
      </c>
      <c r="H971">
        <v>1792</v>
      </c>
      <c r="I971">
        <v>312.10000000000002</v>
      </c>
      <c r="J971">
        <v>28.29</v>
      </c>
      <c r="K971">
        <v>2</v>
      </c>
      <c r="L971">
        <v>97855.46</v>
      </c>
    </row>
    <row r="972" spans="1:12" x14ac:dyDescent="0.3">
      <c r="A972">
        <v>971</v>
      </c>
      <c r="B972" t="s">
        <v>24</v>
      </c>
      <c r="C972">
        <v>2009</v>
      </c>
      <c r="D972">
        <v>131888</v>
      </c>
      <c r="E972" t="s">
        <v>17</v>
      </c>
      <c r="F972" t="s">
        <v>14</v>
      </c>
      <c r="G972" t="s">
        <v>20</v>
      </c>
      <c r="H972">
        <v>2921</v>
      </c>
      <c r="I972">
        <v>356.9</v>
      </c>
      <c r="J972">
        <v>10.17</v>
      </c>
      <c r="K972">
        <v>5</v>
      </c>
      <c r="L972">
        <v>113818.96</v>
      </c>
    </row>
    <row r="973" spans="1:12" x14ac:dyDescent="0.3">
      <c r="A973">
        <v>972</v>
      </c>
      <c r="B973" t="s">
        <v>29</v>
      </c>
      <c r="C973">
        <v>2019</v>
      </c>
      <c r="D973">
        <v>68095</v>
      </c>
      <c r="E973" t="s">
        <v>17</v>
      </c>
      <c r="F973" t="s">
        <v>14</v>
      </c>
      <c r="G973" t="s">
        <v>15</v>
      </c>
      <c r="H973">
        <v>3384</v>
      </c>
      <c r="I973">
        <v>553.4</v>
      </c>
      <c r="J973">
        <v>13.96</v>
      </c>
      <c r="K973">
        <v>5</v>
      </c>
      <c r="L973">
        <v>18904.13</v>
      </c>
    </row>
    <row r="974" spans="1:12" x14ac:dyDescent="0.3">
      <c r="A974">
        <v>973</v>
      </c>
      <c r="B974" t="s">
        <v>27</v>
      </c>
      <c r="C974">
        <v>2021</v>
      </c>
      <c r="D974">
        <v>122886</v>
      </c>
      <c r="E974" t="s">
        <v>13</v>
      </c>
      <c r="F974" t="s">
        <v>14</v>
      </c>
      <c r="G974" t="s">
        <v>15</v>
      </c>
      <c r="H974">
        <v>4996</v>
      </c>
      <c r="I974">
        <v>488.5</v>
      </c>
      <c r="J974">
        <v>8.73</v>
      </c>
      <c r="K974">
        <v>6</v>
      </c>
      <c r="L974">
        <v>61225</v>
      </c>
    </row>
    <row r="975" spans="1:12" x14ac:dyDescent="0.3">
      <c r="A975">
        <v>974</v>
      </c>
      <c r="B975" t="s">
        <v>27</v>
      </c>
      <c r="C975">
        <v>2007</v>
      </c>
      <c r="D975">
        <v>75910</v>
      </c>
      <c r="E975" t="s">
        <v>22</v>
      </c>
      <c r="F975" t="s">
        <v>14</v>
      </c>
      <c r="G975" t="s">
        <v>20</v>
      </c>
      <c r="H975">
        <v>3023</v>
      </c>
      <c r="I975">
        <v>292.60000000000002</v>
      </c>
      <c r="J975">
        <v>17.75</v>
      </c>
      <c r="K975">
        <v>5</v>
      </c>
      <c r="L975">
        <v>28058.62</v>
      </c>
    </row>
    <row r="976" spans="1:12" x14ac:dyDescent="0.3">
      <c r="A976">
        <v>975</v>
      </c>
      <c r="B976" t="s">
        <v>16</v>
      </c>
      <c r="C976">
        <v>2016</v>
      </c>
      <c r="D976">
        <v>28567</v>
      </c>
      <c r="E976" t="s">
        <v>22</v>
      </c>
      <c r="F976" t="s">
        <v>14</v>
      </c>
      <c r="G976" t="s">
        <v>15</v>
      </c>
      <c r="H976">
        <v>3988</v>
      </c>
      <c r="I976">
        <v>442.5</v>
      </c>
      <c r="J976">
        <v>16.510000000000002</v>
      </c>
      <c r="K976">
        <v>5</v>
      </c>
      <c r="L976">
        <v>10028.56</v>
      </c>
    </row>
    <row r="977" spans="1:12" x14ac:dyDescent="0.3">
      <c r="A977">
        <v>976</v>
      </c>
      <c r="B977" t="s">
        <v>19</v>
      </c>
      <c r="C977">
        <v>2006</v>
      </c>
      <c r="D977">
        <v>40292</v>
      </c>
      <c r="E977" t="s">
        <v>26</v>
      </c>
      <c r="F977" t="s">
        <v>18</v>
      </c>
      <c r="G977" t="s">
        <v>23</v>
      </c>
      <c r="H977">
        <v>4037</v>
      </c>
      <c r="I977">
        <v>368.3</v>
      </c>
      <c r="J977">
        <v>27.52</v>
      </c>
      <c r="K977">
        <v>7</v>
      </c>
      <c r="L977">
        <v>41083.89</v>
      </c>
    </row>
    <row r="978" spans="1:12" x14ac:dyDescent="0.3">
      <c r="A978">
        <v>977</v>
      </c>
      <c r="B978" t="s">
        <v>16</v>
      </c>
      <c r="C978">
        <v>2005</v>
      </c>
      <c r="D978">
        <v>79813</v>
      </c>
      <c r="E978" t="s">
        <v>13</v>
      </c>
      <c r="F978" t="s">
        <v>14</v>
      </c>
      <c r="G978" t="s">
        <v>23</v>
      </c>
      <c r="H978">
        <v>4936</v>
      </c>
      <c r="I978">
        <v>315.7</v>
      </c>
      <c r="J978">
        <v>28.25</v>
      </c>
      <c r="K978">
        <v>4</v>
      </c>
      <c r="L978">
        <v>19811.45</v>
      </c>
    </row>
    <row r="979" spans="1:12" x14ac:dyDescent="0.3">
      <c r="A979">
        <v>978</v>
      </c>
      <c r="B979" t="s">
        <v>19</v>
      </c>
      <c r="C979">
        <v>2021</v>
      </c>
      <c r="D979">
        <v>102136</v>
      </c>
      <c r="E979" t="s">
        <v>17</v>
      </c>
      <c r="F979" t="s">
        <v>14</v>
      </c>
      <c r="G979" t="s">
        <v>20</v>
      </c>
      <c r="H979">
        <v>1143</v>
      </c>
      <c r="I979">
        <v>147.69999999999999</v>
      </c>
      <c r="J979">
        <v>14.59</v>
      </c>
      <c r="K979">
        <v>5</v>
      </c>
      <c r="L979">
        <v>86062.17</v>
      </c>
    </row>
    <row r="980" spans="1:12" x14ac:dyDescent="0.3">
      <c r="A980">
        <v>979</v>
      </c>
      <c r="B980" t="s">
        <v>19</v>
      </c>
      <c r="C980">
        <v>2020</v>
      </c>
      <c r="D980">
        <v>56631</v>
      </c>
      <c r="E980" t="s">
        <v>26</v>
      </c>
      <c r="F980" t="s">
        <v>14</v>
      </c>
      <c r="G980" t="s">
        <v>23</v>
      </c>
      <c r="H980">
        <v>3076</v>
      </c>
      <c r="I980">
        <v>299.8</v>
      </c>
      <c r="J980">
        <v>17.29</v>
      </c>
      <c r="K980">
        <v>5</v>
      </c>
      <c r="L980">
        <v>65445.87</v>
      </c>
    </row>
    <row r="981" spans="1:12" x14ac:dyDescent="0.3">
      <c r="A981">
        <v>980</v>
      </c>
      <c r="B981" t="s">
        <v>21</v>
      </c>
      <c r="C981">
        <v>2009</v>
      </c>
      <c r="D981">
        <v>14885</v>
      </c>
      <c r="E981" t="s">
        <v>13</v>
      </c>
      <c r="F981" t="s">
        <v>18</v>
      </c>
      <c r="G981" t="s">
        <v>15</v>
      </c>
      <c r="H981">
        <v>4001</v>
      </c>
      <c r="I981">
        <v>177.7</v>
      </c>
      <c r="J981">
        <v>27.41</v>
      </c>
      <c r="K981">
        <v>2</v>
      </c>
      <c r="L981">
        <v>19828.63</v>
      </c>
    </row>
    <row r="982" spans="1:12" x14ac:dyDescent="0.3">
      <c r="A982">
        <v>981</v>
      </c>
      <c r="B982" t="s">
        <v>16</v>
      </c>
      <c r="C982">
        <v>2019</v>
      </c>
      <c r="D982">
        <v>195731</v>
      </c>
      <c r="E982" t="s">
        <v>22</v>
      </c>
      <c r="F982" t="s">
        <v>18</v>
      </c>
      <c r="G982" t="s">
        <v>23</v>
      </c>
      <c r="H982">
        <v>1688</v>
      </c>
      <c r="I982">
        <v>552.29999999999995</v>
      </c>
      <c r="J982">
        <v>25.17</v>
      </c>
      <c r="K982">
        <v>6</v>
      </c>
      <c r="L982">
        <v>4081.27</v>
      </c>
    </row>
    <row r="983" spans="1:12" x14ac:dyDescent="0.3">
      <c r="A983">
        <v>982</v>
      </c>
      <c r="B983" t="s">
        <v>28</v>
      </c>
      <c r="C983">
        <v>2007</v>
      </c>
      <c r="D983">
        <v>190378</v>
      </c>
      <c r="E983" t="s">
        <v>13</v>
      </c>
      <c r="F983" t="s">
        <v>14</v>
      </c>
      <c r="G983" t="s">
        <v>20</v>
      </c>
      <c r="H983">
        <v>2843</v>
      </c>
      <c r="I983">
        <v>227.8</v>
      </c>
      <c r="J983">
        <v>5.09</v>
      </c>
      <c r="K983">
        <v>2</v>
      </c>
      <c r="L983">
        <v>97554.37</v>
      </c>
    </row>
    <row r="984" spans="1:12" x14ac:dyDescent="0.3">
      <c r="A984">
        <v>983</v>
      </c>
      <c r="B984" t="s">
        <v>25</v>
      </c>
      <c r="C984">
        <v>2011</v>
      </c>
      <c r="D984">
        <v>71314</v>
      </c>
      <c r="E984" t="s">
        <v>22</v>
      </c>
      <c r="F984" t="s">
        <v>18</v>
      </c>
      <c r="G984" t="s">
        <v>20</v>
      </c>
      <c r="H984">
        <v>2141</v>
      </c>
      <c r="I984">
        <v>573.29999999999995</v>
      </c>
      <c r="J984">
        <v>13</v>
      </c>
      <c r="K984">
        <v>7</v>
      </c>
      <c r="L984">
        <v>23614.75</v>
      </c>
    </row>
    <row r="985" spans="1:12" x14ac:dyDescent="0.3">
      <c r="A985">
        <v>984</v>
      </c>
      <c r="B985" t="s">
        <v>25</v>
      </c>
      <c r="C985">
        <v>2015</v>
      </c>
      <c r="D985">
        <v>70087</v>
      </c>
      <c r="E985" t="s">
        <v>13</v>
      </c>
      <c r="F985" t="s">
        <v>14</v>
      </c>
      <c r="G985" t="s">
        <v>15</v>
      </c>
      <c r="H985">
        <v>4520</v>
      </c>
      <c r="I985">
        <v>338.5</v>
      </c>
      <c r="J985">
        <v>15.54</v>
      </c>
      <c r="K985">
        <v>4</v>
      </c>
      <c r="L985">
        <v>73927.350000000006</v>
      </c>
    </row>
    <row r="986" spans="1:12" x14ac:dyDescent="0.3">
      <c r="A986">
        <v>985</v>
      </c>
      <c r="B986" t="s">
        <v>16</v>
      </c>
      <c r="C986">
        <v>2014</v>
      </c>
      <c r="D986">
        <v>165237</v>
      </c>
      <c r="E986" t="s">
        <v>26</v>
      </c>
      <c r="F986" t="s">
        <v>14</v>
      </c>
      <c r="G986" t="s">
        <v>20</v>
      </c>
      <c r="H986">
        <v>3683</v>
      </c>
      <c r="I986">
        <v>393.7</v>
      </c>
      <c r="J986">
        <v>10.74</v>
      </c>
      <c r="K986">
        <v>6</v>
      </c>
      <c r="L986">
        <v>42419.86</v>
      </c>
    </row>
    <row r="987" spans="1:12" x14ac:dyDescent="0.3">
      <c r="A987">
        <v>986</v>
      </c>
      <c r="B987" t="s">
        <v>16</v>
      </c>
      <c r="C987">
        <v>2013</v>
      </c>
      <c r="D987">
        <v>195001</v>
      </c>
      <c r="E987" t="s">
        <v>22</v>
      </c>
      <c r="F987" t="s">
        <v>18</v>
      </c>
      <c r="G987" t="s">
        <v>23</v>
      </c>
      <c r="H987">
        <v>3215</v>
      </c>
      <c r="I987">
        <v>344</v>
      </c>
      <c r="J987">
        <v>9.99</v>
      </c>
      <c r="K987">
        <v>2</v>
      </c>
      <c r="L987">
        <v>71501.850000000006</v>
      </c>
    </row>
    <row r="988" spans="1:12" x14ac:dyDescent="0.3">
      <c r="A988">
        <v>987</v>
      </c>
      <c r="B988" t="s">
        <v>24</v>
      </c>
      <c r="C988">
        <v>2018</v>
      </c>
      <c r="D988">
        <v>100998</v>
      </c>
      <c r="E988" t="s">
        <v>26</v>
      </c>
      <c r="F988" t="s">
        <v>18</v>
      </c>
      <c r="G988" t="s">
        <v>20</v>
      </c>
      <c r="H988">
        <v>1917</v>
      </c>
      <c r="I988">
        <v>112.5</v>
      </c>
      <c r="J988">
        <v>5.94</v>
      </c>
      <c r="K988">
        <v>5</v>
      </c>
      <c r="L988">
        <v>39931.47</v>
      </c>
    </row>
    <row r="989" spans="1:12" x14ac:dyDescent="0.3">
      <c r="A989">
        <v>988</v>
      </c>
      <c r="B989" t="s">
        <v>21</v>
      </c>
      <c r="C989">
        <v>2017</v>
      </c>
      <c r="D989">
        <v>54812</v>
      </c>
      <c r="E989" t="s">
        <v>26</v>
      </c>
      <c r="F989" t="s">
        <v>14</v>
      </c>
      <c r="G989" t="s">
        <v>15</v>
      </c>
      <c r="H989">
        <v>3801</v>
      </c>
      <c r="I989">
        <v>250.5</v>
      </c>
      <c r="J989">
        <v>21.08</v>
      </c>
      <c r="K989">
        <v>5</v>
      </c>
      <c r="L989">
        <v>13171.93</v>
      </c>
    </row>
    <row r="990" spans="1:12" x14ac:dyDescent="0.3">
      <c r="A990">
        <v>989</v>
      </c>
      <c r="B990" t="s">
        <v>16</v>
      </c>
      <c r="C990">
        <v>2006</v>
      </c>
      <c r="D990">
        <v>186572</v>
      </c>
      <c r="E990" t="s">
        <v>22</v>
      </c>
      <c r="F990" t="s">
        <v>14</v>
      </c>
      <c r="G990" t="s">
        <v>20</v>
      </c>
      <c r="H990">
        <v>2538</v>
      </c>
      <c r="I990">
        <v>95.5</v>
      </c>
      <c r="J990">
        <v>11.56</v>
      </c>
      <c r="K990">
        <v>6</v>
      </c>
      <c r="L990">
        <v>29085.15</v>
      </c>
    </row>
    <row r="991" spans="1:12" x14ac:dyDescent="0.3">
      <c r="A991">
        <v>990</v>
      </c>
      <c r="B991" t="s">
        <v>24</v>
      </c>
      <c r="C991">
        <v>2007</v>
      </c>
      <c r="D991">
        <v>63643</v>
      </c>
      <c r="E991" t="s">
        <v>22</v>
      </c>
      <c r="F991" t="s">
        <v>18</v>
      </c>
      <c r="G991" t="s">
        <v>23</v>
      </c>
      <c r="H991">
        <v>2164</v>
      </c>
      <c r="I991">
        <v>388.9</v>
      </c>
      <c r="J991">
        <v>6.31</v>
      </c>
      <c r="K991">
        <v>5</v>
      </c>
      <c r="L991">
        <v>25002.85</v>
      </c>
    </row>
    <row r="992" spans="1:12" x14ac:dyDescent="0.3">
      <c r="A992">
        <v>991</v>
      </c>
      <c r="B992" t="s">
        <v>19</v>
      </c>
      <c r="C992">
        <v>2011</v>
      </c>
      <c r="D992">
        <v>49900</v>
      </c>
      <c r="E992" t="s">
        <v>17</v>
      </c>
      <c r="F992" t="s">
        <v>14</v>
      </c>
      <c r="G992" t="s">
        <v>15</v>
      </c>
      <c r="H992">
        <v>3508</v>
      </c>
      <c r="I992">
        <v>290.2</v>
      </c>
      <c r="J992">
        <v>10.77</v>
      </c>
      <c r="K992">
        <v>2</v>
      </c>
      <c r="L992">
        <v>53078.26</v>
      </c>
    </row>
    <row r="993" spans="1:12" x14ac:dyDescent="0.3">
      <c r="A993">
        <v>992</v>
      </c>
      <c r="B993" t="s">
        <v>27</v>
      </c>
      <c r="C993">
        <v>2022</v>
      </c>
      <c r="D993">
        <v>179018</v>
      </c>
      <c r="E993" t="s">
        <v>17</v>
      </c>
      <c r="F993" t="s">
        <v>18</v>
      </c>
      <c r="G993" t="s">
        <v>23</v>
      </c>
      <c r="H993">
        <v>1724</v>
      </c>
      <c r="I993">
        <v>475.7</v>
      </c>
      <c r="J993">
        <v>25.05</v>
      </c>
      <c r="K993">
        <v>2</v>
      </c>
      <c r="L993">
        <v>80019.199999999997</v>
      </c>
    </row>
    <row r="994" spans="1:12" x14ac:dyDescent="0.3">
      <c r="A994">
        <v>993</v>
      </c>
      <c r="B994" t="s">
        <v>27</v>
      </c>
      <c r="C994">
        <v>2007</v>
      </c>
      <c r="D994">
        <v>143923</v>
      </c>
      <c r="E994" t="s">
        <v>17</v>
      </c>
      <c r="F994" t="s">
        <v>14</v>
      </c>
      <c r="G994" t="s">
        <v>15</v>
      </c>
      <c r="H994">
        <v>951</v>
      </c>
      <c r="I994">
        <v>163.5</v>
      </c>
      <c r="J994">
        <v>26.29</v>
      </c>
      <c r="K994">
        <v>5</v>
      </c>
      <c r="L994">
        <v>33865.31</v>
      </c>
    </row>
    <row r="995" spans="1:12" x14ac:dyDescent="0.3">
      <c r="A995">
        <v>994</v>
      </c>
      <c r="B995" t="s">
        <v>19</v>
      </c>
      <c r="C995">
        <v>2014</v>
      </c>
      <c r="D995">
        <v>21288</v>
      </c>
      <c r="E995" t="s">
        <v>26</v>
      </c>
      <c r="F995" t="s">
        <v>18</v>
      </c>
      <c r="G995" t="s">
        <v>20</v>
      </c>
      <c r="H995">
        <v>1385</v>
      </c>
      <c r="I995">
        <v>132.19999999999999</v>
      </c>
      <c r="J995">
        <v>17.079999999999998</v>
      </c>
      <c r="K995">
        <v>5</v>
      </c>
      <c r="L995">
        <v>4412.18</v>
      </c>
    </row>
    <row r="996" spans="1:12" x14ac:dyDescent="0.3">
      <c r="A996">
        <v>995</v>
      </c>
      <c r="B996" t="s">
        <v>12</v>
      </c>
      <c r="C996">
        <v>2011</v>
      </c>
      <c r="D996">
        <v>77692</v>
      </c>
      <c r="E996" t="s">
        <v>26</v>
      </c>
      <c r="F996" t="s">
        <v>14</v>
      </c>
      <c r="G996" t="s">
        <v>15</v>
      </c>
      <c r="H996">
        <v>1712</v>
      </c>
      <c r="I996">
        <v>267.5</v>
      </c>
      <c r="J996">
        <v>15.4</v>
      </c>
      <c r="K996">
        <v>7</v>
      </c>
      <c r="L996">
        <v>63715.67</v>
      </c>
    </row>
    <row r="997" spans="1:12" x14ac:dyDescent="0.3">
      <c r="A997">
        <v>996</v>
      </c>
      <c r="B997" t="s">
        <v>24</v>
      </c>
      <c r="C997">
        <v>2013</v>
      </c>
      <c r="D997">
        <v>143440</v>
      </c>
      <c r="E997" t="s">
        <v>17</v>
      </c>
      <c r="F997" t="s">
        <v>14</v>
      </c>
      <c r="G997" t="s">
        <v>15</v>
      </c>
      <c r="H997">
        <v>3121</v>
      </c>
      <c r="I997">
        <v>558.9</v>
      </c>
      <c r="J997">
        <v>29.45</v>
      </c>
      <c r="K997">
        <v>4</v>
      </c>
      <c r="L997">
        <v>73873.86</v>
      </c>
    </row>
    <row r="998" spans="1:12" x14ac:dyDescent="0.3">
      <c r="A998">
        <v>997</v>
      </c>
      <c r="B998" t="s">
        <v>24</v>
      </c>
      <c r="C998">
        <v>2021</v>
      </c>
      <c r="D998">
        <v>90436</v>
      </c>
      <c r="E998" t="s">
        <v>26</v>
      </c>
      <c r="F998" t="s">
        <v>18</v>
      </c>
      <c r="G998" t="s">
        <v>20</v>
      </c>
      <c r="H998">
        <v>1295</v>
      </c>
      <c r="I998">
        <v>437.8</v>
      </c>
      <c r="J998">
        <v>10.01</v>
      </c>
      <c r="K998">
        <v>6</v>
      </c>
      <c r="L998">
        <v>115655.85</v>
      </c>
    </row>
    <row r="999" spans="1:12" x14ac:dyDescent="0.3">
      <c r="A999">
        <v>998</v>
      </c>
      <c r="B999" t="s">
        <v>19</v>
      </c>
      <c r="C999">
        <v>2015</v>
      </c>
      <c r="D999">
        <v>51403</v>
      </c>
      <c r="E999" t="s">
        <v>26</v>
      </c>
      <c r="F999" t="s">
        <v>14</v>
      </c>
      <c r="G999" t="s">
        <v>23</v>
      </c>
      <c r="H999">
        <v>4595</v>
      </c>
      <c r="I999">
        <v>274.60000000000002</v>
      </c>
      <c r="J999">
        <v>10.38</v>
      </c>
      <c r="K999">
        <v>2</v>
      </c>
      <c r="L999">
        <v>71968.08</v>
      </c>
    </row>
    <row r="1000" spans="1:12" x14ac:dyDescent="0.3">
      <c r="A1000">
        <v>999</v>
      </c>
      <c r="B1000" t="s">
        <v>28</v>
      </c>
      <c r="C1000">
        <v>2011</v>
      </c>
      <c r="D1000">
        <v>96170</v>
      </c>
      <c r="E1000" t="s">
        <v>22</v>
      </c>
      <c r="F1000" t="s">
        <v>14</v>
      </c>
      <c r="G1000" t="s">
        <v>20</v>
      </c>
      <c r="H1000">
        <v>2948</v>
      </c>
      <c r="I1000">
        <v>329.7</v>
      </c>
      <c r="J1000">
        <v>12.3</v>
      </c>
      <c r="K1000">
        <v>6</v>
      </c>
      <c r="L1000">
        <v>58127.19</v>
      </c>
    </row>
    <row r="1001" spans="1:12" x14ac:dyDescent="0.3">
      <c r="A1001">
        <v>1000</v>
      </c>
      <c r="B1001" t="s">
        <v>30</v>
      </c>
      <c r="C1001">
        <v>2018</v>
      </c>
      <c r="D1001">
        <v>14168</v>
      </c>
      <c r="E1001" t="s">
        <v>22</v>
      </c>
      <c r="F1001" t="s">
        <v>18</v>
      </c>
      <c r="G1001" t="s">
        <v>15</v>
      </c>
      <c r="H1001">
        <v>1356</v>
      </c>
      <c r="I1001">
        <v>87.2</v>
      </c>
      <c r="J1001">
        <v>9.32</v>
      </c>
      <c r="K1001">
        <v>7</v>
      </c>
      <c r="L1001">
        <v>70087.990000000005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903D-8542-4799-907E-6541D4C98CB8}">
  <dimension ref="A1:S1001"/>
  <sheetViews>
    <sheetView tabSelected="1" workbookViewId="0">
      <selection activeCell="A9" sqref="A9"/>
    </sheetView>
  </sheetViews>
  <sheetFormatPr defaultRowHeight="14.4" x14ac:dyDescent="0.3"/>
  <cols>
    <col min="12" max="12" width="11" style="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 x14ac:dyDescent="0.3">
      <c r="A2">
        <v>1</v>
      </c>
      <c r="B2" t="s">
        <v>12</v>
      </c>
      <c r="C2">
        <v>2005</v>
      </c>
      <c r="D2">
        <v>197018</v>
      </c>
      <c r="E2" t="s">
        <v>13</v>
      </c>
      <c r="F2" t="s">
        <v>14</v>
      </c>
      <c r="G2" t="s">
        <v>15</v>
      </c>
      <c r="H2">
        <v>4046</v>
      </c>
      <c r="I2">
        <v>223.6</v>
      </c>
      <c r="J2" s="2">
        <v>29.61</v>
      </c>
      <c r="K2">
        <v>6</v>
      </c>
      <c r="L2" s="1">
        <v>119611.94</v>
      </c>
      <c r="M2">
        <f>2024-C2</f>
        <v>19</v>
      </c>
      <c r="N2">
        <f>IF(M2&gt;0, L2/M2, L2)</f>
        <v>6295.3652631578952</v>
      </c>
      <c r="O2">
        <f>IF(M2&gt;0, D2/M2, D2)</f>
        <v>10369.368421052632</v>
      </c>
      <c r="P2">
        <f>IF(H2&gt;0, I2/(H2/1000), 0)</f>
        <v>55.264458724666333</v>
      </c>
      <c r="Q2" t="str">
        <f>IF(M2&lt;=3, "New (0-3 years)",
   IF(M2&lt;=7, "Recent (4-7 years)",
   IF(M2&lt;=12, "Mature (8-12 years)",
   "Old (12+ years)")))</f>
        <v>Old (12+ years)</v>
      </c>
      <c r="R2" t="str">
        <f>IF(J2&gt;=25, "Excellent",
   IF(J2&gt;=20, "Good",
   IF(J2&gt;=15, "Average",
   "Low")))</f>
        <v>Excellent</v>
      </c>
      <c r="S2" t="str">
        <f>IF(I2&gt;=200, "Very High",
   IF(I2&gt;=150, "High",
   IF(I2&gt;=100, "Medium",
   "Low")))</f>
        <v>Very High</v>
      </c>
    </row>
    <row r="3" spans="1:19" x14ac:dyDescent="0.3">
      <c r="A3">
        <v>2</v>
      </c>
      <c r="B3" t="s">
        <v>16</v>
      </c>
      <c r="C3">
        <v>2019</v>
      </c>
      <c r="D3">
        <v>43467</v>
      </c>
      <c r="E3" t="s">
        <v>17</v>
      </c>
      <c r="F3" t="s">
        <v>18</v>
      </c>
      <c r="G3" t="s">
        <v>15</v>
      </c>
      <c r="H3">
        <v>3731</v>
      </c>
      <c r="I3">
        <v>248.4</v>
      </c>
      <c r="J3" s="2">
        <v>21.66</v>
      </c>
      <c r="K3">
        <v>5</v>
      </c>
      <c r="L3" s="1">
        <v>90842.46</v>
      </c>
      <c r="M3">
        <f t="shared" ref="M3:M66" si="0">2024-C3</f>
        <v>5</v>
      </c>
      <c r="N3">
        <f t="shared" ref="N3:N66" si="1">IF(M3&gt;0, L3/M3, L3)</f>
        <v>18168.492000000002</v>
      </c>
      <c r="O3">
        <f t="shared" ref="O3:O66" si="2">IF(M3&gt;0, D3/M3, D3)</f>
        <v>8693.4</v>
      </c>
      <c r="P3">
        <f t="shared" ref="P3:P66" si="3">IF(H3&gt;0, I3/(H3/1000), 0)</f>
        <v>66.57732511391049</v>
      </c>
      <c r="Q3" t="str">
        <f t="shared" ref="Q3:Q66" si="4">IF(M3&lt;=3, "New (0-3 years)",
   IF(M3&lt;=7, "Recent (4-7 years)",
   IF(M3&lt;=12, "Mature (8-12 years)",
   "Old (12+ years)")))</f>
        <v>Recent (4-7 years)</v>
      </c>
      <c r="R3" t="str">
        <f t="shared" ref="R3:R66" si="5">IF(J3&gt;=25, "Excellent",
   IF(J3&gt;=20, "Good",
   IF(J3&gt;=15, "Average",
   "Low")))</f>
        <v>Good</v>
      </c>
      <c r="S3" t="str">
        <f t="shared" ref="S3:S66" si="6">IF(I3&gt;=200, "Very High",
   IF(I3&gt;=150, "High",
   IF(I3&gt;=100, "Medium",
   "Low")))</f>
        <v>Very High</v>
      </c>
    </row>
    <row r="4" spans="1:19" x14ac:dyDescent="0.3">
      <c r="A4">
        <v>3</v>
      </c>
      <c r="B4" t="s">
        <v>19</v>
      </c>
      <c r="C4">
        <v>2012</v>
      </c>
      <c r="D4">
        <v>153697</v>
      </c>
      <c r="E4" t="s">
        <v>17</v>
      </c>
      <c r="F4" t="s">
        <v>18</v>
      </c>
      <c r="G4" t="s">
        <v>20</v>
      </c>
      <c r="H4">
        <v>4925</v>
      </c>
      <c r="I4">
        <v>465.5</v>
      </c>
      <c r="J4" s="2">
        <v>12.14</v>
      </c>
      <c r="K4">
        <v>6</v>
      </c>
      <c r="L4" s="1">
        <v>78432.240000000005</v>
      </c>
      <c r="M4">
        <f t="shared" si="0"/>
        <v>12</v>
      </c>
      <c r="N4">
        <f t="shared" si="1"/>
        <v>6536.02</v>
      </c>
      <c r="O4">
        <f t="shared" si="2"/>
        <v>12808.083333333334</v>
      </c>
      <c r="P4">
        <f t="shared" si="3"/>
        <v>94.517766497461935</v>
      </c>
      <c r="Q4" t="str">
        <f t="shared" si="4"/>
        <v>Mature (8-12 years)</v>
      </c>
      <c r="R4" t="str">
        <f t="shared" si="5"/>
        <v>Low</v>
      </c>
      <c r="S4" t="str">
        <f t="shared" si="6"/>
        <v>Very High</v>
      </c>
    </row>
    <row r="5" spans="1:19" x14ac:dyDescent="0.3">
      <c r="A5">
        <v>4</v>
      </c>
      <c r="B5" t="s">
        <v>21</v>
      </c>
      <c r="C5">
        <v>2015</v>
      </c>
      <c r="D5">
        <v>38893</v>
      </c>
      <c r="E5" t="s">
        <v>22</v>
      </c>
      <c r="F5" t="s">
        <v>18</v>
      </c>
      <c r="G5" t="s">
        <v>23</v>
      </c>
      <c r="H5">
        <v>3771</v>
      </c>
      <c r="I5">
        <v>229.7</v>
      </c>
      <c r="J5" s="2">
        <v>19.649999999999999</v>
      </c>
      <c r="K5">
        <v>6</v>
      </c>
      <c r="L5" s="1">
        <v>44568.89</v>
      </c>
      <c r="M5">
        <f t="shared" si="0"/>
        <v>9</v>
      </c>
      <c r="N5">
        <f t="shared" si="1"/>
        <v>4952.0988888888887</v>
      </c>
      <c r="O5">
        <f t="shared" si="2"/>
        <v>4321.4444444444443</v>
      </c>
      <c r="P5">
        <f t="shared" si="3"/>
        <v>60.912224874038714</v>
      </c>
      <c r="Q5" t="str">
        <f t="shared" si="4"/>
        <v>Mature (8-12 years)</v>
      </c>
      <c r="R5" t="str">
        <f t="shared" si="5"/>
        <v>Average</v>
      </c>
      <c r="S5" t="str">
        <f t="shared" si="6"/>
        <v>Very High</v>
      </c>
    </row>
    <row r="6" spans="1:19" x14ac:dyDescent="0.3">
      <c r="A6">
        <v>5</v>
      </c>
      <c r="B6" t="s">
        <v>12</v>
      </c>
      <c r="C6">
        <v>2016</v>
      </c>
      <c r="D6">
        <v>81329</v>
      </c>
      <c r="E6" t="s">
        <v>17</v>
      </c>
      <c r="F6" t="s">
        <v>18</v>
      </c>
      <c r="G6" t="s">
        <v>15</v>
      </c>
      <c r="H6">
        <v>2817</v>
      </c>
      <c r="I6">
        <v>573.20000000000005</v>
      </c>
      <c r="J6" s="2">
        <v>7.74</v>
      </c>
      <c r="K6">
        <v>5</v>
      </c>
      <c r="L6" s="1">
        <v>8751.82</v>
      </c>
      <c r="M6">
        <f t="shared" si="0"/>
        <v>8</v>
      </c>
      <c r="N6">
        <f t="shared" si="1"/>
        <v>1093.9775</v>
      </c>
      <c r="O6">
        <f t="shared" si="2"/>
        <v>10166.125</v>
      </c>
      <c r="P6">
        <f t="shared" si="3"/>
        <v>203.47887823926163</v>
      </c>
      <c r="Q6" t="str">
        <f t="shared" si="4"/>
        <v>Mature (8-12 years)</v>
      </c>
      <c r="R6" t="str">
        <f t="shared" si="5"/>
        <v>Low</v>
      </c>
      <c r="S6" t="str">
        <f t="shared" si="6"/>
        <v>Very High</v>
      </c>
    </row>
    <row r="7" spans="1:19" x14ac:dyDescent="0.3">
      <c r="A7">
        <v>6</v>
      </c>
      <c r="B7" t="s">
        <v>24</v>
      </c>
      <c r="C7">
        <v>2016</v>
      </c>
      <c r="D7">
        <v>36007</v>
      </c>
      <c r="E7" t="s">
        <v>22</v>
      </c>
      <c r="F7" t="s">
        <v>18</v>
      </c>
      <c r="G7" t="s">
        <v>20</v>
      </c>
      <c r="H7">
        <v>3215</v>
      </c>
      <c r="I7">
        <v>453.2</v>
      </c>
      <c r="J7" s="2">
        <v>29.15</v>
      </c>
      <c r="K7">
        <v>7</v>
      </c>
      <c r="L7" s="1">
        <v>6633.65</v>
      </c>
      <c r="M7">
        <f t="shared" si="0"/>
        <v>8</v>
      </c>
      <c r="N7">
        <f t="shared" si="1"/>
        <v>829.20624999999995</v>
      </c>
      <c r="O7">
        <f t="shared" si="2"/>
        <v>4500.875</v>
      </c>
      <c r="P7">
        <f t="shared" si="3"/>
        <v>140.9642301710731</v>
      </c>
      <c r="Q7" t="str">
        <f t="shared" si="4"/>
        <v>Mature (8-12 years)</v>
      </c>
      <c r="R7" t="str">
        <f t="shared" si="5"/>
        <v>Excellent</v>
      </c>
      <c r="S7" t="str">
        <f t="shared" si="6"/>
        <v>Very High</v>
      </c>
    </row>
    <row r="8" spans="1:19" x14ac:dyDescent="0.3">
      <c r="A8">
        <v>7</v>
      </c>
      <c r="B8" t="s">
        <v>25</v>
      </c>
      <c r="C8">
        <v>2008</v>
      </c>
      <c r="D8">
        <v>175604</v>
      </c>
      <c r="E8" t="s">
        <v>26</v>
      </c>
      <c r="F8" t="s">
        <v>14</v>
      </c>
      <c r="G8" t="s">
        <v>15</v>
      </c>
      <c r="H8">
        <v>3896</v>
      </c>
      <c r="I8">
        <v>374.6</v>
      </c>
      <c r="J8" s="2">
        <v>9.3699999999999992</v>
      </c>
      <c r="K8">
        <v>6</v>
      </c>
      <c r="L8" s="1">
        <v>67839.210000000006</v>
      </c>
      <c r="M8">
        <f t="shared" si="0"/>
        <v>16</v>
      </c>
      <c r="N8">
        <f t="shared" si="1"/>
        <v>4239.9506250000004</v>
      </c>
      <c r="O8">
        <f t="shared" si="2"/>
        <v>10975.25</v>
      </c>
      <c r="P8">
        <f t="shared" si="3"/>
        <v>96.149897330595493</v>
      </c>
      <c r="Q8" t="str">
        <f t="shared" si="4"/>
        <v>Old (12+ years)</v>
      </c>
      <c r="R8" t="str">
        <f t="shared" si="5"/>
        <v>Low</v>
      </c>
      <c r="S8" t="str">
        <f t="shared" si="6"/>
        <v>Very High</v>
      </c>
    </row>
    <row r="9" spans="1:19" x14ac:dyDescent="0.3">
      <c r="A9">
        <v>8</v>
      </c>
      <c r="B9" t="s">
        <v>12</v>
      </c>
      <c r="C9">
        <v>2020</v>
      </c>
      <c r="D9">
        <v>59253</v>
      </c>
      <c r="E9" t="s">
        <v>26</v>
      </c>
      <c r="F9" t="s">
        <v>14</v>
      </c>
      <c r="G9" t="s">
        <v>15</v>
      </c>
      <c r="H9">
        <v>2409</v>
      </c>
      <c r="I9">
        <v>533.29999999999995</v>
      </c>
      <c r="J9" s="2">
        <v>21.2</v>
      </c>
      <c r="K9">
        <v>6</v>
      </c>
      <c r="L9" s="1">
        <v>92157.83</v>
      </c>
      <c r="M9">
        <f t="shared" si="0"/>
        <v>4</v>
      </c>
      <c r="N9">
        <f t="shared" si="1"/>
        <v>23039.4575</v>
      </c>
      <c r="O9">
        <f t="shared" si="2"/>
        <v>14813.25</v>
      </c>
      <c r="P9">
        <f t="shared" si="3"/>
        <v>221.37816521378164</v>
      </c>
      <c r="Q9" t="str">
        <f t="shared" si="4"/>
        <v>Recent (4-7 years)</v>
      </c>
      <c r="R9" t="str">
        <f t="shared" si="5"/>
        <v>Good</v>
      </c>
      <c r="S9" t="str">
        <f t="shared" si="6"/>
        <v>Very High</v>
      </c>
    </row>
    <row r="10" spans="1:19" x14ac:dyDescent="0.3">
      <c r="A10">
        <v>9</v>
      </c>
      <c r="B10" t="s">
        <v>19</v>
      </c>
      <c r="C10">
        <v>2008</v>
      </c>
      <c r="D10">
        <v>17323</v>
      </c>
      <c r="E10" t="s">
        <v>17</v>
      </c>
      <c r="F10" t="s">
        <v>14</v>
      </c>
      <c r="G10" t="s">
        <v>23</v>
      </c>
      <c r="H10">
        <v>1517</v>
      </c>
      <c r="I10">
        <v>67.8</v>
      </c>
      <c r="J10" s="2">
        <v>11.14</v>
      </c>
      <c r="K10">
        <v>6</v>
      </c>
      <c r="L10" s="1">
        <v>65873.37</v>
      </c>
      <c r="M10">
        <f t="shared" si="0"/>
        <v>16</v>
      </c>
      <c r="N10">
        <f t="shared" si="1"/>
        <v>4117.0856249999997</v>
      </c>
      <c r="O10">
        <f t="shared" si="2"/>
        <v>1082.6875</v>
      </c>
      <c r="P10">
        <f t="shared" si="3"/>
        <v>44.693473961766642</v>
      </c>
      <c r="Q10" t="str">
        <f t="shared" si="4"/>
        <v>Old (12+ years)</v>
      </c>
      <c r="R10" t="str">
        <f t="shared" si="5"/>
        <v>Low</v>
      </c>
      <c r="S10" t="str">
        <f t="shared" si="6"/>
        <v>Low</v>
      </c>
    </row>
    <row r="11" spans="1:19" x14ac:dyDescent="0.3">
      <c r="A11">
        <v>10</v>
      </c>
      <c r="B11" t="s">
        <v>21</v>
      </c>
      <c r="C11">
        <v>2009</v>
      </c>
      <c r="D11">
        <v>116335</v>
      </c>
      <c r="E11" t="s">
        <v>17</v>
      </c>
      <c r="F11" t="s">
        <v>14</v>
      </c>
      <c r="G11" t="s">
        <v>15</v>
      </c>
      <c r="H11">
        <v>4361</v>
      </c>
      <c r="I11">
        <v>184</v>
      </c>
      <c r="J11" s="2">
        <v>22.94</v>
      </c>
      <c r="K11">
        <v>6</v>
      </c>
      <c r="L11" s="1">
        <v>101371.85</v>
      </c>
      <c r="M11">
        <f t="shared" si="0"/>
        <v>15</v>
      </c>
      <c r="N11">
        <f t="shared" si="1"/>
        <v>6758.1233333333339</v>
      </c>
      <c r="O11">
        <f t="shared" si="2"/>
        <v>7755.666666666667</v>
      </c>
      <c r="P11">
        <f t="shared" si="3"/>
        <v>42.1921577619812</v>
      </c>
      <c r="Q11" t="str">
        <f t="shared" si="4"/>
        <v>Old (12+ years)</v>
      </c>
      <c r="R11" t="str">
        <f t="shared" si="5"/>
        <v>Good</v>
      </c>
      <c r="S11" t="str">
        <f t="shared" si="6"/>
        <v>High</v>
      </c>
    </row>
    <row r="12" spans="1:19" x14ac:dyDescent="0.3">
      <c r="A12">
        <v>11</v>
      </c>
      <c r="B12" t="s">
        <v>16</v>
      </c>
      <c r="C12">
        <v>2009</v>
      </c>
      <c r="D12">
        <v>117356</v>
      </c>
      <c r="E12" t="s">
        <v>13</v>
      </c>
      <c r="F12" t="s">
        <v>18</v>
      </c>
      <c r="G12" t="s">
        <v>20</v>
      </c>
      <c r="H12">
        <v>1816</v>
      </c>
      <c r="I12">
        <v>300.39999999999998</v>
      </c>
      <c r="J12" s="2">
        <v>24.42</v>
      </c>
      <c r="K12">
        <v>5</v>
      </c>
      <c r="L12" s="1">
        <v>6910.9</v>
      </c>
      <c r="M12">
        <f t="shared" si="0"/>
        <v>15</v>
      </c>
      <c r="N12">
        <f t="shared" si="1"/>
        <v>460.72666666666663</v>
      </c>
      <c r="O12">
        <f t="shared" si="2"/>
        <v>7823.7333333333336</v>
      </c>
      <c r="P12">
        <f t="shared" si="3"/>
        <v>165.41850220264314</v>
      </c>
      <c r="Q12" t="str">
        <f t="shared" si="4"/>
        <v>Old (12+ years)</v>
      </c>
      <c r="R12" t="str">
        <f t="shared" si="5"/>
        <v>Good</v>
      </c>
      <c r="S12" t="str">
        <f t="shared" si="6"/>
        <v>Very High</v>
      </c>
    </row>
    <row r="13" spans="1:19" x14ac:dyDescent="0.3">
      <c r="A13">
        <v>12</v>
      </c>
      <c r="B13" t="s">
        <v>19</v>
      </c>
      <c r="C13">
        <v>2012</v>
      </c>
      <c r="D13">
        <v>115944</v>
      </c>
      <c r="E13" t="s">
        <v>17</v>
      </c>
      <c r="F13" t="s">
        <v>18</v>
      </c>
      <c r="G13" t="s">
        <v>20</v>
      </c>
      <c r="H13">
        <v>4365</v>
      </c>
      <c r="I13">
        <v>167.1</v>
      </c>
      <c r="J13" s="2">
        <v>21.84</v>
      </c>
      <c r="K13">
        <v>7</v>
      </c>
      <c r="L13" s="1">
        <v>45909.99</v>
      </c>
      <c r="M13">
        <f t="shared" si="0"/>
        <v>12</v>
      </c>
      <c r="N13">
        <f t="shared" si="1"/>
        <v>3825.8325</v>
      </c>
      <c r="O13">
        <f t="shared" si="2"/>
        <v>9662</v>
      </c>
      <c r="P13">
        <f t="shared" si="3"/>
        <v>38.281786941580755</v>
      </c>
      <c r="Q13" t="str">
        <f t="shared" si="4"/>
        <v>Mature (8-12 years)</v>
      </c>
      <c r="R13" t="str">
        <f t="shared" si="5"/>
        <v>Good</v>
      </c>
      <c r="S13" t="str">
        <f t="shared" si="6"/>
        <v>High</v>
      </c>
    </row>
    <row r="14" spans="1:19" x14ac:dyDescent="0.3">
      <c r="A14">
        <v>13</v>
      </c>
      <c r="B14" t="s">
        <v>19</v>
      </c>
      <c r="C14">
        <v>2014</v>
      </c>
      <c r="D14">
        <v>150282</v>
      </c>
      <c r="E14" t="s">
        <v>13</v>
      </c>
      <c r="F14" t="s">
        <v>18</v>
      </c>
      <c r="G14" t="s">
        <v>23</v>
      </c>
      <c r="H14">
        <v>2760</v>
      </c>
      <c r="I14">
        <v>456.6</v>
      </c>
      <c r="J14" s="2">
        <v>20.36</v>
      </c>
      <c r="K14">
        <v>7</v>
      </c>
      <c r="L14" s="1">
        <v>30737.24</v>
      </c>
      <c r="M14">
        <f t="shared" si="0"/>
        <v>10</v>
      </c>
      <c r="N14">
        <f t="shared" si="1"/>
        <v>3073.7240000000002</v>
      </c>
      <c r="O14">
        <f t="shared" si="2"/>
        <v>15028.2</v>
      </c>
      <c r="P14">
        <f t="shared" si="3"/>
        <v>165.43478260869568</v>
      </c>
      <c r="Q14" t="str">
        <f t="shared" si="4"/>
        <v>Mature (8-12 years)</v>
      </c>
      <c r="R14" t="str">
        <f t="shared" si="5"/>
        <v>Good</v>
      </c>
      <c r="S14" t="str">
        <f t="shared" si="6"/>
        <v>Very High</v>
      </c>
    </row>
    <row r="15" spans="1:19" x14ac:dyDescent="0.3">
      <c r="A15">
        <v>14</v>
      </c>
      <c r="B15" t="s">
        <v>25</v>
      </c>
      <c r="C15">
        <v>2021</v>
      </c>
      <c r="D15">
        <v>21456</v>
      </c>
      <c r="E15" t="s">
        <v>26</v>
      </c>
      <c r="F15" t="s">
        <v>14</v>
      </c>
      <c r="G15" t="s">
        <v>15</v>
      </c>
      <c r="H15">
        <v>1848</v>
      </c>
      <c r="I15">
        <v>554.79999999999995</v>
      </c>
      <c r="J15" s="2">
        <v>27.31</v>
      </c>
      <c r="K15">
        <v>2</v>
      </c>
      <c r="L15" s="1">
        <v>55330.94</v>
      </c>
      <c r="M15">
        <f t="shared" si="0"/>
        <v>3</v>
      </c>
      <c r="N15">
        <f t="shared" si="1"/>
        <v>18443.646666666667</v>
      </c>
      <c r="O15">
        <f t="shared" si="2"/>
        <v>7152</v>
      </c>
      <c r="P15">
        <f t="shared" si="3"/>
        <v>300.2164502164502</v>
      </c>
      <c r="Q15" t="str">
        <f t="shared" si="4"/>
        <v>New (0-3 years)</v>
      </c>
      <c r="R15" t="str">
        <f t="shared" si="5"/>
        <v>Excellent</v>
      </c>
      <c r="S15" t="str">
        <f t="shared" si="6"/>
        <v>Very High</v>
      </c>
    </row>
    <row r="16" spans="1:19" x14ac:dyDescent="0.3">
      <c r="A16">
        <v>15</v>
      </c>
      <c r="B16" t="s">
        <v>27</v>
      </c>
      <c r="C16">
        <v>2013</v>
      </c>
      <c r="D16">
        <v>36367</v>
      </c>
      <c r="E16" t="s">
        <v>26</v>
      </c>
      <c r="F16" t="s">
        <v>18</v>
      </c>
      <c r="G16" t="s">
        <v>20</v>
      </c>
      <c r="H16">
        <v>2157</v>
      </c>
      <c r="I16">
        <v>277.3</v>
      </c>
      <c r="J16" s="2">
        <v>6.97</v>
      </c>
      <c r="K16">
        <v>6</v>
      </c>
      <c r="L16" s="1">
        <v>11468.04</v>
      </c>
      <c r="M16">
        <f t="shared" si="0"/>
        <v>11</v>
      </c>
      <c r="N16">
        <f t="shared" si="1"/>
        <v>1042.5490909090911</v>
      </c>
      <c r="O16">
        <f t="shared" si="2"/>
        <v>3306.090909090909</v>
      </c>
      <c r="P16">
        <f t="shared" si="3"/>
        <v>128.55818266110339</v>
      </c>
      <c r="Q16" t="str">
        <f t="shared" si="4"/>
        <v>Mature (8-12 years)</v>
      </c>
      <c r="R16" t="str">
        <f t="shared" si="5"/>
        <v>Low</v>
      </c>
      <c r="S16" t="str">
        <f t="shared" si="6"/>
        <v>Very High</v>
      </c>
    </row>
    <row r="17" spans="1:19" x14ac:dyDescent="0.3">
      <c r="A17">
        <v>16</v>
      </c>
      <c r="B17" t="s">
        <v>21</v>
      </c>
      <c r="C17">
        <v>2023</v>
      </c>
      <c r="D17">
        <v>59624</v>
      </c>
      <c r="E17" t="s">
        <v>22</v>
      </c>
      <c r="F17" t="s">
        <v>14</v>
      </c>
      <c r="G17" t="s">
        <v>15</v>
      </c>
      <c r="H17">
        <v>4226</v>
      </c>
      <c r="I17">
        <v>231.6</v>
      </c>
      <c r="J17" s="2">
        <v>13.27</v>
      </c>
      <c r="K17">
        <v>6</v>
      </c>
      <c r="L17" s="1">
        <v>114633.4</v>
      </c>
      <c r="M17">
        <f t="shared" si="0"/>
        <v>1</v>
      </c>
      <c r="N17">
        <f t="shared" si="1"/>
        <v>114633.4</v>
      </c>
      <c r="O17">
        <f t="shared" si="2"/>
        <v>59624</v>
      </c>
      <c r="P17">
        <f t="shared" si="3"/>
        <v>54.803596781826784</v>
      </c>
      <c r="Q17" t="str">
        <f t="shared" si="4"/>
        <v>New (0-3 years)</v>
      </c>
      <c r="R17" t="str">
        <f t="shared" si="5"/>
        <v>Low</v>
      </c>
      <c r="S17" t="str">
        <f t="shared" si="6"/>
        <v>Very High</v>
      </c>
    </row>
    <row r="18" spans="1:19" x14ac:dyDescent="0.3">
      <c r="A18">
        <v>17</v>
      </c>
      <c r="B18" t="s">
        <v>28</v>
      </c>
      <c r="C18">
        <v>2018</v>
      </c>
      <c r="D18">
        <v>146178</v>
      </c>
      <c r="E18" t="s">
        <v>26</v>
      </c>
      <c r="F18" t="s">
        <v>18</v>
      </c>
      <c r="G18" t="s">
        <v>15</v>
      </c>
      <c r="H18">
        <v>915</v>
      </c>
      <c r="I18">
        <v>578.5</v>
      </c>
      <c r="J18" s="2">
        <v>11.21</v>
      </c>
      <c r="K18">
        <v>2</v>
      </c>
      <c r="L18" s="1">
        <v>29120.880000000001</v>
      </c>
      <c r="M18">
        <f t="shared" si="0"/>
        <v>6</v>
      </c>
      <c r="N18">
        <f t="shared" si="1"/>
        <v>4853.4800000000005</v>
      </c>
      <c r="O18">
        <f t="shared" si="2"/>
        <v>24363</v>
      </c>
      <c r="P18">
        <f t="shared" si="3"/>
        <v>632.24043715846994</v>
      </c>
      <c r="Q18" t="str">
        <f t="shared" si="4"/>
        <v>Recent (4-7 years)</v>
      </c>
      <c r="R18" t="str">
        <f t="shared" si="5"/>
        <v>Low</v>
      </c>
      <c r="S18" t="str">
        <f t="shared" si="6"/>
        <v>Very High</v>
      </c>
    </row>
    <row r="19" spans="1:19" x14ac:dyDescent="0.3">
      <c r="A19">
        <v>18</v>
      </c>
      <c r="B19" t="s">
        <v>19</v>
      </c>
      <c r="C19">
        <v>2012</v>
      </c>
      <c r="D19">
        <v>73008</v>
      </c>
      <c r="E19" t="s">
        <v>13</v>
      </c>
      <c r="F19" t="s">
        <v>18</v>
      </c>
      <c r="G19" t="s">
        <v>15</v>
      </c>
      <c r="H19">
        <v>2895</v>
      </c>
      <c r="I19">
        <v>289.10000000000002</v>
      </c>
      <c r="J19" s="2">
        <v>29.7</v>
      </c>
      <c r="K19">
        <v>7</v>
      </c>
      <c r="L19" s="1">
        <v>110910.01</v>
      </c>
      <c r="M19">
        <f t="shared" si="0"/>
        <v>12</v>
      </c>
      <c r="N19">
        <f t="shared" si="1"/>
        <v>9242.5008333333335</v>
      </c>
      <c r="O19">
        <f t="shared" si="2"/>
        <v>6084</v>
      </c>
      <c r="P19">
        <f t="shared" si="3"/>
        <v>99.861830742659762</v>
      </c>
      <c r="Q19" t="str">
        <f t="shared" si="4"/>
        <v>Mature (8-12 years)</v>
      </c>
      <c r="R19" t="str">
        <f t="shared" si="5"/>
        <v>Excellent</v>
      </c>
      <c r="S19" t="str">
        <f t="shared" si="6"/>
        <v>Very High</v>
      </c>
    </row>
    <row r="20" spans="1:19" x14ac:dyDescent="0.3">
      <c r="A20">
        <v>19</v>
      </c>
      <c r="B20" t="s">
        <v>27</v>
      </c>
      <c r="C20">
        <v>2013</v>
      </c>
      <c r="D20">
        <v>130926</v>
      </c>
      <c r="E20" t="s">
        <v>17</v>
      </c>
      <c r="F20" t="s">
        <v>14</v>
      </c>
      <c r="G20" t="s">
        <v>23</v>
      </c>
      <c r="H20">
        <v>2601</v>
      </c>
      <c r="I20">
        <v>313.89999999999998</v>
      </c>
      <c r="J20" s="2">
        <v>14.73</v>
      </c>
      <c r="K20">
        <v>4</v>
      </c>
      <c r="L20" s="1">
        <v>52829.5</v>
      </c>
      <c r="M20">
        <f t="shared" si="0"/>
        <v>11</v>
      </c>
      <c r="N20">
        <f t="shared" si="1"/>
        <v>4802.681818181818</v>
      </c>
      <c r="O20">
        <f t="shared" si="2"/>
        <v>11902.363636363636</v>
      </c>
      <c r="P20">
        <f t="shared" si="3"/>
        <v>120.68435217224143</v>
      </c>
      <c r="Q20" t="str">
        <f t="shared" si="4"/>
        <v>Mature (8-12 years)</v>
      </c>
      <c r="R20" t="str">
        <f t="shared" si="5"/>
        <v>Low</v>
      </c>
      <c r="S20" t="str">
        <f t="shared" si="6"/>
        <v>Very High</v>
      </c>
    </row>
    <row r="21" spans="1:19" x14ac:dyDescent="0.3">
      <c r="A21">
        <v>20</v>
      </c>
      <c r="B21" t="s">
        <v>28</v>
      </c>
      <c r="C21">
        <v>2015</v>
      </c>
      <c r="D21">
        <v>120395</v>
      </c>
      <c r="E21" t="s">
        <v>22</v>
      </c>
      <c r="F21" t="s">
        <v>14</v>
      </c>
      <c r="G21" t="s">
        <v>15</v>
      </c>
      <c r="H21">
        <v>2946</v>
      </c>
      <c r="I21">
        <v>236.9</v>
      </c>
      <c r="J21" s="2">
        <v>23.32</v>
      </c>
      <c r="K21">
        <v>4</v>
      </c>
      <c r="L21" s="1">
        <v>118306.32</v>
      </c>
      <c r="M21">
        <f t="shared" si="0"/>
        <v>9</v>
      </c>
      <c r="N21">
        <f t="shared" si="1"/>
        <v>13145.146666666667</v>
      </c>
      <c r="O21">
        <f t="shared" si="2"/>
        <v>13377.222222222223</v>
      </c>
      <c r="P21">
        <f t="shared" si="3"/>
        <v>80.414120841819411</v>
      </c>
      <c r="Q21" t="str">
        <f t="shared" si="4"/>
        <v>Mature (8-12 years)</v>
      </c>
      <c r="R21" t="str">
        <f t="shared" si="5"/>
        <v>Good</v>
      </c>
      <c r="S21" t="str">
        <f t="shared" si="6"/>
        <v>Very High</v>
      </c>
    </row>
    <row r="22" spans="1:19" x14ac:dyDescent="0.3">
      <c r="A22">
        <v>21</v>
      </c>
      <c r="B22" t="s">
        <v>21</v>
      </c>
      <c r="C22">
        <v>2005</v>
      </c>
      <c r="D22">
        <v>121492</v>
      </c>
      <c r="E22" t="s">
        <v>13</v>
      </c>
      <c r="F22" t="s">
        <v>18</v>
      </c>
      <c r="G22" t="s">
        <v>20</v>
      </c>
      <c r="H22">
        <v>2420</v>
      </c>
      <c r="I22">
        <v>549.29999999999995</v>
      </c>
      <c r="J22" s="2">
        <v>22.12</v>
      </c>
      <c r="K22">
        <v>7</v>
      </c>
      <c r="L22" s="1">
        <v>67824.83</v>
      </c>
      <c r="M22">
        <f t="shared" si="0"/>
        <v>19</v>
      </c>
      <c r="N22">
        <f t="shared" si="1"/>
        <v>3569.7278947368422</v>
      </c>
      <c r="O22">
        <f t="shared" si="2"/>
        <v>6394.3157894736842</v>
      </c>
      <c r="P22">
        <f t="shared" si="3"/>
        <v>226.98347107438016</v>
      </c>
      <c r="Q22" t="str">
        <f t="shared" si="4"/>
        <v>Old (12+ years)</v>
      </c>
      <c r="R22" t="str">
        <f t="shared" si="5"/>
        <v>Good</v>
      </c>
      <c r="S22" t="str">
        <f t="shared" si="6"/>
        <v>Very High</v>
      </c>
    </row>
    <row r="23" spans="1:19" x14ac:dyDescent="0.3">
      <c r="A23">
        <v>22</v>
      </c>
      <c r="B23" t="s">
        <v>29</v>
      </c>
      <c r="C23">
        <v>2018</v>
      </c>
      <c r="D23">
        <v>77240</v>
      </c>
      <c r="E23" t="s">
        <v>17</v>
      </c>
      <c r="F23" t="s">
        <v>18</v>
      </c>
      <c r="G23" t="s">
        <v>15</v>
      </c>
      <c r="H23">
        <v>3750</v>
      </c>
      <c r="I23">
        <v>358.6</v>
      </c>
      <c r="J23" s="2">
        <v>10.3</v>
      </c>
      <c r="K23">
        <v>6</v>
      </c>
      <c r="L23" s="1">
        <v>111907.45</v>
      </c>
      <c r="M23">
        <f t="shared" si="0"/>
        <v>6</v>
      </c>
      <c r="N23">
        <f t="shared" si="1"/>
        <v>18651.241666666665</v>
      </c>
      <c r="O23">
        <f t="shared" si="2"/>
        <v>12873.333333333334</v>
      </c>
      <c r="P23">
        <f t="shared" si="3"/>
        <v>95.626666666666679</v>
      </c>
      <c r="Q23" t="str">
        <f t="shared" si="4"/>
        <v>Recent (4-7 years)</v>
      </c>
      <c r="R23" t="str">
        <f t="shared" si="5"/>
        <v>Low</v>
      </c>
      <c r="S23" t="str">
        <f t="shared" si="6"/>
        <v>Very High</v>
      </c>
    </row>
    <row r="24" spans="1:19" x14ac:dyDescent="0.3">
      <c r="A24">
        <v>23</v>
      </c>
      <c r="B24" t="s">
        <v>24</v>
      </c>
      <c r="C24">
        <v>2009</v>
      </c>
      <c r="D24">
        <v>69315</v>
      </c>
      <c r="E24" t="s">
        <v>22</v>
      </c>
      <c r="F24" t="s">
        <v>14</v>
      </c>
      <c r="G24" t="s">
        <v>20</v>
      </c>
      <c r="H24">
        <v>4592</v>
      </c>
      <c r="I24">
        <v>466.8</v>
      </c>
      <c r="J24" s="2">
        <v>10.97</v>
      </c>
      <c r="K24">
        <v>4</v>
      </c>
      <c r="L24" s="1">
        <v>3625.83</v>
      </c>
      <c r="M24">
        <f t="shared" si="0"/>
        <v>15</v>
      </c>
      <c r="N24">
        <f t="shared" si="1"/>
        <v>241.72200000000001</v>
      </c>
      <c r="O24">
        <f t="shared" si="2"/>
        <v>4621</v>
      </c>
      <c r="P24">
        <f t="shared" si="3"/>
        <v>101.65505226480838</v>
      </c>
      <c r="Q24" t="str">
        <f t="shared" si="4"/>
        <v>Old (12+ years)</v>
      </c>
      <c r="R24" t="str">
        <f t="shared" si="5"/>
        <v>Low</v>
      </c>
      <c r="S24" t="str">
        <f t="shared" si="6"/>
        <v>Very High</v>
      </c>
    </row>
    <row r="25" spans="1:19" x14ac:dyDescent="0.3">
      <c r="A25">
        <v>24</v>
      </c>
      <c r="B25" t="s">
        <v>27</v>
      </c>
      <c r="C25">
        <v>2018</v>
      </c>
      <c r="D25">
        <v>15756</v>
      </c>
      <c r="E25" t="s">
        <v>26</v>
      </c>
      <c r="F25" t="s">
        <v>18</v>
      </c>
      <c r="G25" t="s">
        <v>15</v>
      </c>
      <c r="H25">
        <v>3741</v>
      </c>
      <c r="I25">
        <v>494.6</v>
      </c>
      <c r="J25" s="2">
        <v>12.03</v>
      </c>
      <c r="K25">
        <v>5</v>
      </c>
      <c r="L25" s="1">
        <v>90543.94</v>
      </c>
      <c r="M25">
        <f t="shared" si="0"/>
        <v>6</v>
      </c>
      <c r="N25">
        <f t="shared" si="1"/>
        <v>15090.656666666668</v>
      </c>
      <c r="O25">
        <f t="shared" si="2"/>
        <v>2626</v>
      </c>
      <c r="P25">
        <f t="shared" si="3"/>
        <v>132.21063886661321</v>
      </c>
      <c r="Q25" t="str">
        <f t="shared" si="4"/>
        <v>Recent (4-7 years)</v>
      </c>
      <c r="R25" t="str">
        <f t="shared" si="5"/>
        <v>Low</v>
      </c>
      <c r="S25" t="str">
        <f t="shared" si="6"/>
        <v>Very High</v>
      </c>
    </row>
    <row r="26" spans="1:19" x14ac:dyDescent="0.3">
      <c r="A26">
        <v>25</v>
      </c>
      <c r="B26" t="s">
        <v>30</v>
      </c>
      <c r="C26">
        <v>2008</v>
      </c>
      <c r="D26">
        <v>41378</v>
      </c>
      <c r="E26" t="s">
        <v>13</v>
      </c>
      <c r="F26" t="s">
        <v>18</v>
      </c>
      <c r="G26" t="s">
        <v>20</v>
      </c>
      <c r="H26">
        <v>1777</v>
      </c>
      <c r="I26">
        <v>231.4</v>
      </c>
      <c r="J26" s="2">
        <v>15.28</v>
      </c>
      <c r="K26">
        <v>5</v>
      </c>
      <c r="L26" s="1">
        <v>108656.93</v>
      </c>
      <c r="M26">
        <f t="shared" si="0"/>
        <v>16</v>
      </c>
      <c r="N26">
        <f t="shared" si="1"/>
        <v>6791.0581249999996</v>
      </c>
      <c r="O26">
        <f t="shared" si="2"/>
        <v>2586.125</v>
      </c>
      <c r="P26">
        <f t="shared" si="3"/>
        <v>130.21947101857063</v>
      </c>
      <c r="Q26" t="str">
        <f t="shared" si="4"/>
        <v>Old (12+ years)</v>
      </c>
      <c r="R26" t="str">
        <f t="shared" si="5"/>
        <v>Average</v>
      </c>
      <c r="S26" t="str">
        <f t="shared" si="6"/>
        <v>Very High</v>
      </c>
    </row>
    <row r="27" spans="1:19" x14ac:dyDescent="0.3">
      <c r="A27">
        <v>26</v>
      </c>
      <c r="B27" t="s">
        <v>29</v>
      </c>
      <c r="C27">
        <v>2005</v>
      </c>
      <c r="D27">
        <v>140327</v>
      </c>
      <c r="E27" t="s">
        <v>17</v>
      </c>
      <c r="F27" t="s">
        <v>14</v>
      </c>
      <c r="G27" t="s">
        <v>20</v>
      </c>
      <c r="H27">
        <v>3866</v>
      </c>
      <c r="I27">
        <v>282.89999999999998</v>
      </c>
      <c r="J27" s="2">
        <v>10.86</v>
      </c>
      <c r="K27">
        <v>2</v>
      </c>
      <c r="L27" s="1">
        <v>19347.310000000001</v>
      </c>
      <c r="M27">
        <f t="shared" si="0"/>
        <v>19</v>
      </c>
      <c r="N27">
        <f t="shared" si="1"/>
        <v>1018.2794736842106</v>
      </c>
      <c r="O27">
        <f t="shared" si="2"/>
        <v>7385.6315789473683</v>
      </c>
      <c r="P27">
        <f t="shared" si="3"/>
        <v>73.176409725814793</v>
      </c>
      <c r="Q27" t="str">
        <f t="shared" si="4"/>
        <v>Old (12+ years)</v>
      </c>
      <c r="R27" t="str">
        <f t="shared" si="5"/>
        <v>Low</v>
      </c>
      <c r="S27" t="str">
        <f t="shared" si="6"/>
        <v>Very High</v>
      </c>
    </row>
    <row r="28" spans="1:19" x14ac:dyDescent="0.3">
      <c r="A28">
        <v>27</v>
      </c>
      <c r="B28" t="s">
        <v>24</v>
      </c>
      <c r="C28">
        <v>2023</v>
      </c>
      <c r="D28">
        <v>150556</v>
      </c>
      <c r="E28" t="s">
        <v>22</v>
      </c>
      <c r="F28" t="s">
        <v>18</v>
      </c>
      <c r="G28" t="s">
        <v>15</v>
      </c>
      <c r="H28">
        <v>1583</v>
      </c>
      <c r="I28">
        <v>515.1</v>
      </c>
      <c r="J28" s="2">
        <v>5.49</v>
      </c>
      <c r="K28">
        <v>7</v>
      </c>
      <c r="L28" s="1">
        <v>14246.72</v>
      </c>
      <c r="M28">
        <f t="shared" si="0"/>
        <v>1</v>
      </c>
      <c r="N28">
        <f t="shared" si="1"/>
        <v>14246.72</v>
      </c>
      <c r="O28">
        <f t="shared" si="2"/>
        <v>150556</v>
      </c>
      <c r="P28">
        <f t="shared" si="3"/>
        <v>325.3948199620973</v>
      </c>
      <c r="Q28" t="str">
        <f t="shared" si="4"/>
        <v>New (0-3 years)</v>
      </c>
      <c r="R28" t="str">
        <f t="shared" si="5"/>
        <v>Low</v>
      </c>
      <c r="S28" t="str">
        <f t="shared" si="6"/>
        <v>Very High</v>
      </c>
    </row>
    <row r="29" spans="1:19" x14ac:dyDescent="0.3">
      <c r="A29">
        <v>28</v>
      </c>
      <c r="B29" t="s">
        <v>25</v>
      </c>
      <c r="C29">
        <v>2012</v>
      </c>
      <c r="D29">
        <v>130703</v>
      </c>
      <c r="E29" t="s">
        <v>22</v>
      </c>
      <c r="F29" t="s">
        <v>14</v>
      </c>
      <c r="G29" t="s">
        <v>15</v>
      </c>
      <c r="H29">
        <v>1040</v>
      </c>
      <c r="I29">
        <v>243.4</v>
      </c>
      <c r="J29" s="2">
        <v>26.98</v>
      </c>
      <c r="K29">
        <v>7</v>
      </c>
      <c r="L29" s="1">
        <v>52675</v>
      </c>
      <c r="M29">
        <f t="shared" si="0"/>
        <v>12</v>
      </c>
      <c r="N29">
        <f t="shared" si="1"/>
        <v>4389.583333333333</v>
      </c>
      <c r="O29">
        <f t="shared" si="2"/>
        <v>10891.916666666666</v>
      </c>
      <c r="P29">
        <f t="shared" si="3"/>
        <v>234.03846153846155</v>
      </c>
      <c r="Q29" t="str">
        <f t="shared" si="4"/>
        <v>Mature (8-12 years)</v>
      </c>
      <c r="R29" t="str">
        <f t="shared" si="5"/>
        <v>Excellent</v>
      </c>
      <c r="S29" t="str">
        <f t="shared" si="6"/>
        <v>Very High</v>
      </c>
    </row>
    <row r="30" spans="1:19" x14ac:dyDescent="0.3">
      <c r="A30">
        <v>29</v>
      </c>
      <c r="B30" t="s">
        <v>12</v>
      </c>
      <c r="C30">
        <v>2019</v>
      </c>
      <c r="D30">
        <v>61549</v>
      </c>
      <c r="E30" t="s">
        <v>26</v>
      </c>
      <c r="F30" t="s">
        <v>18</v>
      </c>
      <c r="G30" t="s">
        <v>20</v>
      </c>
      <c r="H30">
        <v>2353</v>
      </c>
      <c r="I30">
        <v>484.6</v>
      </c>
      <c r="J30" s="2">
        <v>29.14</v>
      </c>
      <c r="K30">
        <v>4</v>
      </c>
      <c r="L30" s="1">
        <v>112240.43</v>
      </c>
      <c r="M30">
        <f t="shared" si="0"/>
        <v>5</v>
      </c>
      <c r="N30">
        <f t="shared" si="1"/>
        <v>22448.085999999999</v>
      </c>
      <c r="O30">
        <f t="shared" si="2"/>
        <v>12309.8</v>
      </c>
      <c r="P30">
        <f t="shared" si="3"/>
        <v>205.94985125371866</v>
      </c>
      <c r="Q30" t="str">
        <f t="shared" si="4"/>
        <v>Recent (4-7 years)</v>
      </c>
      <c r="R30" t="str">
        <f t="shared" si="5"/>
        <v>Excellent</v>
      </c>
      <c r="S30" t="str">
        <f t="shared" si="6"/>
        <v>Very High</v>
      </c>
    </row>
    <row r="31" spans="1:19" x14ac:dyDescent="0.3">
      <c r="A31">
        <v>30</v>
      </c>
      <c r="B31" t="s">
        <v>16</v>
      </c>
      <c r="C31">
        <v>2019</v>
      </c>
      <c r="D31">
        <v>170575</v>
      </c>
      <c r="E31" t="s">
        <v>17</v>
      </c>
      <c r="F31" t="s">
        <v>14</v>
      </c>
      <c r="G31" t="s">
        <v>23</v>
      </c>
      <c r="H31">
        <v>1812</v>
      </c>
      <c r="I31">
        <v>567</v>
      </c>
      <c r="J31" s="2">
        <v>13.54</v>
      </c>
      <c r="K31">
        <v>6</v>
      </c>
      <c r="L31" s="1">
        <v>66459.23</v>
      </c>
      <c r="M31">
        <f t="shared" si="0"/>
        <v>5</v>
      </c>
      <c r="N31">
        <f t="shared" si="1"/>
        <v>13291.846</v>
      </c>
      <c r="O31">
        <f t="shared" si="2"/>
        <v>34115</v>
      </c>
      <c r="P31">
        <f t="shared" si="3"/>
        <v>312.91390728476819</v>
      </c>
      <c r="Q31" t="str">
        <f t="shared" si="4"/>
        <v>Recent (4-7 years)</v>
      </c>
      <c r="R31" t="str">
        <f t="shared" si="5"/>
        <v>Low</v>
      </c>
      <c r="S31" t="str">
        <f t="shared" si="6"/>
        <v>Very High</v>
      </c>
    </row>
    <row r="32" spans="1:19" x14ac:dyDescent="0.3">
      <c r="A32">
        <v>31</v>
      </c>
      <c r="B32" t="s">
        <v>30</v>
      </c>
      <c r="C32">
        <v>2013</v>
      </c>
      <c r="D32">
        <v>78794</v>
      </c>
      <c r="E32" t="s">
        <v>26</v>
      </c>
      <c r="F32" t="s">
        <v>18</v>
      </c>
      <c r="G32" t="s">
        <v>15</v>
      </c>
      <c r="H32">
        <v>986</v>
      </c>
      <c r="I32">
        <v>389</v>
      </c>
      <c r="J32" s="2">
        <v>13.46</v>
      </c>
      <c r="K32">
        <v>7</v>
      </c>
      <c r="L32" s="1">
        <v>64712.41</v>
      </c>
      <c r="M32">
        <f t="shared" si="0"/>
        <v>11</v>
      </c>
      <c r="N32">
        <f t="shared" si="1"/>
        <v>5882.9463636363644</v>
      </c>
      <c r="O32">
        <f t="shared" si="2"/>
        <v>7163.090909090909</v>
      </c>
      <c r="P32">
        <f t="shared" si="3"/>
        <v>394.5233265720081</v>
      </c>
      <c r="Q32" t="str">
        <f t="shared" si="4"/>
        <v>Mature (8-12 years)</v>
      </c>
      <c r="R32" t="str">
        <f t="shared" si="5"/>
        <v>Low</v>
      </c>
      <c r="S32" t="str">
        <f t="shared" si="6"/>
        <v>Very High</v>
      </c>
    </row>
    <row r="33" spans="1:19" x14ac:dyDescent="0.3">
      <c r="A33">
        <v>32</v>
      </c>
      <c r="B33" t="s">
        <v>25</v>
      </c>
      <c r="C33">
        <v>2013</v>
      </c>
      <c r="D33">
        <v>50113</v>
      </c>
      <c r="E33" t="s">
        <v>26</v>
      </c>
      <c r="F33" t="s">
        <v>14</v>
      </c>
      <c r="G33" t="s">
        <v>23</v>
      </c>
      <c r="H33">
        <v>2681</v>
      </c>
      <c r="I33">
        <v>455.3</v>
      </c>
      <c r="J33" s="2">
        <v>5.18</v>
      </c>
      <c r="K33">
        <v>4</v>
      </c>
      <c r="L33" s="1">
        <v>19511.759999999998</v>
      </c>
      <c r="M33">
        <f t="shared" si="0"/>
        <v>11</v>
      </c>
      <c r="N33">
        <f t="shared" si="1"/>
        <v>1773.7963636363636</v>
      </c>
      <c r="O33">
        <f t="shared" si="2"/>
        <v>4555.727272727273</v>
      </c>
      <c r="P33">
        <f t="shared" si="3"/>
        <v>169.82469227900037</v>
      </c>
      <c r="Q33" t="str">
        <f t="shared" si="4"/>
        <v>Mature (8-12 years)</v>
      </c>
      <c r="R33" t="str">
        <f t="shared" si="5"/>
        <v>Low</v>
      </c>
      <c r="S33" t="str">
        <f t="shared" si="6"/>
        <v>Very High</v>
      </c>
    </row>
    <row r="34" spans="1:19" x14ac:dyDescent="0.3">
      <c r="A34">
        <v>33</v>
      </c>
      <c r="B34" t="s">
        <v>21</v>
      </c>
      <c r="C34">
        <v>2014</v>
      </c>
      <c r="D34">
        <v>79069</v>
      </c>
      <c r="E34" t="s">
        <v>17</v>
      </c>
      <c r="F34" t="s">
        <v>18</v>
      </c>
      <c r="G34" t="s">
        <v>15</v>
      </c>
      <c r="H34">
        <v>1230</v>
      </c>
      <c r="I34">
        <v>490.9</v>
      </c>
      <c r="J34" s="2">
        <v>22.01</v>
      </c>
      <c r="K34">
        <v>4</v>
      </c>
      <c r="L34" s="1">
        <v>3092.37</v>
      </c>
      <c r="M34">
        <f t="shared" si="0"/>
        <v>10</v>
      </c>
      <c r="N34">
        <f t="shared" si="1"/>
        <v>309.23699999999997</v>
      </c>
      <c r="O34">
        <f t="shared" si="2"/>
        <v>7906.9</v>
      </c>
      <c r="P34">
        <f t="shared" si="3"/>
        <v>399.10569105691053</v>
      </c>
      <c r="Q34" t="str">
        <f t="shared" si="4"/>
        <v>Mature (8-12 years)</v>
      </c>
      <c r="R34" t="str">
        <f t="shared" si="5"/>
        <v>Good</v>
      </c>
      <c r="S34" t="str">
        <f t="shared" si="6"/>
        <v>Very High</v>
      </c>
    </row>
    <row r="35" spans="1:19" x14ac:dyDescent="0.3">
      <c r="A35">
        <v>34</v>
      </c>
      <c r="B35" t="s">
        <v>25</v>
      </c>
      <c r="C35">
        <v>2024</v>
      </c>
      <c r="D35">
        <v>141321</v>
      </c>
      <c r="E35" t="s">
        <v>17</v>
      </c>
      <c r="F35" t="s">
        <v>14</v>
      </c>
      <c r="G35" t="s">
        <v>15</v>
      </c>
      <c r="H35">
        <v>1038</v>
      </c>
      <c r="I35">
        <v>513.20000000000005</v>
      </c>
      <c r="J35" s="2">
        <v>25.64</v>
      </c>
      <c r="K35">
        <v>7</v>
      </c>
      <c r="L35" s="1">
        <v>97786.39</v>
      </c>
      <c r="M35">
        <f t="shared" si="0"/>
        <v>0</v>
      </c>
      <c r="N35">
        <f t="shared" si="1"/>
        <v>97786.39</v>
      </c>
      <c r="O35">
        <f t="shared" si="2"/>
        <v>141321</v>
      </c>
      <c r="P35">
        <f t="shared" si="3"/>
        <v>494.41233140655106</v>
      </c>
      <c r="Q35" t="str">
        <f t="shared" si="4"/>
        <v>New (0-3 years)</v>
      </c>
      <c r="R35" t="str">
        <f t="shared" si="5"/>
        <v>Excellent</v>
      </c>
      <c r="S35" t="str">
        <f t="shared" si="6"/>
        <v>Very High</v>
      </c>
    </row>
    <row r="36" spans="1:19" x14ac:dyDescent="0.3">
      <c r="A36">
        <v>35</v>
      </c>
      <c r="B36" t="s">
        <v>12</v>
      </c>
      <c r="C36">
        <v>2013</v>
      </c>
      <c r="D36">
        <v>155273</v>
      </c>
      <c r="E36" t="s">
        <v>17</v>
      </c>
      <c r="F36" t="s">
        <v>18</v>
      </c>
      <c r="G36" t="s">
        <v>15</v>
      </c>
      <c r="H36">
        <v>3145</v>
      </c>
      <c r="I36">
        <v>261.2</v>
      </c>
      <c r="J36" s="2">
        <v>8.67</v>
      </c>
      <c r="K36">
        <v>4</v>
      </c>
      <c r="L36" s="1">
        <v>13246.22</v>
      </c>
      <c r="M36">
        <f t="shared" si="0"/>
        <v>11</v>
      </c>
      <c r="N36">
        <f t="shared" si="1"/>
        <v>1204.2018181818182</v>
      </c>
      <c r="O36">
        <f t="shared" si="2"/>
        <v>14115.727272727272</v>
      </c>
      <c r="P36">
        <f t="shared" si="3"/>
        <v>83.052464228934809</v>
      </c>
      <c r="Q36" t="str">
        <f t="shared" si="4"/>
        <v>Mature (8-12 years)</v>
      </c>
      <c r="R36" t="str">
        <f t="shared" si="5"/>
        <v>Low</v>
      </c>
      <c r="S36" t="str">
        <f t="shared" si="6"/>
        <v>Very High</v>
      </c>
    </row>
    <row r="37" spans="1:19" x14ac:dyDescent="0.3">
      <c r="A37">
        <v>36</v>
      </c>
      <c r="B37" t="s">
        <v>21</v>
      </c>
      <c r="C37">
        <v>2007</v>
      </c>
      <c r="D37">
        <v>130541</v>
      </c>
      <c r="E37" t="s">
        <v>13</v>
      </c>
      <c r="F37" t="s">
        <v>18</v>
      </c>
      <c r="G37" t="s">
        <v>15</v>
      </c>
      <c r="H37">
        <v>875</v>
      </c>
      <c r="I37">
        <v>68.7</v>
      </c>
      <c r="J37" s="2">
        <v>8.99</v>
      </c>
      <c r="K37">
        <v>2</v>
      </c>
      <c r="L37" s="1">
        <v>77160.429999999993</v>
      </c>
      <c r="M37">
        <f t="shared" si="0"/>
        <v>17</v>
      </c>
      <c r="N37">
        <f t="shared" si="1"/>
        <v>4538.8488235294117</v>
      </c>
      <c r="O37">
        <f t="shared" si="2"/>
        <v>7678.8823529411766</v>
      </c>
      <c r="P37">
        <f t="shared" si="3"/>
        <v>78.51428571428572</v>
      </c>
      <c r="Q37" t="str">
        <f t="shared" si="4"/>
        <v>Old (12+ years)</v>
      </c>
      <c r="R37" t="str">
        <f t="shared" si="5"/>
        <v>Low</v>
      </c>
      <c r="S37" t="str">
        <f t="shared" si="6"/>
        <v>Low</v>
      </c>
    </row>
    <row r="38" spans="1:19" x14ac:dyDescent="0.3">
      <c r="A38">
        <v>37</v>
      </c>
      <c r="B38" t="s">
        <v>30</v>
      </c>
      <c r="C38">
        <v>2024</v>
      </c>
      <c r="D38">
        <v>194648</v>
      </c>
      <c r="E38" t="s">
        <v>17</v>
      </c>
      <c r="F38" t="s">
        <v>18</v>
      </c>
      <c r="G38" t="s">
        <v>23</v>
      </c>
      <c r="H38">
        <v>2156</v>
      </c>
      <c r="I38">
        <v>265.10000000000002</v>
      </c>
      <c r="J38" s="2">
        <v>24.75</v>
      </c>
      <c r="K38">
        <v>2</v>
      </c>
      <c r="L38" s="1">
        <v>110010.13</v>
      </c>
      <c r="M38">
        <f t="shared" si="0"/>
        <v>0</v>
      </c>
      <c r="N38">
        <f t="shared" si="1"/>
        <v>110010.13</v>
      </c>
      <c r="O38">
        <f t="shared" si="2"/>
        <v>194648</v>
      </c>
      <c r="P38">
        <f t="shared" si="3"/>
        <v>122.9591836734694</v>
      </c>
      <c r="Q38" t="str">
        <f t="shared" si="4"/>
        <v>New (0-3 years)</v>
      </c>
      <c r="R38" t="str">
        <f t="shared" si="5"/>
        <v>Good</v>
      </c>
      <c r="S38" t="str">
        <f t="shared" si="6"/>
        <v>Very High</v>
      </c>
    </row>
    <row r="39" spans="1:19" x14ac:dyDescent="0.3">
      <c r="A39">
        <v>38</v>
      </c>
      <c r="B39" t="s">
        <v>12</v>
      </c>
      <c r="C39">
        <v>2015</v>
      </c>
      <c r="D39">
        <v>14686</v>
      </c>
      <c r="E39" t="s">
        <v>22</v>
      </c>
      <c r="F39" t="s">
        <v>18</v>
      </c>
      <c r="G39" t="s">
        <v>15</v>
      </c>
      <c r="H39">
        <v>3130</v>
      </c>
      <c r="I39">
        <v>417.3</v>
      </c>
      <c r="J39" s="2">
        <v>20.41</v>
      </c>
      <c r="K39">
        <v>7</v>
      </c>
      <c r="L39" s="1">
        <v>27412.27</v>
      </c>
      <c r="M39">
        <f t="shared" si="0"/>
        <v>9</v>
      </c>
      <c r="N39">
        <f t="shared" si="1"/>
        <v>3045.807777777778</v>
      </c>
      <c r="O39">
        <f t="shared" si="2"/>
        <v>1631.7777777777778</v>
      </c>
      <c r="P39">
        <f t="shared" si="3"/>
        <v>133.32268370607031</v>
      </c>
      <c r="Q39" t="str">
        <f t="shared" si="4"/>
        <v>Mature (8-12 years)</v>
      </c>
      <c r="R39" t="str">
        <f t="shared" si="5"/>
        <v>Good</v>
      </c>
      <c r="S39" t="str">
        <f t="shared" si="6"/>
        <v>Very High</v>
      </c>
    </row>
    <row r="40" spans="1:19" x14ac:dyDescent="0.3">
      <c r="A40">
        <v>39</v>
      </c>
      <c r="B40" t="s">
        <v>28</v>
      </c>
      <c r="C40">
        <v>2010</v>
      </c>
      <c r="D40">
        <v>58363</v>
      </c>
      <c r="E40" t="s">
        <v>26</v>
      </c>
      <c r="F40" t="s">
        <v>18</v>
      </c>
      <c r="G40" t="s">
        <v>20</v>
      </c>
      <c r="H40">
        <v>2702</v>
      </c>
      <c r="I40">
        <v>292.2</v>
      </c>
      <c r="J40" s="2">
        <v>6.12</v>
      </c>
      <c r="K40">
        <v>6</v>
      </c>
      <c r="L40" s="1">
        <v>80836.92</v>
      </c>
      <c r="M40">
        <f t="shared" si="0"/>
        <v>14</v>
      </c>
      <c r="N40">
        <f t="shared" si="1"/>
        <v>5774.0657142857144</v>
      </c>
      <c r="O40">
        <f t="shared" si="2"/>
        <v>4168.7857142857147</v>
      </c>
      <c r="P40">
        <f t="shared" si="3"/>
        <v>108.1421169504071</v>
      </c>
      <c r="Q40" t="str">
        <f t="shared" si="4"/>
        <v>Old (12+ years)</v>
      </c>
      <c r="R40" t="str">
        <f t="shared" si="5"/>
        <v>Low</v>
      </c>
      <c r="S40" t="str">
        <f t="shared" si="6"/>
        <v>Very High</v>
      </c>
    </row>
    <row r="41" spans="1:19" x14ac:dyDescent="0.3">
      <c r="A41">
        <v>40</v>
      </c>
      <c r="B41" t="s">
        <v>16</v>
      </c>
      <c r="C41">
        <v>2006</v>
      </c>
      <c r="D41">
        <v>102543</v>
      </c>
      <c r="E41" t="s">
        <v>13</v>
      </c>
      <c r="F41" t="s">
        <v>18</v>
      </c>
      <c r="G41" t="s">
        <v>20</v>
      </c>
      <c r="H41">
        <v>4813</v>
      </c>
      <c r="I41">
        <v>459.4</v>
      </c>
      <c r="J41" s="2">
        <v>20.56</v>
      </c>
      <c r="K41">
        <v>2</v>
      </c>
      <c r="L41" s="1">
        <v>12207.73</v>
      </c>
      <c r="M41">
        <f t="shared" si="0"/>
        <v>18</v>
      </c>
      <c r="N41">
        <f t="shared" si="1"/>
        <v>678.20722222222219</v>
      </c>
      <c r="O41">
        <f t="shared" si="2"/>
        <v>5696.833333333333</v>
      </c>
      <c r="P41">
        <f t="shared" si="3"/>
        <v>95.449823394971958</v>
      </c>
      <c r="Q41" t="str">
        <f t="shared" si="4"/>
        <v>Old (12+ years)</v>
      </c>
      <c r="R41" t="str">
        <f t="shared" si="5"/>
        <v>Good</v>
      </c>
      <c r="S41" t="str">
        <f t="shared" si="6"/>
        <v>Very High</v>
      </c>
    </row>
    <row r="42" spans="1:19" x14ac:dyDescent="0.3">
      <c r="A42">
        <v>41</v>
      </c>
      <c r="B42" t="s">
        <v>30</v>
      </c>
      <c r="C42">
        <v>2011</v>
      </c>
      <c r="D42">
        <v>136733</v>
      </c>
      <c r="E42" t="s">
        <v>17</v>
      </c>
      <c r="F42" t="s">
        <v>18</v>
      </c>
      <c r="G42" t="s">
        <v>23</v>
      </c>
      <c r="H42">
        <v>2859</v>
      </c>
      <c r="I42">
        <v>239.9</v>
      </c>
      <c r="J42" s="2">
        <v>12.72</v>
      </c>
      <c r="K42">
        <v>2</v>
      </c>
      <c r="L42" s="1">
        <v>73639.350000000006</v>
      </c>
      <c r="M42">
        <f t="shared" si="0"/>
        <v>13</v>
      </c>
      <c r="N42">
        <f t="shared" si="1"/>
        <v>5664.5653846153855</v>
      </c>
      <c r="O42">
        <f t="shared" si="2"/>
        <v>10517.923076923076</v>
      </c>
      <c r="P42">
        <f t="shared" si="3"/>
        <v>83.910458202168599</v>
      </c>
      <c r="Q42" t="str">
        <f t="shared" si="4"/>
        <v>Old (12+ years)</v>
      </c>
      <c r="R42" t="str">
        <f t="shared" si="5"/>
        <v>Low</v>
      </c>
      <c r="S42" t="str">
        <f t="shared" si="6"/>
        <v>Very High</v>
      </c>
    </row>
    <row r="43" spans="1:19" x14ac:dyDescent="0.3">
      <c r="A43">
        <v>42</v>
      </c>
      <c r="B43" t="s">
        <v>28</v>
      </c>
      <c r="C43">
        <v>2022</v>
      </c>
      <c r="D43">
        <v>180915</v>
      </c>
      <c r="E43" t="s">
        <v>13</v>
      </c>
      <c r="F43" t="s">
        <v>18</v>
      </c>
      <c r="G43" t="s">
        <v>15</v>
      </c>
      <c r="H43">
        <v>940</v>
      </c>
      <c r="I43">
        <v>395.5</v>
      </c>
      <c r="J43" s="2">
        <v>14.22</v>
      </c>
      <c r="K43">
        <v>7</v>
      </c>
      <c r="L43" s="1">
        <v>22180.01</v>
      </c>
      <c r="M43">
        <f t="shared" si="0"/>
        <v>2</v>
      </c>
      <c r="N43">
        <f t="shared" si="1"/>
        <v>11090.004999999999</v>
      </c>
      <c r="O43">
        <f t="shared" si="2"/>
        <v>90457.5</v>
      </c>
      <c r="P43">
        <f t="shared" si="3"/>
        <v>420.74468085106383</v>
      </c>
      <c r="Q43" t="str">
        <f t="shared" si="4"/>
        <v>New (0-3 years)</v>
      </c>
      <c r="R43" t="str">
        <f t="shared" si="5"/>
        <v>Low</v>
      </c>
      <c r="S43" t="str">
        <f t="shared" si="6"/>
        <v>Very High</v>
      </c>
    </row>
    <row r="44" spans="1:19" x14ac:dyDescent="0.3">
      <c r="A44">
        <v>43</v>
      </c>
      <c r="B44" t="s">
        <v>24</v>
      </c>
      <c r="C44">
        <v>2006</v>
      </c>
      <c r="D44">
        <v>100673</v>
      </c>
      <c r="E44" t="s">
        <v>17</v>
      </c>
      <c r="F44" t="s">
        <v>18</v>
      </c>
      <c r="G44" t="s">
        <v>20</v>
      </c>
      <c r="H44">
        <v>2589</v>
      </c>
      <c r="I44">
        <v>144.4</v>
      </c>
      <c r="J44" s="2">
        <v>24.24</v>
      </c>
      <c r="K44">
        <v>5</v>
      </c>
      <c r="L44" s="1">
        <v>89106.57</v>
      </c>
      <c r="M44">
        <f t="shared" si="0"/>
        <v>18</v>
      </c>
      <c r="N44">
        <f t="shared" si="1"/>
        <v>4950.3650000000007</v>
      </c>
      <c r="O44">
        <f t="shared" si="2"/>
        <v>5592.9444444444443</v>
      </c>
      <c r="P44">
        <f t="shared" si="3"/>
        <v>55.774430281962154</v>
      </c>
      <c r="Q44" t="str">
        <f t="shared" si="4"/>
        <v>Old (12+ years)</v>
      </c>
      <c r="R44" t="str">
        <f t="shared" si="5"/>
        <v>Good</v>
      </c>
      <c r="S44" t="str">
        <f t="shared" si="6"/>
        <v>Medium</v>
      </c>
    </row>
    <row r="45" spans="1:19" x14ac:dyDescent="0.3">
      <c r="A45">
        <v>44</v>
      </c>
      <c r="B45" t="s">
        <v>30</v>
      </c>
      <c r="C45">
        <v>2021</v>
      </c>
      <c r="D45">
        <v>197035</v>
      </c>
      <c r="E45" t="s">
        <v>13</v>
      </c>
      <c r="F45" t="s">
        <v>14</v>
      </c>
      <c r="G45" t="s">
        <v>23</v>
      </c>
      <c r="H45">
        <v>4426</v>
      </c>
      <c r="I45">
        <v>459.6</v>
      </c>
      <c r="J45" s="2">
        <v>25.27</v>
      </c>
      <c r="K45">
        <v>4</v>
      </c>
      <c r="L45" s="1">
        <v>38244.06</v>
      </c>
      <c r="M45">
        <f t="shared" si="0"/>
        <v>3</v>
      </c>
      <c r="N45">
        <f t="shared" si="1"/>
        <v>12748.019999999999</v>
      </c>
      <c r="O45">
        <f t="shared" si="2"/>
        <v>65678.333333333328</v>
      </c>
      <c r="P45">
        <f t="shared" si="3"/>
        <v>103.84093990058744</v>
      </c>
      <c r="Q45" t="str">
        <f t="shared" si="4"/>
        <v>New (0-3 years)</v>
      </c>
      <c r="R45" t="str">
        <f t="shared" si="5"/>
        <v>Excellent</v>
      </c>
      <c r="S45" t="str">
        <f t="shared" si="6"/>
        <v>Very High</v>
      </c>
    </row>
    <row r="46" spans="1:19" x14ac:dyDescent="0.3">
      <c r="A46">
        <v>45</v>
      </c>
      <c r="B46" t="s">
        <v>24</v>
      </c>
      <c r="C46">
        <v>2015</v>
      </c>
      <c r="D46">
        <v>47828</v>
      </c>
      <c r="E46" t="s">
        <v>26</v>
      </c>
      <c r="F46" t="s">
        <v>14</v>
      </c>
      <c r="G46" t="s">
        <v>15</v>
      </c>
      <c r="H46">
        <v>816</v>
      </c>
      <c r="I46">
        <v>345.6</v>
      </c>
      <c r="J46" s="2">
        <v>15.01</v>
      </c>
      <c r="K46">
        <v>2</v>
      </c>
      <c r="L46" s="1">
        <v>57216.75</v>
      </c>
      <c r="M46">
        <f t="shared" si="0"/>
        <v>9</v>
      </c>
      <c r="N46">
        <f t="shared" si="1"/>
        <v>6357.416666666667</v>
      </c>
      <c r="O46">
        <f t="shared" si="2"/>
        <v>5314.2222222222226</v>
      </c>
      <c r="P46">
        <f t="shared" si="3"/>
        <v>423.52941176470591</v>
      </c>
      <c r="Q46" t="str">
        <f t="shared" si="4"/>
        <v>Mature (8-12 years)</v>
      </c>
      <c r="R46" t="str">
        <f t="shared" si="5"/>
        <v>Average</v>
      </c>
      <c r="S46" t="str">
        <f t="shared" si="6"/>
        <v>Very High</v>
      </c>
    </row>
    <row r="47" spans="1:19" x14ac:dyDescent="0.3">
      <c r="A47">
        <v>46</v>
      </c>
      <c r="B47" t="s">
        <v>21</v>
      </c>
      <c r="C47">
        <v>2016</v>
      </c>
      <c r="D47">
        <v>53604</v>
      </c>
      <c r="E47" t="s">
        <v>26</v>
      </c>
      <c r="F47" t="s">
        <v>18</v>
      </c>
      <c r="G47" t="s">
        <v>20</v>
      </c>
      <c r="H47">
        <v>1264</v>
      </c>
      <c r="I47">
        <v>154.30000000000001</v>
      </c>
      <c r="J47" s="2">
        <v>28.68</v>
      </c>
      <c r="K47">
        <v>5</v>
      </c>
      <c r="L47" s="1">
        <v>73133.37</v>
      </c>
      <c r="M47">
        <f t="shared" si="0"/>
        <v>8</v>
      </c>
      <c r="N47">
        <f t="shared" si="1"/>
        <v>9141.6712499999994</v>
      </c>
      <c r="O47">
        <f t="shared" si="2"/>
        <v>6700.5</v>
      </c>
      <c r="P47">
        <f t="shared" si="3"/>
        <v>122.07278481012659</v>
      </c>
      <c r="Q47" t="str">
        <f t="shared" si="4"/>
        <v>Mature (8-12 years)</v>
      </c>
      <c r="R47" t="str">
        <f t="shared" si="5"/>
        <v>Excellent</v>
      </c>
      <c r="S47" t="str">
        <f t="shared" si="6"/>
        <v>High</v>
      </c>
    </row>
    <row r="48" spans="1:19" x14ac:dyDescent="0.3">
      <c r="A48">
        <v>47</v>
      </c>
      <c r="B48" t="s">
        <v>28</v>
      </c>
      <c r="C48">
        <v>2023</v>
      </c>
      <c r="D48">
        <v>15526</v>
      </c>
      <c r="E48" t="s">
        <v>22</v>
      </c>
      <c r="F48" t="s">
        <v>14</v>
      </c>
      <c r="G48" t="s">
        <v>20</v>
      </c>
      <c r="H48">
        <v>2627</v>
      </c>
      <c r="I48">
        <v>203.5</v>
      </c>
      <c r="J48" s="2">
        <v>15.16</v>
      </c>
      <c r="K48">
        <v>6</v>
      </c>
      <c r="L48" s="1">
        <v>23038.99</v>
      </c>
      <c r="M48">
        <f t="shared" si="0"/>
        <v>1</v>
      </c>
      <c r="N48">
        <f t="shared" si="1"/>
        <v>23038.99</v>
      </c>
      <c r="O48">
        <f t="shared" si="2"/>
        <v>15526</v>
      </c>
      <c r="P48">
        <f t="shared" si="3"/>
        <v>77.464788732394368</v>
      </c>
      <c r="Q48" t="str">
        <f t="shared" si="4"/>
        <v>New (0-3 years)</v>
      </c>
      <c r="R48" t="str">
        <f t="shared" si="5"/>
        <v>Average</v>
      </c>
      <c r="S48" t="str">
        <f t="shared" si="6"/>
        <v>Very High</v>
      </c>
    </row>
    <row r="49" spans="1:19" x14ac:dyDescent="0.3">
      <c r="A49">
        <v>48</v>
      </c>
      <c r="B49" t="s">
        <v>16</v>
      </c>
      <c r="C49">
        <v>2011</v>
      </c>
      <c r="D49">
        <v>73910</v>
      </c>
      <c r="E49" t="s">
        <v>22</v>
      </c>
      <c r="F49" t="s">
        <v>18</v>
      </c>
      <c r="G49" t="s">
        <v>23</v>
      </c>
      <c r="H49">
        <v>3828</v>
      </c>
      <c r="I49">
        <v>459.2</v>
      </c>
      <c r="J49" s="2">
        <v>24.3</v>
      </c>
      <c r="K49">
        <v>5</v>
      </c>
      <c r="L49" s="1">
        <v>89771.62</v>
      </c>
      <c r="M49">
        <f t="shared" si="0"/>
        <v>13</v>
      </c>
      <c r="N49">
        <f t="shared" si="1"/>
        <v>6905.5092307692303</v>
      </c>
      <c r="O49">
        <f t="shared" si="2"/>
        <v>5685.3846153846152</v>
      </c>
      <c r="P49">
        <f t="shared" si="3"/>
        <v>119.95820271682341</v>
      </c>
      <c r="Q49" t="str">
        <f t="shared" si="4"/>
        <v>Old (12+ years)</v>
      </c>
      <c r="R49" t="str">
        <f t="shared" si="5"/>
        <v>Good</v>
      </c>
      <c r="S49" t="str">
        <f t="shared" si="6"/>
        <v>Very High</v>
      </c>
    </row>
    <row r="50" spans="1:19" x14ac:dyDescent="0.3">
      <c r="A50">
        <v>49</v>
      </c>
      <c r="B50" t="s">
        <v>12</v>
      </c>
      <c r="C50">
        <v>2024</v>
      </c>
      <c r="D50">
        <v>30592</v>
      </c>
      <c r="E50" t="s">
        <v>17</v>
      </c>
      <c r="F50" t="s">
        <v>18</v>
      </c>
      <c r="G50" t="s">
        <v>15</v>
      </c>
      <c r="H50">
        <v>1319</v>
      </c>
      <c r="I50">
        <v>310.3</v>
      </c>
      <c r="J50" s="2">
        <v>17.100000000000001</v>
      </c>
      <c r="K50">
        <v>7</v>
      </c>
      <c r="L50" s="1">
        <v>38408.92</v>
      </c>
      <c r="M50">
        <f t="shared" si="0"/>
        <v>0</v>
      </c>
      <c r="N50">
        <f t="shared" si="1"/>
        <v>38408.92</v>
      </c>
      <c r="O50">
        <f t="shared" si="2"/>
        <v>30592</v>
      </c>
      <c r="P50">
        <f t="shared" si="3"/>
        <v>235.25398028809707</v>
      </c>
      <c r="Q50" t="str">
        <f t="shared" si="4"/>
        <v>New (0-3 years)</v>
      </c>
      <c r="R50" t="str">
        <f t="shared" si="5"/>
        <v>Average</v>
      </c>
      <c r="S50" t="str">
        <f t="shared" si="6"/>
        <v>Very High</v>
      </c>
    </row>
    <row r="51" spans="1:19" x14ac:dyDescent="0.3">
      <c r="A51">
        <v>50</v>
      </c>
      <c r="B51" t="s">
        <v>19</v>
      </c>
      <c r="C51">
        <v>2010</v>
      </c>
      <c r="D51">
        <v>33982</v>
      </c>
      <c r="E51" t="s">
        <v>26</v>
      </c>
      <c r="F51" t="s">
        <v>14</v>
      </c>
      <c r="G51" t="s">
        <v>15</v>
      </c>
      <c r="H51">
        <v>889</v>
      </c>
      <c r="I51">
        <v>161</v>
      </c>
      <c r="J51" s="2">
        <v>27.44</v>
      </c>
      <c r="K51">
        <v>6</v>
      </c>
      <c r="L51" s="1">
        <v>80497.509999999995</v>
      </c>
      <c r="M51">
        <f t="shared" si="0"/>
        <v>14</v>
      </c>
      <c r="N51">
        <f t="shared" si="1"/>
        <v>5749.8221428571424</v>
      </c>
      <c r="O51">
        <f t="shared" si="2"/>
        <v>2427.2857142857142</v>
      </c>
      <c r="P51">
        <f t="shared" si="3"/>
        <v>181.10236220472441</v>
      </c>
      <c r="Q51" t="str">
        <f t="shared" si="4"/>
        <v>Old (12+ years)</v>
      </c>
      <c r="R51" t="str">
        <f t="shared" si="5"/>
        <v>Excellent</v>
      </c>
      <c r="S51" t="str">
        <f t="shared" si="6"/>
        <v>High</v>
      </c>
    </row>
    <row r="52" spans="1:19" x14ac:dyDescent="0.3">
      <c r="A52">
        <v>51</v>
      </c>
      <c r="B52" t="s">
        <v>25</v>
      </c>
      <c r="C52">
        <v>2005</v>
      </c>
      <c r="D52">
        <v>5207</v>
      </c>
      <c r="E52" t="s">
        <v>13</v>
      </c>
      <c r="F52" t="s">
        <v>18</v>
      </c>
      <c r="G52" t="s">
        <v>20</v>
      </c>
      <c r="H52">
        <v>3651</v>
      </c>
      <c r="I52">
        <v>581.70000000000005</v>
      </c>
      <c r="J52" s="2">
        <v>27.69</v>
      </c>
      <c r="K52">
        <v>6</v>
      </c>
      <c r="L52" s="1">
        <v>21519.119999999999</v>
      </c>
      <c r="M52">
        <f t="shared" si="0"/>
        <v>19</v>
      </c>
      <c r="N52">
        <f t="shared" si="1"/>
        <v>1132.5852631578946</v>
      </c>
      <c r="O52">
        <f t="shared" si="2"/>
        <v>274.05263157894734</v>
      </c>
      <c r="P52">
        <f t="shared" si="3"/>
        <v>159.32621199671325</v>
      </c>
      <c r="Q52" t="str">
        <f t="shared" si="4"/>
        <v>Old (12+ years)</v>
      </c>
      <c r="R52" t="str">
        <f t="shared" si="5"/>
        <v>Excellent</v>
      </c>
      <c r="S52" t="str">
        <f t="shared" si="6"/>
        <v>Very High</v>
      </c>
    </row>
    <row r="53" spans="1:19" x14ac:dyDescent="0.3">
      <c r="A53">
        <v>52</v>
      </c>
      <c r="B53" t="s">
        <v>29</v>
      </c>
      <c r="C53">
        <v>2021</v>
      </c>
      <c r="D53">
        <v>93733</v>
      </c>
      <c r="E53" t="s">
        <v>13</v>
      </c>
      <c r="F53" t="s">
        <v>18</v>
      </c>
      <c r="G53" t="s">
        <v>20</v>
      </c>
      <c r="H53">
        <v>3643</v>
      </c>
      <c r="I53">
        <v>440.5</v>
      </c>
      <c r="J53" s="2">
        <v>7.19</v>
      </c>
      <c r="K53">
        <v>5</v>
      </c>
      <c r="L53" s="1">
        <v>83509.77</v>
      </c>
      <c r="M53">
        <f t="shared" si="0"/>
        <v>3</v>
      </c>
      <c r="N53">
        <f t="shared" si="1"/>
        <v>27836.59</v>
      </c>
      <c r="O53">
        <f t="shared" si="2"/>
        <v>31244.333333333332</v>
      </c>
      <c r="P53">
        <f t="shared" si="3"/>
        <v>120.91682679110623</v>
      </c>
      <c r="Q53" t="str">
        <f t="shared" si="4"/>
        <v>New (0-3 years)</v>
      </c>
      <c r="R53" t="str">
        <f t="shared" si="5"/>
        <v>Low</v>
      </c>
      <c r="S53" t="str">
        <f t="shared" si="6"/>
        <v>Very High</v>
      </c>
    </row>
    <row r="54" spans="1:19" x14ac:dyDescent="0.3">
      <c r="A54">
        <v>53</v>
      </c>
      <c r="B54" t="s">
        <v>16</v>
      </c>
      <c r="C54">
        <v>2015</v>
      </c>
      <c r="D54">
        <v>129982</v>
      </c>
      <c r="E54" t="s">
        <v>13</v>
      </c>
      <c r="F54" t="s">
        <v>14</v>
      </c>
      <c r="G54" t="s">
        <v>20</v>
      </c>
      <c r="H54">
        <v>2684</v>
      </c>
      <c r="I54">
        <v>576</v>
      </c>
      <c r="J54" s="2">
        <v>28.41</v>
      </c>
      <c r="K54">
        <v>7</v>
      </c>
      <c r="L54" s="1">
        <v>17998</v>
      </c>
      <c r="M54">
        <f t="shared" si="0"/>
        <v>9</v>
      </c>
      <c r="N54">
        <f t="shared" si="1"/>
        <v>1999.7777777777778</v>
      </c>
      <c r="O54">
        <f t="shared" si="2"/>
        <v>14442.444444444445</v>
      </c>
      <c r="P54">
        <f t="shared" si="3"/>
        <v>214.60506706408344</v>
      </c>
      <c r="Q54" t="str">
        <f t="shared" si="4"/>
        <v>Mature (8-12 years)</v>
      </c>
      <c r="R54" t="str">
        <f t="shared" si="5"/>
        <v>Excellent</v>
      </c>
      <c r="S54" t="str">
        <f t="shared" si="6"/>
        <v>Very High</v>
      </c>
    </row>
    <row r="55" spans="1:19" x14ac:dyDescent="0.3">
      <c r="A55">
        <v>54</v>
      </c>
      <c r="B55" t="s">
        <v>28</v>
      </c>
      <c r="C55">
        <v>2022</v>
      </c>
      <c r="D55">
        <v>73619</v>
      </c>
      <c r="E55" t="s">
        <v>22</v>
      </c>
      <c r="F55" t="s">
        <v>14</v>
      </c>
      <c r="G55" t="s">
        <v>15</v>
      </c>
      <c r="H55">
        <v>4971</v>
      </c>
      <c r="I55">
        <v>279.2</v>
      </c>
      <c r="J55" s="2">
        <v>25.64</v>
      </c>
      <c r="K55">
        <v>2</v>
      </c>
      <c r="L55" s="1">
        <v>52766.71</v>
      </c>
      <c r="M55">
        <f t="shared" si="0"/>
        <v>2</v>
      </c>
      <c r="N55">
        <f t="shared" si="1"/>
        <v>26383.355</v>
      </c>
      <c r="O55">
        <f t="shared" si="2"/>
        <v>36809.5</v>
      </c>
      <c r="P55">
        <f t="shared" si="3"/>
        <v>56.165761416214039</v>
      </c>
      <c r="Q55" t="str">
        <f t="shared" si="4"/>
        <v>New (0-3 years)</v>
      </c>
      <c r="R55" t="str">
        <f t="shared" si="5"/>
        <v>Excellent</v>
      </c>
      <c r="S55" t="str">
        <f t="shared" si="6"/>
        <v>Very High</v>
      </c>
    </row>
    <row r="56" spans="1:19" x14ac:dyDescent="0.3">
      <c r="A56">
        <v>55</v>
      </c>
      <c r="B56" t="s">
        <v>19</v>
      </c>
      <c r="C56">
        <v>2021</v>
      </c>
      <c r="D56">
        <v>165400</v>
      </c>
      <c r="E56" t="s">
        <v>13</v>
      </c>
      <c r="F56" t="s">
        <v>18</v>
      </c>
      <c r="G56" t="s">
        <v>23</v>
      </c>
      <c r="H56">
        <v>1725</v>
      </c>
      <c r="I56">
        <v>306.10000000000002</v>
      </c>
      <c r="J56" s="2">
        <v>24.78</v>
      </c>
      <c r="K56">
        <v>5</v>
      </c>
      <c r="L56" s="1">
        <v>31923.11</v>
      </c>
      <c r="M56">
        <f t="shared" si="0"/>
        <v>3</v>
      </c>
      <c r="N56">
        <f t="shared" si="1"/>
        <v>10641.036666666667</v>
      </c>
      <c r="O56">
        <f t="shared" si="2"/>
        <v>55133.333333333336</v>
      </c>
      <c r="P56">
        <f t="shared" si="3"/>
        <v>177.44927536231884</v>
      </c>
      <c r="Q56" t="str">
        <f t="shared" si="4"/>
        <v>New (0-3 years)</v>
      </c>
      <c r="R56" t="str">
        <f t="shared" si="5"/>
        <v>Good</v>
      </c>
      <c r="S56" t="str">
        <f t="shared" si="6"/>
        <v>Very High</v>
      </c>
    </row>
    <row r="57" spans="1:19" x14ac:dyDescent="0.3">
      <c r="A57">
        <v>56</v>
      </c>
      <c r="B57" t="s">
        <v>16</v>
      </c>
      <c r="C57">
        <v>2011</v>
      </c>
      <c r="D57">
        <v>51479</v>
      </c>
      <c r="E57" t="s">
        <v>22</v>
      </c>
      <c r="F57" t="s">
        <v>14</v>
      </c>
      <c r="G57" t="s">
        <v>23</v>
      </c>
      <c r="H57">
        <v>4534</v>
      </c>
      <c r="I57">
        <v>542.9</v>
      </c>
      <c r="J57" s="2">
        <v>10.02</v>
      </c>
      <c r="K57">
        <v>2</v>
      </c>
      <c r="L57" s="1">
        <v>90559.9</v>
      </c>
      <c r="M57">
        <f t="shared" si="0"/>
        <v>13</v>
      </c>
      <c r="N57">
        <f t="shared" si="1"/>
        <v>6966.1461538461535</v>
      </c>
      <c r="O57">
        <f t="shared" si="2"/>
        <v>3959.9230769230771</v>
      </c>
      <c r="P57">
        <f t="shared" si="3"/>
        <v>119.73974415527128</v>
      </c>
      <c r="Q57" t="str">
        <f t="shared" si="4"/>
        <v>Old (12+ years)</v>
      </c>
      <c r="R57" t="str">
        <f t="shared" si="5"/>
        <v>Low</v>
      </c>
      <c r="S57" t="str">
        <f t="shared" si="6"/>
        <v>Very High</v>
      </c>
    </row>
    <row r="58" spans="1:19" x14ac:dyDescent="0.3">
      <c r="A58">
        <v>57</v>
      </c>
      <c r="B58" t="s">
        <v>28</v>
      </c>
      <c r="C58">
        <v>2021</v>
      </c>
      <c r="D58">
        <v>156175</v>
      </c>
      <c r="E58" t="s">
        <v>22</v>
      </c>
      <c r="F58" t="s">
        <v>14</v>
      </c>
      <c r="G58" t="s">
        <v>15</v>
      </c>
      <c r="H58">
        <v>1769</v>
      </c>
      <c r="I58">
        <v>334</v>
      </c>
      <c r="J58" s="2">
        <v>25.13</v>
      </c>
      <c r="K58">
        <v>5</v>
      </c>
      <c r="L58" s="1">
        <v>33658.1</v>
      </c>
      <c r="M58">
        <f t="shared" si="0"/>
        <v>3</v>
      </c>
      <c r="N58">
        <f t="shared" si="1"/>
        <v>11219.366666666667</v>
      </c>
      <c r="O58">
        <f t="shared" si="2"/>
        <v>52058.333333333336</v>
      </c>
      <c r="P58">
        <f t="shared" si="3"/>
        <v>188.80723572639911</v>
      </c>
      <c r="Q58" t="str">
        <f t="shared" si="4"/>
        <v>New (0-3 years)</v>
      </c>
      <c r="R58" t="str">
        <f t="shared" si="5"/>
        <v>Excellent</v>
      </c>
      <c r="S58" t="str">
        <f t="shared" si="6"/>
        <v>Very High</v>
      </c>
    </row>
    <row r="59" spans="1:19" x14ac:dyDescent="0.3">
      <c r="A59">
        <v>58</v>
      </c>
      <c r="B59" t="s">
        <v>27</v>
      </c>
      <c r="C59">
        <v>2024</v>
      </c>
      <c r="D59">
        <v>175963</v>
      </c>
      <c r="E59" t="s">
        <v>17</v>
      </c>
      <c r="F59" t="s">
        <v>18</v>
      </c>
      <c r="G59" t="s">
        <v>23</v>
      </c>
      <c r="H59">
        <v>1894</v>
      </c>
      <c r="I59">
        <v>436.1</v>
      </c>
      <c r="J59" s="2">
        <v>26.25</v>
      </c>
      <c r="K59">
        <v>2</v>
      </c>
      <c r="L59" s="1">
        <v>106160.92</v>
      </c>
      <c r="M59">
        <f t="shared" si="0"/>
        <v>0</v>
      </c>
      <c r="N59">
        <f t="shared" si="1"/>
        <v>106160.92</v>
      </c>
      <c r="O59">
        <f t="shared" si="2"/>
        <v>175963</v>
      </c>
      <c r="P59">
        <f t="shared" si="3"/>
        <v>230.25343189017954</v>
      </c>
      <c r="Q59" t="str">
        <f t="shared" si="4"/>
        <v>New (0-3 years)</v>
      </c>
      <c r="R59" t="str">
        <f t="shared" si="5"/>
        <v>Excellent</v>
      </c>
      <c r="S59" t="str">
        <f t="shared" si="6"/>
        <v>Very High</v>
      </c>
    </row>
    <row r="60" spans="1:19" x14ac:dyDescent="0.3">
      <c r="A60">
        <v>59</v>
      </c>
      <c r="B60" t="s">
        <v>27</v>
      </c>
      <c r="C60">
        <v>2013</v>
      </c>
      <c r="D60">
        <v>146826</v>
      </c>
      <c r="E60" t="s">
        <v>13</v>
      </c>
      <c r="F60" t="s">
        <v>14</v>
      </c>
      <c r="G60" t="s">
        <v>20</v>
      </c>
      <c r="H60">
        <v>3995</v>
      </c>
      <c r="I60">
        <v>181.2</v>
      </c>
      <c r="J60" s="2">
        <v>12.23</v>
      </c>
      <c r="K60">
        <v>5</v>
      </c>
      <c r="L60" s="1">
        <v>107342.96</v>
      </c>
      <c r="M60">
        <f t="shared" si="0"/>
        <v>11</v>
      </c>
      <c r="N60">
        <f t="shared" si="1"/>
        <v>9758.4509090909105</v>
      </c>
      <c r="O60">
        <f t="shared" si="2"/>
        <v>13347.818181818182</v>
      </c>
      <c r="P60">
        <f t="shared" si="3"/>
        <v>45.356695869837296</v>
      </c>
      <c r="Q60" t="str">
        <f t="shared" si="4"/>
        <v>Mature (8-12 years)</v>
      </c>
      <c r="R60" t="str">
        <f t="shared" si="5"/>
        <v>Low</v>
      </c>
      <c r="S60" t="str">
        <f t="shared" si="6"/>
        <v>High</v>
      </c>
    </row>
    <row r="61" spans="1:19" x14ac:dyDescent="0.3">
      <c r="A61">
        <v>60</v>
      </c>
      <c r="B61" t="s">
        <v>24</v>
      </c>
      <c r="C61">
        <v>2021</v>
      </c>
      <c r="D61">
        <v>86437</v>
      </c>
      <c r="E61" t="s">
        <v>13</v>
      </c>
      <c r="F61" t="s">
        <v>14</v>
      </c>
      <c r="G61" t="s">
        <v>23</v>
      </c>
      <c r="H61">
        <v>2204</v>
      </c>
      <c r="I61">
        <v>290.2</v>
      </c>
      <c r="J61" s="2">
        <v>28.81</v>
      </c>
      <c r="K61">
        <v>6</v>
      </c>
      <c r="L61" s="1">
        <v>25983.63</v>
      </c>
      <c r="M61">
        <f t="shared" si="0"/>
        <v>3</v>
      </c>
      <c r="N61">
        <f t="shared" si="1"/>
        <v>8661.2100000000009</v>
      </c>
      <c r="O61">
        <f t="shared" si="2"/>
        <v>28812.333333333332</v>
      </c>
      <c r="P61">
        <f t="shared" si="3"/>
        <v>131.66969147005443</v>
      </c>
      <c r="Q61" t="str">
        <f t="shared" si="4"/>
        <v>New (0-3 years)</v>
      </c>
      <c r="R61" t="str">
        <f t="shared" si="5"/>
        <v>Excellent</v>
      </c>
      <c r="S61" t="str">
        <f t="shared" si="6"/>
        <v>Very High</v>
      </c>
    </row>
    <row r="62" spans="1:19" x14ac:dyDescent="0.3">
      <c r="A62">
        <v>61</v>
      </c>
      <c r="B62" t="s">
        <v>16</v>
      </c>
      <c r="C62">
        <v>2024</v>
      </c>
      <c r="D62">
        <v>103540</v>
      </c>
      <c r="E62" t="s">
        <v>26</v>
      </c>
      <c r="F62" t="s">
        <v>18</v>
      </c>
      <c r="G62" t="s">
        <v>23</v>
      </c>
      <c r="H62">
        <v>4164</v>
      </c>
      <c r="I62">
        <v>109.1</v>
      </c>
      <c r="J62" s="2">
        <v>6.25</v>
      </c>
      <c r="K62">
        <v>4</v>
      </c>
      <c r="L62" s="1">
        <v>74819.98</v>
      </c>
      <c r="M62">
        <f t="shared" si="0"/>
        <v>0</v>
      </c>
      <c r="N62">
        <f t="shared" si="1"/>
        <v>74819.98</v>
      </c>
      <c r="O62">
        <f t="shared" si="2"/>
        <v>103540</v>
      </c>
      <c r="P62">
        <f t="shared" si="3"/>
        <v>26.200768491834776</v>
      </c>
      <c r="Q62" t="str">
        <f t="shared" si="4"/>
        <v>New (0-3 years)</v>
      </c>
      <c r="R62" t="str">
        <f t="shared" si="5"/>
        <v>Low</v>
      </c>
      <c r="S62" t="str">
        <f t="shared" si="6"/>
        <v>Medium</v>
      </c>
    </row>
    <row r="63" spans="1:19" x14ac:dyDescent="0.3">
      <c r="A63">
        <v>62</v>
      </c>
      <c r="B63" t="s">
        <v>27</v>
      </c>
      <c r="C63">
        <v>2012</v>
      </c>
      <c r="D63">
        <v>77982</v>
      </c>
      <c r="E63" t="s">
        <v>17</v>
      </c>
      <c r="F63" t="s">
        <v>14</v>
      </c>
      <c r="G63" t="s">
        <v>23</v>
      </c>
      <c r="H63">
        <v>4782</v>
      </c>
      <c r="I63">
        <v>155.30000000000001</v>
      </c>
      <c r="J63" s="2">
        <v>8.75</v>
      </c>
      <c r="K63">
        <v>6</v>
      </c>
      <c r="L63" s="1">
        <v>13262.96</v>
      </c>
      <c r="M63">
        <f t="shared" si="0"/>
        <v>12</v>
      </c>
      <c r="N63">
        <f t="shared" si="1"/>
        <v>1105.2466666666667</v>
      </c>
      <c r="O63">
        <f t="shared" si="2"/>
        <v>6498.5</v>
      </c>
      <c r="P63">
        <f t="shared" si="3"/>
        <v>32.475951484734424</v>
      </c>
      <c r="Q63" t="str">
        <f t="shared" si="4"/>
        <v>Mature (8-12 years)</v>
      </c>
      <c r="R63" t="str">
        <f t="shared" si="5"/>
        <v>Low</v>
      </c>
      <c r="S63" t="str">
        <f t="shared" si="6"/>
        <v>High</v>
      </c>
    </row>
    <row r="64" spans="1:19" x14ac:dyDescent="0.3">
      <c r="A64">
        <v>63</v>
      </c>
      <c r="B64" t="s">
        <v>28</v>
      </c>
      <c r="C64">
        <v>2021</v>
      </c>
      <c r="D64">
        <v>107747</v>
      </c>
      <c r="E64" t="s">
        <v>26</v>
      </c>
      <c r="F64" t="s">
        <v>14</v>
      </c>
      <c r="G64" t="s">
        <v>20</v>
      </c>
      <c r="H64">
        <v>4813</v>
      </c>
      <c r="I64">
        <v>40.5</v>
      </c>
      <c r="J64" s="2">
        <v>18.440000000000001</v>
      </c>
      <c r="K64">
        <v>2</v>
      </c>
      <c r="L64" s="1">
        <v>48809.84</v>
      </c>
      <c r="M64">
        <f t="shared" si="0"/>
        <v>3</v>
      </c>
      <c r="N64">
        <f t="shared" si="1"/>
        <v>16269.946666666665</v>
      </c>
      <c r="O64">
        <f t="shared" si="2"/>
        <v>35915.666666666664</v>
      </c>
      <c r="P64">
        <f t="shared" si="3"/>
        <v>8.4147101599833789</v>
      </c>
      <c r="Q64" t="str">
        <f t="shared" si="4"/>
        <v>New (0-3 years)</v>
      </c>
      <c r="R64" t="str">
        <f t="shared" si="5"/>
        <v>Average</v>
      </c>
      <c r="S64" t="str">
        <f t="shared" si="6"/>
        <v>Low</v>
      </c>
    </row>
    <row r="65" spans="1:19" x14ac:dyDescent="0.3">
      <c r="A65">
        <v>64</v>
      </c>
      <c r="B65" t="s">
        <v>24</v>
      </c>
      <c r="C65">
        <v>2011</v>
      </c>
      <c r="D65">
        <v>191994</v>
      </c>
      <c r="E65" t="s">
        <v>17</v>
      </c>
      <c r="F65" t="s">
        <v>18</v>
      </c>
      <c r="G65" t="s">
        <v>15</v>
      </c>
      <c r="H65">
        <v>3892</v>
      </c>
      <c r="I65">
        <v>62</v>
      </c>
      <c r="J65" s="2">
        <v>19.39</v>
      </c>
      <c r="K65">
        <v>7</v>
      </c>
      <c r="L65" s="1">
        <v>86458.64</v>
      </c>
      <c r="M65">
        <f t="shared" si="0"/>
        <v>13</v>
      </c>
      <c r="N65">
        <f t="shared" si="1"/>
        <v>6650.664615384615</v>
      </c>
      <c r="O65">
        <f t="shared" si="2"/>
        <v>14768.76923076923</v>
      </c>
      <c r="P65">
        <f t="shared" si="3"/>
        <v>15.93011305241521</v>
      </c>
      <c r="Q65" t="str">
        <f t="shared" si="4"/>
        <v>Old (12+ years)</v>
      </c>
      <c r="R65" t="str">
        <f t="shared" si="5"/>
        <v>Average</v>
      </c>
      <c r="S65" t="str">
        <f t="shared" si="6"/>
        <v>Low</v>
      </c>
    </row>
    <row r="66" spans="1:19" x14ac:dyDescent="0.3">
      <c r="A66">
        <v>65</v>
      </c>
      <c r="B66" t="s">
        <v>28</v>
      </c>
      <c r="C66">
        <v>2005</v>
      </c>
      <c r="D66">
        <v>53231</v>
      </c>
      <c r="E66" t="s">
        <v>13</v>
      </c>
      <c r="F66" t="s">
        <v>18</v>
      </c>
      <c r="G66" t="s">
        <v>20</v>
      </c>
      <c r="H66">
        <v>4959</v>
      </c>
      <c r="I66">
        <v>587.29999999999995</v>
      </c>
      <c r="J66" s="2">
        <v>21.13</v>
      </c>
      <c r="K66">
        <v>6</v>
      </c>
      <c r="L66" s="1">
        <v>80152.52</v>
      </c>
      <c r="M66">
        <f t="shared" si="0"/>
        <v>19</v>
      </c>
      <c r="N66">
        <f t="shared" si="1"/>
        <v>4218.5536842105266</v>
      </c>
      <c r="O66">
        <f t="shared" si="2"/>
        <v>2801.6315789473683</v>
      </c>
      <c r="P66">
        <f t="shared" si="3"/>
        <v>118.43113530953821</v>
      </c>
      <c r="Q66" t="str">
        <f t="shared" si="4"/>
        <v>Old (12+ years)</v>
      </c>
      <c r="R66" t="str">
        <f t="shared" si="5"/>
        <v>Good</v>
      </c>
      <c r="S66" t="str">
        <f t="shared" si="6"/>
        <v>Very High</v>
      </c>
    </row>
    <row r="67" spans="1:19" x14ac:dyDescent="0.3">
      <c r="A67">
        <v>66</v>
      </c>
      <c r="B67" t="s">
        <v>24</v>
      </c>
      <c r="C67">
        <v>2017</v>
      </c>
      <c r="D67">
        <v>34301</v>
      </c>
      <c r="E67" t="s">
        <v>22</v>
      </c>
      <c r="F67" t="s">
        <v>18</v>
      </c>
      <c r="G67" t="s">
        <v>15</v>
      </c>
      <c r="H67">
        <v>2874</v>
      </c>
      <c r="I67">
        <v>175.7</v>
      </c>
      <c r="J67" s="2">
        <v>5.42</v>
      </c>
      <c r="K67">
        <v>4</v>
      </c>
      <c r="L67" s="1">
        <v>76089.98</v>
      </c>
      <c r="M67">
        <f t="shared" ref="M67:M130" si="7">2024-C67</f>
        <v>7</v>
      </c>
      <c r="N67">
        <f t="shared" ref="N67:N130" si="8">IF(M67&gt;0, L67/M67, L67)</f>
        <v>10869.997142857143</v>
      </c>
      <c r="O67">
        <f t="shared" ref="O67:O130" si="9">IF(M67&gt;0, D67/M67, D67)</f>
        <v>4900.1428571428569</v>
      </c>
      <c r="P67">
        <f t="shared" ref="P67:P130" si="10">IF(H67&gt;0, I67/(H67/1000), 0)</f>
        <v>61.134307585247036</v>
      </c>
      <c r="Q67" t="str">
        <f t="shared" ref="Q67:Q130" si="11">IF(M67&lt;=3, "New (0-3 years)",
   IF(M67&lt;=7, "Recent (4-7 years)",
   IF(M67&lt;=12, "Mature (8-12 years)",
   "Old (12+ years)")))</f>
        <v>Recent (4-7 years)</v>
      </c>
      <c r="R67" t="str">
        <f t="shared" ref="R67:R130" si="12">IF(J67&gt;=25, "Excellent",
   IF(J67&gt;=20, "Good",
   IF(J67&gt;=15, "Average",
   "Low")))</f>
        <v>Low</v>
      </c>
      <c r="S67" t="str">
        <f t="shared" ref="S67:S130" si="13">IF(I67&gt;=200, "Very High",
   IF(I67&gt;=150, "High",
   IF(I67&gt;=100, "Medium",
   "Low")))</f>
        <v>High</v>
      </c>
    </row>
    <row r="68" spans="1:19" x14ac:dyDescent="0.3">
      <c r="A68">
        <v>67</v>
      </c>
      <c r="B68" t="s">
        <v>16</v>
      </c>
      <c r="C68">
        <v>2023</v>
      </c>
      <c r="D68">
        <v>198783</v>
      </c>
      <c r="E68" t="s">
        <v>22</v>
      </c>
      <c r="F68" t="s">
        <v>14</v>
      </c>
      <c r="G68" t="s">
        <v>15</v>
      </c>
      <c r="H68">
        <v>1084</v>
      </c>
      <c r="I68">
        <v>411.5</v>
      </c>
      <c r="J68" s="2">
        <v>29.01</v>
      </c>
      <c r="K68">
        <v>2</v>
      </c>
      <c r="L68" s="1">
        <v>36057.279999999999</v>
      </c>
      <c r="M68">
        <f t="shared" si="7"/>
        <v>1</v>
      </c>
      <c r="N68">
        <f t="shared" si="8"/>
        <v>36057.279999999999</v>
      </c>
      <c r="O68">
        <f t="shared" si="9"/>
        <v>198783</v>
      </c>
      <c r="P68">
        <f t="shared" si="10"/>
        <v>379.61254612546122</v>
      </c>
      <c r="Q68" t="str">
        <f t="shared" si="11"/>
        <v>New (0-3 years)</v>
      </c>
      <c r="R68" t="str">
        <f t="shared" si="12"/>
        <v>Excellent</v>
      </c>
      <c r="S68" t="str">
        <f t="shared" si="13"/>
        <v>Very High</v>
      </c>
    </row>
    <row r="69" spans="1:19" x14ac:dyDescent="0.3">
      <c r="A69">
        <v>68</v>
      </c>
      <c r="B69" t="s">
        <v>19</v>
      </c>
      <c r="C69">
        <v>2023</v>
      </c>
      <c r="D69">
        <v>177395</v>
      </c>
      <c r="E69" t="s">
        <v>22</v>
      </c>
      <c r="F69" t="s">
        <v>18</v>
      </c>
      <c r="G69" t="s">
        <v>15</v>
      </c>
      <c r="H69">
        <v>1987</v>
      </c>
      <c r="I69">
        <v>509.9</v>
      </c>
      <c r="J69" s="2">
        <v>6.11</v>
      </c>
      <c r="K69">
        <v>6</v>
      </c>
      <c r="L69" s="1">
        <v>47228.92</v>
      </c>
      <c r="M69">
        <f t="shared" si="7"/>
        <v>1</v>
      </c>
      <c r="N69">
        <f t="shared" si="8"/>
        <v>47228.92</v>
      </c>
      <c r="O69">
        <f t="shared" si="9"/>
        <v>177395</v>
      </c>
      <c r="P69">
        <f t="shared" si="10"/>
        <v>256.61801711122291</v>
      </c>
      <c r="Q69" t="str">
        <f t="shared" si="11"/>
        <v>New (0-3 years)</v>
      </c>
      <c r="R69" t="str">
        <f t="shared" si="12"/>
        <v>Low</v>
      </c>
      <c r="S69" t="str">
        <f t="shared" si="13"/>
        <v>Very High</v>
      </c>
    </row>
    <row r="70" spans="1:19" x14ac:dyDescent="0.3">
      <c r="A70">
        <v>69</v>
      </c>
      <c r="B70" t="s">
        <v>12</v>
      </c>
      <c r="C70">
        <v>2021</v>
      </c>
      <c r="D70">
        <v>23752</v>
      </c>
      <c r="E70" t="s">
        <v>22</v>
      </c>
      <c r="F70" t="s">
        <v>18</v>
      </c>
      <c r="G70" t="s">
        <v>23</v>
      </c>
      <c r="H70">
        <v>4769</v>
      </c>
      <c r="I70">
        <v>348.4</v>
      </c>
      <c r="J70" s="2">
        <v>8.58</v>
      </c>
      <c r="K70">
        <v>5</v>
      </c>
      <c r="L70" s="1">
        <v>15044.7</v>
      </c>
      <c r="M70">
        <f t="shared" si="7"/>
        <v>3</v>
      </c>
      <c r="N70">
        <f t="shared" si="8"/>
        <v>5014.9000000000005</v>
      </c>
      <c r="O70">
        <f t="shared" si="9"/>
        <v>7917.333333333333</v>
      </c>
      <c r="P70">
        <f t="shared" si="10"/>
        <v>73.055147829733684</v>
      </c>
      <c r="Q70" t="str">
        <f t="shared" si="11"/>
        <v>New (0-3 years)</v>
      </c>
      <c r="R70" t="str">
        <f t="shared" si="12"/>
        <v>Low</v>
      </c>
      <c r="S70" t="str">
        <f t="shared" si="13"/>
        <v>Very High</v>
      </c>
    </row>
    <row r="71" spans="1:19" x14ac:dyDescent="0.3">
      <c r="A71">
        <v>70</v>
      </c>
      <c r="B71" t="s">
        <v>30</v>
      </c>
      <c r="C71">
        <v>2017</v>
      </c>
      <c r="D71">
        <v>103452</v>
      </c>
      <c r="E71" t="s">
        <v>22</v>
      </c>
      <c r="F71" t="s">
        <v>14</v>
      </c>
      <c r="G71" t="s">
        <v>23</v>
      </c>
      <c r="H71">
        <v>3765</v>
      </c>
      <c r="I71">
        <v>125.8</v>
      </c>
      <c r="J71" s="2">
        <v>5.35</v>
      </c>
      <c r="K71">
        <v>7</v>
      </c>
      <c r="L71" s="1">
        <v>87125.67</v>
      </c>
      <c r="M71">
        <f t="shared" si="7"/>
        <v>7</v>
      </c>
      <c r="N71">
        <f t="shared" si="8"/>
        <v>12446.524285714286</v>
      </c>
      <c r="O71">
        <f t="shared" si="9"/>
        <v>14778.857142857143</v>
      </c>
      <c r="P71">
        <f t="shared" si="10"/>
        <v>33.41301460823373</v>
      </c>
      <c r="Q71" t="str">
        <f t="shared" si="11"/>
        <v>Recent (4-7 years)</v>
      </c>
      <c r="R71" t="str">
        <f t="shared" si="12"/>
        <v>Low</v>
      </c>
      <c r="S71" t="str">
        <f t="shared" si="13"/>
        <v>Medium</v>
      </c>
    </row>
    <row r="72" spans="1:19" x14ac:dyDescent="0.3">
      <c r="A72">
        <v>71</v>
      </c>
      <c r="B72" t="s">
        <v>19</v>
      </c>
      <c r="C72">
        <v>2020</v>
      </c>
      <c r="D72">
        <v>149467</v>
      </c>
      <c r="E72" t="s">
        <v>26</v>
      </c>
      <c r="F72" t="s">
        <v>18</v>
      </c>
      <c r="G72" t="s">
        <v>15</v>
      </c>
      <c r="H72">
        <v>1583</v>
      </c>
      <c r="I72">
        <v>447.7</v>
      </c>
      <c r="J72" s="2">
        <v>19.170000000000002</v>
      </c>
      <c r="K72">
        <v>2</v>
      </c>
      <c r="L72" s="1">
        <v>61954.99</v>
      </c>
      <c r="M72">
        <f t="shared" si="7"/>
        <v>4</v>
      </c>
      <c r="N72">
        <f t="shared" si="8"/>
        <v>15488.747499999999</v>
      </c>
      <c r="O72">
        <f t="shared" si="9"/>
        <v>37366.75</v>
      </c>
      <c r="P72">
        <f t="shared" si="10"/>
        <v>282.81743524952623</v>
      </c>
      <c r="Q72" t="str">
        <f t="shared" si="11"/>
        <v>Recent (4-7 years)</v>
      </c>
      <c r="R72" t="str">
        <f t="shared" si="12"/>
        <v>Average</v>
      </c>
      <c r="S72" t="str">
        <f t="shared" si="13"/>
        <v>Very High</v>
      </c>
    </row>
    <row r="73" spans="1:19" x14ac:dyDescent="0.3">
      <c r="A73">
        <v>72</v>
      </c>
      <c r="B73" t="s">
        <v>21</v>
      </c>
      <c r="C73">
        <v>2012</v>
      </c>
      <c r="D73">
        <v>126237</v>
      </c>
      <c r="E73" t="s">
        <v>17</v>
      </c>
      <c r="F73" t="s">
        <v>18</v>
      </c>
      <c r="G73" t="s">
        <v>15</v>
      </c>
      <c r="H73">
        <v>1749</v>
      </c>
      <c r="I73">
        <v>376.1</v>
      </c>
      <c r="J73" s="2">
        <v>28.31</v>
      </c>
      <c r="K73">
        <v>6</v>
      </c>
      <c r="L73" s="1">
        <v>85925.58</v>
      </c>
      <c r="M73">
        <f t="shared" si="7"/>
        <v>12</v>
      </c>
      <c r="N73">
        <f t="shared" si="8"/>
        <v>7160.4650000000001</v>
      </c>
      <c r="O73">
        <f t="shared" si="9"/>
        <v>10519.75</v>
      </c>
      <c r="P73">
        <f t="shared" si="10"/>
        <v>215.03716409376787</v>
      </c>
      <c r="Q73" t="str">
        <f t="shared" si="11"/>
        <v>Mature (8-12 years)</v>
      </c>
      <c r="R73" t="str">
        <f t="shared" si="12"/>
        <v>Excellent</v>
      </c>
      <c r="S73" t="str">
        <f t="shared" si="13"/>
        <v>Very High</v>
      </c>
    </row>
    <row r="74" spans="1:19" x14ac:dyDescent="0.3">
      <c r="A74">
        <v>73</v>
      </c>
      <c r="B74" t="s">
        <v>28</v>
      </c>
      <c r="C74">
        <v>2023</v>
      </c>
      <c r="D74">
        <v>61273</v>
      </c>
      <c r="E74" t="s">
        <v>13</v>
      </c>
      <c r="F74" t="s">
        <v>18</v>
      </c>
      <c r="G74" t="s">
        <v>23</v>
      </c>
      <c r="H74">
        <v>4739</v>
      </c>
      <c r="I74">
        <v>449.5</v>
      </c>
      <c r="J74" s="2">
        <v>21.65</v>
      </c>
      <c r="K74">
        <v>2</v>
      </c>
      <c r="L74" s="1">
        <v>32126.39</v>
      </c>
      <c r="M74">
        <f t="shared" si="7"/>
        <v>1</v>
      </c>
      <c r="N74">
        <f t="shared" si="8"/>
        <v>32126.39</v>
      </c>
      <c r="O74">
        <f t="shared" si="9"/>
        <v>61273</v>
      </c>
      <c r="P74">
        <f t="shared" si="10"/>
        <v>94.851234437645076</v>
      </c>
      <c r="Q74" t="str">
        <f t="shared" si="11"/>
        <v>New (0-3 years)</v>
      </c>
      <c r="R74" t="str">
        <f t="shared" si="12"/>
        <v>Good</v>
      </c>
      <c r="S74" t="str">
        <f t="shared" si="13"/>
        <v>Very High</v>
      </c>
    </row>
    <row r="75" spans="1:19" x14ac:dyDescent="0.3">
      <c r="A75">
        <v>74</v>
      </c>
      <c r="B75" t="s">
        <v>21</v>
      </c>
      <c r="C75">
        <v>2022</v>
      </c>
      <c r="D75">
        <v>96878</v>
      </c>
      <c r="E75" t="s">
        <v>26</v>
      </c>
      <c r="F75" t="s">
        <v>18</v>
      </c>
      <c r="G75" t="s">
        <v>20</v>
      </c>
      <c r="H75">
        <v>844</v>
      </c>
      <c r="I75">
        <v>471.1</v>
      </c>
      <c r="J75" s="2">
        <v>25.57</v>
      </c>
      <c r="K75">
        <v>5</v>
      </c>
      <c r="L75" s="1">
        <v>40959.269999999997</v>
      </c>
      <c r="M75">
        <f t="shared" si="7"/>
        <v>2</v>
      </c>
      <c r="N75">
        <f t="shared" si="8"/>
        <v>20479.634999999998</v>
      </c>
      <c r="O75">
        <f t="shared" si="9"/>
        <v>48439</v>
      </c>
      <c r="P75">
        <f t="shared" si="10"/>
        <v>558.17535545023702</v>
      </c>
      <c r="Q75" t="str">
        <f t="shared" si="11"/>
        <v>New (0-3 years)</v>
      </c>
      <c r="R75" t="str">
        <f t="shared" si="12"/>
        <v>Excellent</v>
      </c>
      <c r="S75" t="str">
        <f t="shared" si="13"/>
        <v>Very High</v>
      </c>
    </row>
    <row r="76" spans="1:19" x14ac:dyDescent="0.3">
      <c r="A76">
        <v>75</v>
      </c>
      <c r="B76" t="s">
        <v>19</v>
      </c>
      <c r="C76">
        <v>2005</v>
      </c>
      <c r="D76">
        <v>9895</v>
      </c>
      <c r="E76" t="s">
        <v>17</v>
      </c>
      <c r="F76" t="s">
        <v>14</v>
      </c>
      <c r="G76" t="s">
        <v>15</v>
      </c>
      <c r="H76">
        <v>2610</v>
      </c>
      <c r="I76">
        <v>586.20000000000005</v>
      </c>
      <c r="J76" s="2">
        <v>5.33</v>
      </c>
      <c r="K76">
        <v>4</v>
      </c>
      <c r="L76" s="1">
        <v>42103.19</v>
      </c>
      <c r="M76">
        <f t="shared" si="7"/>
        <v>19</v>
      </c>
      <c r="N76">
        <f t="shared" si="8"/>
        <v>2215.9573684210527</v>
      </c>
      <c r="O76">
        <f t="shared" si="9"/>
        <v>520.78947368421052</v>
      </c>
      <c r="P76">
        <f t="shared" si="10"/>
        <v>224.59770114942532</v>
      </c>
      <c r="Q76" t="str">
        <f t="shared" si="11"/>
        <v>Old (12+ years)</v>
      </c>
      <c r="R76" t="str">
        <f t="shared" si="12"/>
        <v>Low</v>
      </c>
      <c r="S76" t="str">
        <f t="shared" si="13"/>
        <v>Very High</v>
      </c>
    </row>
    <row r="77" spans="1:19" x14ac:dyDescent="0.3">
      <c r="A77">
        <v>76</v>
      </c>
      <c r="B77" t="s">
        <v>24</v>
      </c>
      <c r="C77">
        <v>2018</v>
      </c>
      <c r="D77">
        <v>124968</v>
      </c>
      <c r="E77" t="s">
        <v>22</v>
      </c>
      <c r="F77" t="s">
        <v>18</v>
      </c>
      <c r="G77" t="s">
        <v>20</v>
      </c>
      <c r="H77">
        <v>2881</v>
      </c>
      <c r="I77">
        <v>361.2</v>
      </c>
      <c r="J77" s="2">
        <v>18.55</v>
      </c>
      <c r="K77">
        <v>6</v>
      </c>
      <c r="L77" s="1">
        <v>6011.86</v>
      </c>
      <c r="M77">
        <f t="shared" si="7"/>
        <v>6</v>
      </c>
      <c r="N77">
        <f t="shared" si="8"/>
        <v>1001.9766666666666</v>
      </c>
      <c r="O77">
        <f t="shared" si="9"/>
        <v>20828</v>
      </c>
      <c r="P77">
        <f t="shared" si="10"/>
        <v>125.37313432835822</v>
      </c>
      <c r="Q77" t="str">
        <f t="shared" si="11"/>
        <v>Recent (4-7 years)</v>
      </c>
      <c r="R77" t="str">
        <f t="shared" si="12"/>
        <v>Average</v>
      </c>
      <c r="S77" t="str">
        <f t="shared" si="13"/>
        <v>Very High</v>
      </c>
    </row>
    <row r="78" spans="1:19" x14ac:dyDescent="0.3">
      <c r="A78">
        <v>77</v>
      </c>
      <c r="B78" t="s">
        <v>30</v>
      </c>
      <c r="C78">
        <v>2023</v>
      </c>
      <c r="D78">
        <v>120700</v>
      </c>
      <c r="E78" t="s">
        <v>17</v>
      </c>
      <c r="F78" t="s">
        <v>18</v>
      </c>
      <c r="G78" t="s">
        <v>23</v>
      </c>
      <c r="H78">
        <v>4298</v>
      </c>
      <c r="I78">
        <v>231.3</v>
      </c>
      <c r="J78" s="2">
        <v>16.489999999999998</v>
      </c>
      <c r="K78">
        <v>2</v>
      </c>
      <c r="L78" s="1">
        <v>42902.6</v>
      </c>
      <c r="M78">
        <f t="shared" si="7"/>
        <v>1</v>
      </c>
      <c r="N78">
        <f t="shared" si="8"/>
        <v>42902.6</v>
      </c>
      <c r="O78">
        <f t="shared" si="9"/>
        <v>120700</v>
      </c>
      <c r="P78">
        <f t="shared" si="10"/>
        <v>53.815728245695674</v>
      </c>
      <c r="Q78" t="str">
        <f t="shared" si="11"/>
        <v>New (0-3 years)</v>
      </c>
      <c r="R78" t="str">
        <f t="shared" si="12"/>
        <v>Average</v>
      </c>
      <c r="S78" t="str">
        <f t="shared" si="13"/>
        <v>Very High</v>
      </c>
    </row>
    <row r="79" spans="1:19" x14ac:dyDescent="0.3">
      <c r="A79">
        <v>78</v>
      </c>
      <c r="B79" t="s">
        <v>30</v>
      </c>
      <c r="C79">
        <v>2019</v>
      </c>
      <c r="D79">
        <v>81559</v>
      </c>
      <c r="E79" t="s">
        <v>17</v>
      </c>
      <c r="F79" t="s">
        <v>14</v>
      </c>
      <c r="G79" t="s">
        <v>15</v>
      </c>
      <c r="H79">
        <v>1629</v>
      </c>
      <c r="I79">
        <v>403.1</v>
      </c>
      <c r="J79" s="2">
        <v>17.47</v>
      </c>
      <c r="K79">
        <v>2</v>
      </c>
      <c r="L79" s="1">
        <v>96986.64</v>
      </c>
      <c r="M79">
        <f t="shared" si="7"/>
        <v>5</v>
      </c>
      <c r="N79">
        <f t="shared" si="8"/>
        <v>19397.328000000001</v>
      </c>
      <c r="O79">
        <f t="shared" si="9"/>
        <v>16311.8</v>
      </c>
      <c r="P79">
        <f t="shared" si="10"/>
        <v>247.45242480049112</v>
      </c>
      <c r="Q79" t="str">
        <f t="shared" si="11"/>
        <v>Recent (4-7 years)</v>
      </c>
      <c r="R79" t="str">
        <f t="shared" si="12"/>
        <v>Average</v>
      </c>
      <c r="S79" t="str">
        <f t="shared" si="13"/>
        <v>Very High</v>
      </c>
    </row>
    <row r="80" spans="1:19" x14ac:dyDescent="0.3">
      <c r="A80">
        <v>79</v>
      </c>
      <c r="B80" t="s">
        <v>29</v>
      </c>
      <c r="C80">
        <v>2022</v>
      </c>
      <c r="D80">
        <v>15699</v>
      </c>
      <c r="E80" t="s">
        <v>22</v>
      </c>
      <c r="F80" t="s">
        <v>18</v>
      </c>
      <c r="G80" t="s">
        <v>20</v>
      </c>
      <c r="H80">
        <v>2709</v>
      </c>
      <c r="I80">
        <v>78.3</v>
      </c>
      <c r="J80" s="2">
        <v>6.81</v>
      </c>
      <c r="K80">
        <v>2</v>
      </c>
      <c r="L80" s="1">
        <v>107983.92</v>
      </c>
      <c r="M80">
        <f t="shared" si="7"/>
        <v>2</v>
      </c>
      <c r="N80">
        <f t="shared" si="8"/>
        <v>53991.96</v>
      </c>
      <c r="O80">
        <f t="shared" si="9"/>
        <v>7849.5</v>
      </c>
      <c r="P80">
        <f t="shared" si="10"/>
        <v>28.903654485049831</v>
      </c>
      <c r="Q80" t="str">
        <f t="shared" si="11"/>
        <v>New (0-3 years)</v>
      </c>
      <c r="R80" t="str">
        <f t="shared" si="12"/>
        <v>Low</v>
      </c>
      <c r="S80" t="str">
        <f t="shared" si="13"/>
        <v>Low</v>
      </c>
    </row>
    <row r="81" spans="1:19" x14ac:dyDescent="0.3">
      <c r="A81">
        <v>80</v>
      </c>
      <c r="B81" t="s">
        <v>30</v>
      </c>
      <c r="C81">
        <v>2006</v>
      </c>
      <c r="D81">
        <v>14715</v>
      </c>
      <c r="E81" t="s">
        <v>22</v>
      </c>
      <c r="F81" t="s">
        <v>14</v>
      </c>
      <c r="G81" t="s">
        <v>20</v>
      </c>
      <c r="H81">
        <v>3381</v>
      </c>
      <c r="I81">
        <v>542.5</v>
      </c>
      <c r="J81" s="2">
        <v>22.11</v>
      </c>
      <c r="K81">
        <v>4</v>
      </c>
      <c r="L81" s="1">
        <v>63631.54</v>
      </c>
      <c r="M81">
        <f t="shared" si="7"/>
        <v>18</v>
      </c>
      <c r="N81">
        <f t="shared" si="8"/>
        <v>3535.0855555555554</v>
      </c>
      <c r="O81">
        <f t="shared" si="9"/>
        <v>817.5</v>
      </c>
      <c r="P81">
        <f t="shared" si="10"/>
        <v>160.45548654244308</v>
      </c>
      <c r="Q81" t="str">
        <f t="shared" si="11"/>
        <v>Old (12+ years)</v>
      </c>
      <c r="R81" t="str">
        <f t="shared" si="12"/>
        <v>Good</v>
      </c>
      <c r="S81" t="str">
        <f t="shared" si="13"/>
        <v>Very High</v>
      </c>
    </row>
    <row r="82" spans="1:19" x14ac:dyDescent="0.3">
      <c r="A82">
        <v>81</v>
      </c>
      <c r="B82" t="s">
        <v>12</v>
      </c>
      <c r="C82">
        <v>2021</v>
      </c>
      <c r="D82">
        <v>24169</v>
      </c>
      <c r="E82" t="s">
        <v>22</v>
      </c>
      <c r="F82" t="s">
        <v>14</v>
      </c>
      <c r="G82" t="s">
        <v>20</v>
      </c>
      <c r="H82">
        <v>1491</v>
      </c>
      <c r="I82">
        <v>106.9</v>
      </c>
      <c r="J82" s="2">
        <v>17.579999999999998</v>
      </c>
      <c r="K82">
        <v>2</v>
      </c>
      <c r="L82" s="1">
        <v>56293.7</v>
      </c>
      <c r="M82">
        <f t="shared" si="7"/>
        <v>3</v>
      </c>
      <c r="N82">
        <f t="shared" si="8"/>
        <v>18764.566666666666</v>
      </c>
      <c r="O82">
        <f t="shared" si="9"/>
        <v>8056.333333333333</v>
      </c>
      <c r="P82">
        <f t="shared" si="10"/>
        <v>71.696847753185779</v>
      </c>
      <c r="Q82" t="str">
        <f t="shared" si="11"/>
        <v>New (0-3 years)</v>
      </c>
      <c r="R82" t="str">
        <f t="shared" si="12"/>
        <v>Average</v>
      </c>
      <c r="S82" t="str">
        <f t="shared" si="13"/>
        <v>Medium</v>
      </c>
    </row>
    <row r="83" spans="1:19" x14ac:dyDescent="0.3">
      <c r="A83">
        <v>82</v>
      </c>
      <c r="B83" t="s">
        <v>30</v>
      </c>
      <c r="C83">
        <v>2022</v>
      </c>
      <c r="D83">
        <v>123413</v>
      </c>
      <c r="E83" t="s">
        <v>13</v>
      </c>
      <c r="F83" t="s">
        <v>14</v>
      </c>
      <c r="G83" t="s">
        <v>23</v>
      </c>
      <c r="H83">
        <v>4819</v>
      </c>
      <c r="I83">
        <v>223.6</v>
      </c>
      <c r="J83" s="2">
        <v>24.13</v>
      </c>
      <c r="K83">
        <v>7</v>
      </c>
      <c r="L83" s="1">
        <v>6606.48</v>
      </c>
      <c r="M83">
        <f t="shared" si="7"/>
        <v>2</v>
      </c>
      <c r="N83">
        <f t="shared" si="8"/>
        <v>3303.24</v>
      </c>
      <c r="O83">
        <f t="shared" si="9"/>
        <v>61706.5</v>
      </c>
      <c r="P83">
        <f t="shared" si="10"/>
        <v>46.399667980908902</v>
      </c>
      <c r="Q83" t="str">
        <f t="shared" si="11"/>
        <v>New (0-3 years)</v>
      </c>
      <c r="R83" t="str">
        <f t="shared" si="12"/>
        <v>Good</v>
      </c>
      <c r="S83" t="str">
        <f t="shared" si="13"/>
        <v>Very High</v>
      </c>
    </row>
    <row r="84" spans="1:19" x14ac:dyDescent="0.3">
      <c r="A84">
        <v>83</v>
      </c>
      <c r="B84" t="s">
        <v>19</v>
      </c>
      <c r="C84">
        <v>2010</v>
      </c>
      <c r="D84">
        <v>152235</v>
      </c>
      <c r="E84" t="s">
        <v>22</v>
      </c>
      <c r="F84" t="s">
        <v>18</v>
      </c>
      <c r="G84" t="s">
        <v>23</v>
      </c>
      <c r="H84">
        <v>1731</v>
      </c>
      <c r="I84">
        <v>496.8</v>
      </c>
      <c r="J84" s="2">
        <v>17.13</v>
      </c>
      <c r="K84">
        <v>7</v>
      </c>
      <c r="L84" s="1">
        <v>105866.91</v>
      </c>
      <c r="M84">
        <f t="shared" si="7"/>
        <v>14</v>
      </c>
      <c r="N84">
        <f t="shared" si="8"/>
        <v>7561.9221428571427</v>
      </c>
      <c r="O84">
        <f t="shared" si="9"/>
        <v>10873.928571428571</v>
      </c>
      <c r="P84">
        <f t="shared" si="10"/>
        <v>287.00173310225301</v>
      </c>
      <c r="Q84" t="str">
        <f t="shared" si="11"/>
        <v>Old (12+ years)</v>
      </c>
      <c r="R84" t="str">
        <f t="shared" si="12"/>
        <v>Average</v>
      </c>
      <c r="S84" t="str">
        <f t="shared" si="13"/>
        <v>Very High</v>
      </c>
    </row>
    <row r="85" spans="1:19" x14ac:dyDescent="0.3">
      <c r="A85">
        <v>84</v>
      </c>
      <c r="B85" t="s">
        <v>29</v>
      </c>
      <c r="C85">
        <v>2023</v>
      </c>
      <c r="D85">
        <v>124264</v>
      </c>
      <c r="E85" t="s">
        <v>13</v>
      </c>
      <c r="F85" t="s">
        <v>14</v>
      </c>
      <c r="G85" t="s">
        <v>20</v>
      </c>
      <c r="H85">
        <v>4206</v>
      </c>
      <c r="I85">
        <v>374.5</v>
      </c>
      <c r="J85" s="2">
        <v>8.73</v>
      </c>
      <c r="K85">
        <v>2</v>
      </c>
      <c r="L85" s="1">
        <v>4522.1899999999996</v>
      </c>
      <c r="M85">
        <f t="shared" si="7"/>
        <v>1</v>
      </c>
      <c r="N85">
        <f t="shared" si="8"/>
        <v>4522.1899999999996</v>
      </c>
      <c r="O85">
        <f t="shared" si="9"/>
        <v>124264</v>
      </c>
      <c r="P85">
        <f t="shared" si="10"/>
        <v>89.039467427484539</v>
      </c>
      <c r="Q85" t="str">
        <f t="shared" si="11"/>
        <v>New (0-3 years)</v>
      </c>
      <c r="R85" t="str">
        <f t="shared" si="12"/>
        <v>Low</v>
      </c>
      <c r="S85" t="str">
        <f t="shared" si="13"/>
        <v>Very High</v>
      </c>
    </row>
    <row r="86" spans="1:19" x14ac:dyDescent="0.3">
      <c r="A86">
        <v>85</v>
      </c>
      <c r="B86" t="s">
        <v>19</v>
      </c>
      <c r="C86">
        <v>2008</v>
      </c>
      <c r="D86">
        <v>10782</v>
      </c>
      <c r="E86" t="s">
        <v>22</v>
      </c>
      <c r="F86" t="s">
        <v>14</v>
      </c>
      <c r="G86" t="s">
        <v>20</v>
      </c>
      <c r="H86">
        <v>947</v>
      </c>
      <c r="I86">
        <v>260.39999999999998</v>
      </c>
      <c r="J86" s="2">
        <v>21.21</v>
      </c>
      <c r="K86">
        <v>7</v>
      </c>
      <c r="L86" s="1">
        <v>113535.76</v>
      </c>
      <c r="M86">
        <f t="shared" si="7"/>
        <v>16</v>
      </c>
      <c r="N86">
        <f t="shared" si="8"/>
        <v>7095.9849999999997</v>
      </c>
      <c r="O86">
        <f t="shared" si="9"/>
        <v>673.875</v>
      </c>
      <c r="P86">
        <f t="shared" si="10"/>
        <v>274.97360084477293</v>
      </c>
      <c r="Q86" t="str">
        <f t="shared" si="11"/>
        <v>Old (12+ years)</v>
      </c>
      <c r="R86" t="str">
        <f t="shared" si="12"/>
        <v>Good</v>
      </c>
      <c r="S86" t="str">
        <f t="shared" si="13"/>
        <v>Very High</v>
      </c>
    </row>
    <row r="87" spans="1:19" x14ac:dyDescent="0.3">
      <c r="A87">
        <v>86</v>
      </c>
      <c r="B87" t="s">
        <v>19</v>
      </c>
      <c r="C87">
        <v>2005</v>
      </c>
      <c r="D87">
        <v>129481</v>
      </c>
      <c r="E87" t="s">
        <v>13</v>
      </c>
      <c r="F87" t="s">
        <v>14</v>
      </c>
      <c r="G87" t="s">
        <v>23</v>
      </c>
      <c r="H87">
        <v>1832</v>
      </c>
      <c r="I87">
        <v>305.10000000000002</v>
      </c>
      <c r="J87" s="2">
        <v>9.31</v>
      </c>
      <c r="K87">
        <v>6</v>
      </c>
      <c r="L87" s="1">
        <v>60238.3</v>
      </c>
      <c r="M87">
        <f t="shared" si="7"/>
        <v>19</v>
      </c>
      <c r="N87">
        <f t="shared" si="8"/>
        <v>3170.4368421052632</v>
      </c>
      <c r="O87">
        <f t="shared" si="9"/>
        <v>6814.7894736842109</v>
      </c>
      <c r="P87">
        <f t="shared" si="10"/>
        <v>166.53930131004367</v>
      </c>
      <c r="Q87" t="str">
        <f t="shared" si="11"/>
        <v>Old (12+ years)</v>
      </c>
      <c r="R87" t="str">
        <f t="shared" si="12"/>
        <v>Low</v>
      </c>
      <c r="S87" t="str">
        <f t="shared" si="13"/>
        <v>Very High</v>
      </c>
    </row>
    <row r="88" spans="1:19" x14ac:dyDescent="0.3">
      <c r="A88">
        <v>87</v>
      </c>
      <c r="B88" t="s">
        <v>25</v>
      </c>
      <c r="C88">
        <v>2012</v>
      </c>
      <c r="D88">
        <v>40585</v>
      </c>
      <c r="E88" t="s">
        <v>17</v>
      </c>
      <c r="F88" t="s">
        <v>18</v>
      </c>
      <c r="G88" t="s">
        <v>20</v>
      </c>
      <c r="H88">
        <v>2111</v>
      </c>
      <c r="I88">
        <v>518.5</v>
      </c>
      <c r="J88" s="2">
        <v>26.81</v>
      </c>
      <c r="K88">
        <v>7</v>
      </c>
      <c r="L88" s="1">
        <v>43006.34</v>
      </c>
      <c r="M88">
        <f t="shared" si="7"/>
        <v>12</v>
      </c>
      <c r="N88">
        <f t="shared" si="8"/>
        <v>3583.8616666666662</v>
      </c>
      <c r="O88">
        <f t="shared" si="9"/>
        <v>3382.0833333333335</v>
      </c>
      <c r="P88">
        <f t="shared" si="10"/>
        <v>245.61819043107531</v>
      </c>
      <c r="Q88" t="str">
        <f t="shared" si="11"/>
        <v>Mature (8-12 years)</v>
      </c>
      <c r="R88" t="str">
        <f t="shared" si="12"/>
        <v>Excellent</v>
      </c>
      <c r="S88" t="str">
        <f t="shared" si="13"/>
        <v>Very High</v>
      </c>
    </row>
    <row r="89" spans="1:19" x14ac:dyDescent="0.3">
      <c r="A89">
        <v>88</v>
      </c>
      <c r="B89" t="s">
        <v>29</v>
      </c>
      <c r="C89">
        <v>2011</v>
      </c>
      <c r="D89">
        <v>35682</v>
      </c>
      <c r="E89" t="s">
        <v>26</v>
      </c>
      <c r="F89" t="s">
        <v>18</v>
      </c>
      <c r="G89" t="s">
        <v>20</v>
      </c>
      <c r="H89">
        <v>1187</v>
      </c>
      <c r="I89">
        <v>230.4</v>
      </c>
      <c r="J89" s="2">
        <v>20.329999999999998</v>
      </c>
      <c r="K89">
        <v>2</v>
      </c>
      <c r="L89" s="1">
        <v>111133.56</v>
      </c>
      <c r="M89">
        <f t="shared" si="7"/>
        <v>13</v>
      </c>
      <c r="N89">
        <f t="shared" si="8"/>
        <v>8548.7353846153837</v>
      </c>
      <c r="O89">
        <f t="shared" si="9"/>
        <v>2744.7692307692309</v>
      </c>
      <c r="P89">
        <f t="shared" si="10"/>
        <v>194.10278011794441</v>
      </c>
      <c r="Q89" t="str">
        <f t="shared" si="11"/>
        <v>Old (12+ years)</v>
      </c>
      <c r="R89" t="str">
        <f t="shared" si="12"/>
        <v>Good</v>
      </c>
      <c r="S89" t="str">
        <f t="shared" si="13"/>
        <v>Very High</v>
      </c>
    </row>
    <row r="90" spans="1:19" x14ac:dyDescent="0.3">
      <c r="A90">
        <v>89</v>
      </c>
      <c r="B90" t="s">
        <v>19</v>
      </c>
      <c r="C90">
        <v>2007</v>
      </c>
      <c r="D90">
        <v>183936</v>
      </c>
      <c r="E90" t="s">
        <v>17</v>
      </c>
      <c r="F90" t="s">
        <v>18</v>
      </c>
      <c r="G90" t="s">
        <v>23</v>
      </c>
      <c r="H90">
        <v>3921</v>
      </c>
      <c r="I90">
        <v>527</v>
      </c>
      <c r="J90" s="2">
        <v>8.93</v>
      </c>
      <c r="K90">
        <v>5</v>
      </c>
      <c r="L90" s="1">
        <v>5853.75</v>
      </c>
      <c r="M90">
        <f t="shared" si="7"/>
        <v>17</v>
      </c>
      <c r="N90">
        <f t="shared" si="8"/>
        <v>344.33823529411762</v>
      </c>
      <c r="O90">
        <f t="shared" si="9"/>
        <v>10819.764705882353</v>
      </c>
      <c r="P90">
        <f t="shared" si="10"/>
        <v>134.40448865085438</v>
      </c>
      <c r="Q90" t="str">
        <f t="shared" si="11"/>
        <v>Old (12+ years)</v>
      </c>
      <c r="R90" t="str">
        <f t="shared" si="12"/>
        <v>Low</v>
      </c>
      <c r="S90" t="str">
        <f t="shared" si="13"/>
        <v>Very High</v>
      </c>
    </row>
    <row r="91" spans="1:19" x14ac:dyDescent="0.3">
      <c r="A91">
        <v>90</v>
      </c>
      <c r="B91" t="s">
        <v>25</v>
      </c>
      <c r="C91">
        <v>2014</v>
      </c>
      <c r="D91">
        <v>134992</v>
      </c>
      <c r="E91" t="s">
        <v>17</v>
      </c>
      <c r="F91" t="s">
        <v>18</v>
      </c>
      <c r="G91" t="s">
        <v>20</v>
      </c>
      <c r="H91">
        <v>2673</v>
      </c>
      <c r="I91">
        <v>89.4</v>
      </c>
      <c r="J91" s="2">
        <v>29.06</v>
      </c>
      <c r="K91">
        <v>6</v>
      </c>
      <c r="L91" s="1">
        <v>71026.710000000006</v>
      </c>
      <c r="M91">
        <f t="shared" si="7"/>
        <v>10</v>
      </c>
      <c r="N91">
        <f t="shared" si="8"/>
        <v>7102.6710000000003</v>
      </c>
      <c r="O91">
        <f t="shared" si="9"/>
        <v>13499.2</v>
      </c>
      <c r="P91">
        <f t="shared" si="10"/>
        <v>33.445566778900115</v>
      </c>
      <c r="Q91" t="str">
        <f t="shared" si="11"/>
        <v>Mature (8-12 years)</v>
      </c>
      <c r="R91" t="str">
        <f t="shared" si="12"/>
        <v>Excellent</v>
      </c>
      <c r="S91" t="str">
        <f t="shared" si="13"/>
        <v>Low</v>
      </c>
    </row>
    <row r="92" spans="1:19" x14ac:dyDescent="0.3">
      <c r="A92">
        <v>91</v>
      </c>
      <c r="B92" t="s">
        <v>25</v>
      </c>
      <c r="C92">
        <v>2014</v>
      </c>
      <c r="D92">
        <v>89416</v>
      </c>
      <c r="E92" t="s">
        <v>22</v>
      </c>
      <c r="F92" t="s">
        <v>18</v>
      </c>
      <c r="G92" t="s">
        <v>20</v>
      </c>
      <c r="H92">
        <v>4388</v>
      </c>
      <c r="I92">
        <v>475</v>
      </c>
      <c r="J92" s="2">
        <v>17.96</v>
      </c>
      <c r="K92">
        <v>4</v>
      </c>
      <c r="L92" s="1">
        <v>67225.11</v>
      </c>
      <c r="M92">
        <f t="shared" si="7"/>
        <v>10</v>
      </c>
      <c r="N92">
        <f t="shared" si="8"/>
        <v>6722.5110000000004</v>
      </c>
      <c r="O92">
        <f t="shared" si="9"/>
        <v>8941.6</v>
      </c>
      <c r="P92">
        <f t="shared" si="10"/>
        <v>108.24977210574293</v>
      </c>
      <c r="Q92" t="str">
        <f t="shared" si="11"/>
        <v>Mature (8-12 years)</v>
      </c>
      <c r="R92" t="str">
        <f t="shared" si="12"/>
        <v>Average</v>
      </c>
      <c r="S92" t="str">
        <f t="shared" si="13"/>
        <v>Very High</v>
      </c>
    </row>
    <row r="93" spans="1:19" x14ac:dyDescent="0.3">
      <c r="A93">
        <v>92</v>
      </c>
      <c r="B93" t="s">
        <v>29</v>
      </c>
      <c r="C93">
        <v>2023</v>
      </c>
      <c r="D93">
        <v>191186</v>
      </c>
      <c r="E93" t="s">
        <v>13</v>
      </c>
      <c r="F93" t="s">
        <v>18</v>
      </c>
      <c r="G93" t="s">
        <v>20</v>
      </c>
      <c r="H93">
        <v>1715</v>
      </c>
      <c r="I93">
        <v>514.6</v>
      </c>
      <c r="J93" s="2">
        <v>6.82</v>
      </c>
      <c r="K93">
        <v>2</v>
      </c>
      <c r="L93" s="1">
        <v>28660.49</v>
      </c>
      <c r="M93">
        <f t="shared" si="7"/>
        <v>1</v>
      </c>
      <c r="N93">
        <f t="shared" si="8"/>
        <v>28660.49</v>
      </c>
      <c r="O93">
        <f t="shared" si="9"/>
        <v>191186</v>
      </c>
      <c r="P93">
        <f t="shared" si="10"/>
        <v>300.05830903790087</v>
      </c>
      <c r="Q93" t="str">
        <f t="shared" si="11"/>
        <v>New (0-3 years)</v>
      </c>
      <c r="R93" t="str">
        <f t="shared" si="12"/>
        <v>Low</v>
      </c>
      <c r="S93" t="str">
        <f t="shared" si="13"/>
        <v>Very High</v>
      </c>
    </row>
    <row r="94" spans="1:19" x14ac:dyDescent="0.3">
      <c r="A94">
        <v>93</v>
      </c>
      <c r="B94" t="s">
        <v>21</v>
      </c>
      <c r="C94">
        <v>2018</v>
      </c>
      <c r="D94">
        <v>132810</v>
      </c>
      <c r="E94" t="s">
        <v>26</v>
      </c>
      <c r="F94" t="s">
        <v>18</v>
      </c>
      <c r="G94" t="s">
        <v>23</v>
      </c>
      <c r="H94">
        <v>2678</v>
      </c>
      <c r="I94">
        <v>141.80000000000001</v>
      </c>
      <c r="J94" s="2">
        <v>20.67</v>
      </c>
      <c r="K94">
        <v>4</v>
      </c>
      <c r="L94" s="1">
        <v>53179.83</v>
      </c>
      <c r="M94">
        <f t="shared" si="7"/>
        <v>6</v>
      </c>
      <c r="N94">
        <f t="shared" si="8"/>
        <v>8863.3050000000003</v>
      </c>
      <c r="O94">
        <f t="shared" si="9"/>
        <v>22135</v>
      </c>
      <c r="P94">
        <f t="shared" si="10"/>
        <v>52.949962658700528</v>
      </c>
      <c r="Q94" t="str">
        <f t="shared" si="11"/>
        <v>Recent (4-7 years)</v>
      </c>
      <c r="R94" t="str">
        <f t="shared" si="12"/>
        <v>Good</v>
      </c>
      <c r="S94" t="str">
        <f t="shared" si="13"/>
        <v>Medium</v>
      </c>
    </row>
    <row r="95" spans="1:19" x14ac:dyDescent="0.3">
      <c r="A95">
        <v>94</v>
      </c>
      <c r="B95" t="s">
        <v>24</v>
      </c>
      <c r="C95">
        <v>2006</v>
      </c>
      <c r="D95">
        <v>43067</v>
      </c>
      <c r="E95" t="s">
        <v>22</v>
      </c>
      <c r="F95" t="s">
        <v>14</v>
      </c>
      <c r="G95" t="s">
        <v>20</v>
      </c>
      <c r="H95">
        <v>4548</v>
      </c>
      <c r="I95">
        <v>281</v>
      </c>
      <c r="J95" s="2">
        <v>11.33</v>
      </c>
      <c r="K95">
        <v>5</v>
      </c>
      <c r="L95" s="1">
        <v>79314.89</v>
      </c>
      <c r="M95">
        <f t="shared" si="7"/>
        <v>18</v>
      </c>
      <c r="N95">
        <f t="shared" si="8"/>
        <v>4406.3827777777778</v>
      </c>
      <c r="O95">
        <f t="shared" si="9"/>
        <v>2392.6111111111113</v>
      </c>
      <c r="P95">
        <f t="shared" si="10"/>
        <v>61.785400175901493</v>
      </c>
      <c r="Q95" t="str">
        <f t="shared" si="11"/>
        <v>Old (12+ years)</v>
      </c>
      <c r="R95" t="str">
        <f t="shared" si="12"/>
        <v>Low</v>
      </c>
      <c r="S95" t="str">
        <f t="shared" si="13"/>
        <v>Very High</v>
      </c>
    </row>
    <row r="96" spans="1:19" x14ac:dyDescent="0.3">
      <c r="A96">
        <v>95</v>
      </c>
      <c r="B96" t="s">
        <v>12</v>
      </c>
      <c r="C96">
        <v>2005</v>
      </c>
      <c r="D96">
        <v>178757</v>
      </c>
      <c r="E96" t="s">
        <v>22</v>
      </c>
      <c r="F96" t="s">
        <v>14</v>
      </c>
      <c r="G96" t="s">
        <v>23</v>
      </c>
      <c r="H96">
        <v>1077</v>
      </c>
      <c r="I96">
        <v>132.69999999999999</v>
      </c>
      <c r="J96" s="2">
        <v>25.09</v>
      </c>
      <c r="K96">
        <v>4</v>
      </c>
      <c r="L96" s="1">
        <v>88074.35</v>
      </c>
      <c r="M96">
        <f t="shared" si="7"/>
        <v>19</v>
      </c>
      <c r="N96">
        <f t="shared" si="8"/>
        <v>4635.492105263158</v>
      </c>
      <c r="O96">
        <f t="shared" si="9"/>
        <v>9408.2631578947367</v>
      </c>
      <c r="P96">
        <f t="shared" si="10"/>
        <v>123.21262766945217</v>
      </c>
      <c r="Q96" t="str">
        <f t="shared" si="11"/>
        <v>Old (12+ years)</v>
      </c>
      <c r="R96" t="str">
        <f t="shared" si="12"/>
        <v>Excellent</v>
      </c>
      <c r="S96" t="str">
        <f t="shared" si="13"/>
        <v>Medium</v>
      </c>
    </row>
    <row r="97" spans="1:19" x14ac:dyDescent="0.3">
      <c r="A97">
        <v>96</v>
      </c>
      <c r="B97" t="s">
        <v>24</v>
      </c>
      <c r="C97">
        <v>2022</v>
      </c>
      <c r="D97">
        <v>23073</v>
      </c>
      <c r="E97" t="s">
        <v>22</v>
      </c>
      <c r="F97" t="s">
        <v>14</v>
      </c>
      <c r="G97" t="s">
        <v>23</v>
      </c>
      <c r="H97">
        <v>2777</v>
      </c>
      <c r="I97">
        <v>435.7</v>
      </c>
      <c r="J97" s="2">
        <v>25.45</v>
      </c>
      <c r="K97">
        <v>2</v>
      </c>
      <c r="L97" s="1">
        <v>3083.87</v>
      </c>
      <c r="M97">
        <f t="shared" si="7"/>
        <v>2</v>
      </c>
      <c r="N97">
        <f t="shared" si="8"/>
        <v>1541.9349999999999</v>
      </c>
      <c r="O97">
        <f t="shared" si="9"/>
        <v>11536.5</v>
      </c>
      <c r="P97">
        <f t="shared" si="10"/>
        <v>156.89593086064096</v>
      </c>
      <c r="Q97" t="str">
        <f t="shared" si="11"/>
        <v>New (0-3 years)</v>
      </c>
      <c r="R97" t="str">
        <f t="shared" si="12"/>
        <v>Excellent</v>
      </c>
      <c r="S97" t="str">
        <f t="shared" si="13"/>
        <v>Very High</v>
      </c>
    </row>
    <row r="98" spans="1:19" x14ac:dyDescent="0.3">
      <c r="A98">
        <v>97</v>
      </c>
      <c r="B98" t="s">
        <v>30</v>
      </c>
      <c r="C98">
        <v>2011</v>
      </c>
      <c r="D98">
        <v>41035</v>
      </c>
      <c r="E98" t="s">
        <v>17</v>
      </c>
      <c r="F98" t="s">
        <v>14</v>
      </c>
      <c r="G98" t="s">
        <v>15</v>
      </c>
      <c r="H98">
        <v>2659</v>
      </c>
      <c r="I98">
        <v>339.8</v>
      </c>
      <c r="J98" s="2">
        <v>29.47</v>
      </c>
      <c r="K98">
        <v>2</v>
      </c>
      <c r="L98" s="1">
        <v>112611.85</v>
      </c>
      <c r="M98">
        <f t="shared" si="7"/>
        <v>13</v>
      </c>
      <c r="N98">
        <f t="shared" si="8"/>
        <v>8662.4500000000007</v>
      </c>
      <c r="O98">
        <f t="shared" si="9"/>
        <v>3156.5384615384614</v>
      </c>
      <c r="P98">
        <f t="shared" si="10"/>
        <v>127.79240315908237</v>
      </c>
      <c r="Q98" t="str">
        <f t="shared" si="11"/>
        <v>Old (12+ years)</v>
      </c>
      <c r="R98" t="str">
        <f t="shared" si="12"/>
        <v>Excellent</v>
      </c>
      <c r="S98" t="str">
        <f t="shared" si="13"/>
        <v>Very High</v>
      </c>
    </row>
    <row r="99" spans="1:19" x14ac:dyDescent="0.3">
      <c r="A99">
        <v>98</v>
      </c>
      <c r="B99" t="s">
        <v>12</v>
      </c>
      <c r="C99">
        <v>2012</v>
      </c>
      <c r="D99">
        <v>95373</v>
      </c>
      <c r="E99" t="s">
        <v>13</v>
      </c>
      <c r="F99" t="s">
        <v>18</v>
      </c>
      <c r="G99" t="s">
        <v>15</v>
      </c>
      <c r="H99">
        <v>3836</v>
      </c>
      <c r="I99">
        <v>395.8</v>
      </c>
      <c r="J99" s="2">
        <v>17.55</v>
      </c>
      <c r="K99">
        <v>5</v>
      </c>
      <c r="L99" s="1">
        <v>22249.47</v>
      </c>
      <c r="M99">
        <f t="shared" si="7"/>
        <v>12</v>
      </c>
      <c r="N99">
        <f t="shared" si="8"/>
        <v>1854.1225000000002</v>
      </c>
      <c r="O99">
        <f t="shared" si="9"/>
        <v>7947.75</v>
      </c>
      <c r="P99">
        <f t="shared" si="10"/>
        <v>103.18039624608969</v>
      </c>
      <c r="Q99" t="str">
        <f t="shared" si="11"/>
        <v>Mature (8-12 years)</v>
      </c>
      <c r="R99" t="str">
        <f t="shared" si="12"/>
        <v>Average</v>
      </c>
      <c r="S99" t="str">
        <f t="shared" si="13"/>
        <v>Very High</v>
      </c>
    </row>
    <row r="100" spans="1:19" x14ac:dyDescent="0.3">
      <c r="A100">
        <v>99</v>
      </c>
      <c r="B100" t="s">
        <v>30</v>
      </c>
      <c r="C100">
        <v>2005</v>
      </c>
      <c r="D100">
        <v>88362</v>
      </c>
      <c r="E100" t="s">
        <v>13</v>
      </c>
      <c r="F100" t="s">
        <v>14</v>
      </c>
      <c r="G100" t="s">
        <v>20</v>
      </c>
      <c r="H100">
        <v>4171</v>
      </c>
      <c r="I100">
        <v>150</v>
      </c>
      <c r="J100" s="2">
        <v>16.37</v>
      </c>
      <c r="K100">
        <v>2</v>
      </c>
      <c r="L100" s="1">
        <v>30328.91</v>
      </c>
      <c r="M100">
        <f t="shared" si="7"/>
        <v>19</v>
      </c>
      <c r="N100">
        <f t="shared" si="8"/>
        <v>1596.2584210526315</v>
      </c>
      <c r="O100">
        <f t="shared" si="9"/>
        <v>4650.6315789473683</v>
      </c>
      <c r="P100">
        <f t="shared" si="10"/>
        <v>35.962598897146968</v>
      </c>
      <c r="Q100" t="str">
        <f t="shared" si="11"/>
        <v>Old (12+ years)</v>
      </c>
      <c r="R100" t="str">
        <f t="shared" si="12"/>
        <v>Average</v>
      </c>
      <c r="S100" t="str">
        <f t="shared" si="13"/>
        <v>High</v>
      </c>
    </row>
    <row r="101" spans="1:19" x14ac:dyDescent="0.3">
      <c r="A101">
        <v>100</v>
      </c>
      <c r="B101" t="s">
        <v>19</v>
      </c>
      <c r="C101">
        <v>2007</v>
      </c>
      <c r="D101">
        <v>95517</v>
      </c>
      <c r="E101" t="s">
        <v>26</v>
      </c>
      <c r="F101" t="s">
        <v>14</v>
      </c>
      <c r="G101" t="s">
        <v>23</v>
      </c>
      <c r="H101">
        <v>2982</v>
      </c>
      <c r="I101">
        <v>158.6</v>
      </c>
      <c r="J101" s="2">
        <v>23.84</v>
      </c>
      <c r="K101">
        <v>5</v>
      </c>
      <c r="L101" s="1">
        <v>33826.39</v>
      </c>
      <c r="M101">
        <f t="shared" si="7"/>
        <v>17</v>
      </c>
      <c r="N101">
        <f t="shared" si="8"/>
        <v>1989.7876470588235</v>
      </c>
      <c r="O101">
        <f t="shared" si="9"/>
        <v>5618.6470588235297</v>
      </c>
      <c r="P101">
        <f t="shared" si="10"/>
        <v>53.185781354795431</v>
      </c>
      <c r="Q101" t="str">
        <f t="shared" si="11"/>
        <v>Old (12+ years)</v>
      </c>
      <c r="R101" t="str">
        <f t="shared" si="12"/>
        <v>Good</v>
      </c>
      <c r="S101" t="str">
        <f t="shared" si="13"/>
        <v>High</v>
      </c>
    </row>
    <row r="102" spans="1:19" x14ac:dyDescent="0.3">
      <c r="A102">
        <v>101</v>
      </c>
      <c r="B102" t="s">
        <v>28</v>
      </c>
      <c r="C102">
        <v>2012</v>
      </c>
      <c r="D102">
        <v>70450</v>
      </c>
      <c r="E102" t="s">
        <v>13</v>
      </c>
      <c r="F102" t="s">
        <v>14</v>
      </c>
      <c r="G102" t="s">
        <v>15</v>
      </c>
      <c r="H102">
        <v>1970</v>
      </c>
      <c r="I102">
        <v>63.2</v>
      </c>
      <c r="J102" s="2">
        <v>8.31</v>
      </c>
      <c r="K102">
        <v>5</v>
      </c>
      <c r="L102" s="1">
        <v>7424.96</v>
      </c>
      <c r="M102">
        <f t="shared" si="7"/>
        <v>12</v>
      </c>
      <c r="N102">
        <f t="shared" si="8"/>
        <v>618.74666666666667</v>
      </c>
      <c r="O102">
        <f t="shared" si="9"/>
        <v>5870.833333333333</v>
      </c>
      <c r="P102">
        <f t="shared" si="10"/>
        <v>32.081218274111677</v>
      </c>
      <c r="Q102" t="str">
        <f t="shared" si="11"/>
        <v>Mature (8-12 years)</v>
      </c>
      <c r="R102" t="str">
        <f t="shared" si="12"/>
        <v>Low</v>
      </c>
      <c r="S102" t="str">
        <f t="shared" si="13"/>
        <v>Low</v>
      </c>
    </row>
    <row r="103" spans="1:19" x14ac:dyDescent="0.3">
      <c r="A103">
        <v>102</v>
      </c>
      <c r="B103" t="s">
        <v>29</v>
      </c>
      <c r="C103">
        <v>2019</v>
      </c>
      <c r="D103">
        <v>15382</v>
      </c>
      <c r="E103" t="s">
        <v>13</v>
      </c>
      <c r="F103" t="s">
        <v>14</v>
      </c>
      <c r="G103" t="s">
        <v>20</v>
      </c>
      <c r="H103">
        <v>1289</v>
      </c>
      <c r="I103">
        <v>220.4</v>
      </c>
      <c r="J103" s="2">
        <v>18.670000000000002</v>
      </c>
      <c r="K103">
        <v>2</v>
      </c>
      <c r="L103" s="1">
        <v>17397.099999999999</v>
      </c>
      <c r="M103">
        <f t="shared" si="7"/>
        <v>5</v>
      </c>
      <c r="N103">
        <f t="shared" si="8"/>
        <v>3479.4199999999996</v>
      </c>
      <c r="O103">
        <f t="shared" si="9"/>
        <v>3076.4</v>
      </c>
      <c r="P103">
        <f t="shared" si="10"/>
        <v>170.98525989138869</v>
      </c>
      <c r="Q103" t="str">
        <f t="shared" si="11"/>
        <v>Recent (4-7 years)</v>
      </c>
      <c r="R103" t="str">
        <f t="shared" si="12"/>
        <v>Average</v>
      </c>
      <c r="S103" t="str">
        <f t="shared" si="13"/>
        <v>Very High</v>
      </c>
    </row>
    <row r="104" spans="1:19" x14ac:dyDescent="0.3">
      <c r="A104">
        <v>103</v>
      </c>
      <c r="B104" t="s">
        <v>12</v>
      </c>
      <c r="C104">
        <v>2009</v>
      </c>
      <c r="D104">
        <v>140509</v>
      </c>
      <c r="E104" t="s">
        <v>22</v>
      </c>
      <c r="F104" t="s">
        <v>18</v>
      </c>
      <c r="G104" t="s">
        <v>15</v>
      </c>
      <c r="H104">
        <v>3325</v>
      </c>
      <c r="I104">
        <v>353.5</v>
      </c>
      <c r="J104" s="2">
        <v>18.66</v>
      </c>
      <c r="K104">
        <v>7</v>
      </c>
      <c r="L104" s="1">
        <v>118402.94</v>
      </c>
      <c r="M104">
        <f t="shared" si="7"/>
        <v>15</v>
      </c>
      <c r="N104">
        <f t="shared" si="8"/>
        <v>7893.5293333333339</v>
      </c>
      <c r="O104">
        <f t="shared" si="9"/>
        <v>9367.2666666666664</v>
      </c>
      <c r="P104">
        <f t="shared" si="10"/>
        <v>106.31578947368421</v>
      </c>
      <c r="Q104" t="str">
        <f t="shared" si="11"/>
        <v>Old (12+ years)</v>
      </c>
      <c r="R104" t="str">
        <f t="shared" si="12"/>
        <v>Average</v>
      </c>
      <c r="S104" t="str">
        <f t="shared" si="13"/>
        <v>Very High</v>
      </c>
    </row>
    <row r="105" spans="1:19" x14ac:dyDescent="0.3">
      <c r="A105">
        <v>104</v>
      </c>
      <c r="B105" t="s">
        <v>12</v>
      </c>
      <c r="C105">
        <v>2007</v>
      </c>
      <c r="D105">
        <v>66929</v>
      </c>
      <c r="E105" t="s">
        <v>22</v>
      </c>
      <c r="F105" t="s">
        <v>18</v>
      </c>
      <c r="G105" t="s">
        <v>15</v>
      </c>
      <c r="H105">
        <v>1982</v>
      </c>
      <c r="I105">
        <v>520.4</v>
      </c>
      <c r="J105" s="2">
        <v>7.24</v>
      </c>
      <c r="K105">
        <v>5</v>
      </c>
      <c r="L105" s="1">
        <v>39880.36</v>
      </c>
      <c r="M105">
        <f t="shared" si="7"/>
        <v>17</v>
      </c>
      <c r="N105">
        <f t="shared" si="8"/>
        <v>2345.9035294117648</v>
      </c>
      <c r="O105">
        <f t="shared" si="9"/>
        <v>3937</v>
      </c>
      <c r="P105">
        <f t="shared" si="10"/>
        <v>262.56306760847627</v>
      </c>
      <c r="Q105" t="str">
        <f t="shared" si="11"/>
        <v>Old (12+ years)</v>
      </c>
      <c r="R105" t="str">
        <f t="shared" si="12"/>
        <v>Low</v>
      </c>
      <c r="S105" t="str">
        <f t="shared" si="13"/>
        <v>Very High</v>
      </c>
    </row>
    <row r="106" spans="1:19" x14ac:dyDescent="0.3">
      <c r="A106">
        <v>105</v>
      </c>
      <c r="B106" t="s">
        <v>19</v>
      </c>
      <c r="C106">
        <v>2023</v>
      </c>
      <c r="D106">
        <v>103864</v>
      </c>
      <c r="E106" t="s">
        <v>17</v>
      </c>
      <c r="F106" t="s">
        <v>18</v>
      </c>
      <c r="G106" t="s">
        <v>23</v>
      </c>
      <c r="H106">
        <v>3288</v>
      </c>
      <c r="I106">
        <v>413.5</v>
      </c>
      <c r="J106" s="2">
        <v>15.45</v>
      </c>
      <c r="K106">
        <v>2</v>
      </c>
      <c r="L106" s="1">
        <v>16490.23</v>
      </c>
      <c r="M106">
        <f t="shared" si="7"/>
        <v>1</v>
      </c>
      <c r="N106">
        <f t="shared" si="8"/>
        <v>16490.23</v>
      </c>
      <c r="O106">
        <f t="shared" si="9"/>
        <v>103864</v>
      </c>
      <c r="P106">
        <f t="shared" si="10"/>
        <v>125.76034063260342</v>
      </c>
      <c r="Q106" t="str">
        <f t="shared" si="11"/>
        <v>New (0-3 years)</v>
      </c>
      <c r="R106" t="str">
        <f t="shared" si="12"/>
        <v>Average</v>
      </c>
      <c r="S106" t="str">
        <f t="shared" si="13"/>
        <v>Very High</v>
      </c>
    </row>
    <row r="107" spans="1:19" x14ac:dyDescent="0.3">
      <c r="A107">
        <v>106</v>
      </c>
      <c r="B107" t="s">
        <v>21</v>
      </c>
      <c r="C107">
        <v>2005</v>
      </c>
      <c r="D107">
        <v>148401</v>
      </c>
      <c r="E107" t="s">
        <v>22</v>
      </c>
      <c r="F107" t="s">
        <v>14</v>
      </c>
      <c r="G107" t="s">
        <v>23</v>
      </c>
      <c r="H107">
        <v>2676</v>
      </c>
      <c r="I107">
        <v>283.8</v>
      </c>
      <c r="J107" s="2">
        <v>26.33</v>
      </c>
      <c r="K107">
        <v>7</v>
      </c>
      <c r="L107" s="1">
        <v>15517.98</v>
      </c>
      <c r="M107">
        <f t="shared" si="7"/>
        <v>19</v>
      </c>
      <c r="N107">
        <f t="shared" si="8"/>
        <v>816.73578947368424</v>
      </c>
      <c r="O107">
        <f t="shared" si="9"/>
        <v>7810.5789473684208</v>
      </c>
      <c r="P107">
        <f t="shared" si="10"/>
        <v>106.05381165919282</v>
      </c>
      <c r="Q107" t="str">
        <f t="shared" si="11"/>
        <v>Old (12+ years)</v>
      </c>
      <c r="R107" t="str">
        <f t="shared" si="12"/>
        <v>Excellent</v>
      </c>
      <c r="S107" t="str">
        <f t="shared" si="13"/>
        <v>Very High</v>
      </c>
    </row>
    <row r="108" spans="1:19" x14ac:dyDescent="0.3">
      <c r="A108">
        <v>107</v>
      </c>
      <c r="B108" t="s">
        <v>25</v>
      </c>
      <c r="C108">
        <v>2019</v>
      </c>
      <c r="D108">
        <v>30169</v>
      </c>
      <c r="E108" t="s">
        <v>22</v>
      </c>
      <c r="F108" t="s">
        <v>18</v>
      </c>
      <c r="G108" t="s">
        <v>15</v>
      </c>
      <c r="H108">
        <v>3262</v>
      </c>
      <c r="I108">
        <v>573.70000000000005</v>
      </c>
      <c r="J108" s="2">
        <v>26.4</v>
      </c>
      <c r="K108">
        <v>5</v>
      </c>
      <c r="L108" s="1">
        <v>87176.82</v>
      </c>
      <c r="M108">
        <f t="shared" si="7"/>
        <v>5</v>
      </c>
      <c r="N108">
        <f t="shared" si="8"/>
        <v>17435.364000000001</v>
      </c>
      <c r="O108">
        <f t="shared" si="9"/>
        <v>6033.8</v>
      </c>
      <c r="P108">
        <f t="shared" si="10"/>
        <v>175.87369711833233</v>
      </c>
      <c r="Q108" t="str">
        <f t="shared" si="11"/>
        <v>Recent (4-7 years)</v>
      </c>
      <c r="R108" t="str">
        <f t="shared" si="12"/>
        <v>Excellent</v>
      </c>
      <c r="S108" t="str">
        <f t="shared" si="13"/>
        <v>Very High</v>
      </c>
    </row>
    <row r="109" spans="1:19" x14ac:dyDescent="0.3">
      <c r="A109">
        <v>108</v>
      </c>
      <c r="B109" t="s">
        <v>19</v>
      </c>
      <c r="C109">
        <v>2012</v>
      </c>
      <c r="D109">
        <v>92468</v>
      </c>
      <c r="E109" t="s">
        <v>22</v>
      </c>
      <c r="F109" t="s">
        <v>14</v>
      </c>
      <c r="G109" t="s">
        <v>15</v>
      </c>
      <c r="H109">
        <v>2430</v>
      </c>
      <c r="I109">
        <v>442.8</v>
      </c>
      <c r="J109" s="2">
        <v>7.48</v>
      </c>
      <c r="K109">
        <v>7</v>
      </c>
      <c r="L109" s="1">
        <v>102984.53</v>
      </c>
      <c r="M109">
        <f t="shared" si="7"/>
        <v>12</v>
      </c>
      <c r="N109">
        <f t="shared" si="8"/>
        <v>8582.0441666666666</v>
      </c>
      <c r="O109">
        <f t="shared" si="9"/>
        <v>7705.666666666667</v>
      </c>
      <c r="P109">
        <f t="shared" si="10"/>
        <v>182.22222222222223</v>
      </c>
      <c r="Q109" t="str">
        <f t="shared" si="11"/>
        <v>Mature (8-12 years)</v>
      </c>
      <c r="R109" t="str">
        <f t="shared" si="12"/>
        <v>Low</v>
      </c>
      <c r="S109" t="str">
        <f t="shared" si="13"/>
        <v>Very High</v>
      </c>
    </row>
    <row r="110" spans="1:19" x14ac:dyDescent="0.3">
      <c r="A110">
        <v>109</v>
      </c>
      <c r="B110" t="s">
        <v>27</v>
      </c>
      <c r="C110">
        <v>2006</v>
      </c>
      <c r="D110">
        <v>39594</v>
      </c>
      <c r="E110" t="s">
        <v>22</v>
      </c>
      <c r="F110" t="s">
        <v>18</v>
      </c>
      <c r="G110" t="s">
        <v>23</v>
      </c>
      <c r="H110">
        <v>1087</v>
      </c>
      <c r="I110">
        <v>560.9</v>
      </c>
      <c r="J110" s="2">
        <v>7.27</v>
      </c>
      <c r="K110">
        <v>6</v>
      </c>
      <c r="L110" s="1">
        <v>33063.42</v>
      </c>
      <c r="M110">
        <f t="shared" si="7"/>
        <v>18</v>
      </c>
      <c r="N110">
        <f t="shared" si="8"/>
        <v>1836.8566666666666</v>
      </c>
      <c r="O110">
        <f t="shared" si="9"/>
        <v>2199.6666666666665</v>
      </c>
      <c r="P110">
        <f t="shared" si="10"/>
        <v>516.00735970561175</v>
      </c>
      <c r="Q110" t="str">
        <f t="shared" si="11"/>
        <v>Old (12+ years)</v>
      </c>
      <c r="R110" t="str">
        <f t="shared" si="12"/>
        <v>Low</v>
      </c>
      <c r="S110" t="str">
        <f t="shared" si="13"/>
        <v>Very High</v>
      </c>
    </row>
    <row r="111" spans="1:19" x14ac:dyDescent="0.3">
      <c r="A111">
        <v>110</v>
      </c>
      <c r="B111" t="s">
        <v>25</v>
      </c>
      <c r="C111">
        <v>2007</v>
      </c>
      <c r="D111">
        <v>196703</v>
      </c>
      <c r="E111" t="s">
        <v>17</v>
      </c>
      <c r="F111" t="s">
        <v>18</v>
      </c>
      <c r="G111" t="s">
        <v>20</v>
      </c>
      <c r="H111">
        <v>2707</v>
      </c>
      <c r="I111">
        <v>335.4</v>
      </c>
      <c r="J111" s="2">
        <v>11.57</v>
      </c>
      <c r="K111">
        <v>6</v>
      </c>
      <c r="L111" s="1">
        <v>5446.41</v>
      </c>
      <c r="M111">
        <f t="shared" si="7"/>
        <v>17</v>
      </c>
      <c r="N111">
        <f t="shared" si="8"/>
        <v>320.37705882352941</v>
      </c>
      <c r="O111">
        <f t="shared" si="9"/>
        <v>11570.764705882353</v>
      </c>
      <c r="P111">
        <f t="shared" si="10"/>
        <v>123.90099741411156</v>
      </c>
      <c r="Q111" t="str">
        <f t="shared" si="11"/>
        <v>Old (12+ years)</v>
      </c>
      <c r="R111" t="str">
        <f t="shared" si="12"/>
        <v>Low</v>
      </c>
      <c r="S111" t="str">
        <f t="shared" si="13"/>
        <v>Very High</v>
      </c>
    </row>
    <row r="112" spans="1:19" x14ac:dyDescent="0.3">
      <c r="A112">
        <v>111</v>
      </c>
      <c r="B112" t="s">
        <v>29</v>
      </c>
      <c r="C112">
        <v>2018</v>
      </c>
      <c r="D112">
        <v>50033</v>
      </c>
      <c r="E112" t="s">
        <v>22</v>
      </c>
      <c r="F112" t="s">
        <v>18</v>
      </c>
      <c r="G112" t="s">
        <v>23</v>
      </c>
      <c r="H112">
        <v>1961</v>
      </c>
      <c r="I112">
        <v>185</v>
      </c>
      <c r="J112" s="2">
        <v>26.87</v>
      </c>
      <c r="K112">
        <v>7</v>
      </c>
      <c r="L112" s="1">
        <v>29101.53</v>
      </c>
      <c r="M112">
        <f t="shared" si="7"/>
        <v>6</v>
      </c>
      <c r="N112">
        <f t="shared" si="8"/>
        <v>4850.2550000000001</v>
      </c>
      <c r="O112">
        <f t="shared" si="9"/>
        <v>8338.8333333333339</v>
      </c>
      <c r="P112">
        <f t="shared" si="10"/>
        <v>94.339622641509436</v>
      </c>
      <c r="Q112" t="str">
        <f t="shared" si="11"/>
        <v>Recent (4-7 years)</v>
      </c>
      <c r="R112" t="str">
        <f t="shared" si="12"/>
        <v>Excellent</v>
      </c>
      <c r="S112" t="str">
        <f t="shared" si="13"/>
        <v>High</v>
      </c>
    </row>
    <row r="113" spans="1:19" x14ac:dyDescent="0.3">
      <c r="A113">
        <v>112</v>
      </c>
      <c r="B113" t="s">
        <v>25</v>
      </c>
      <c r="C113">
        <v>2018</v>
      </c>
      <c r="D113">
        <v>68133</v>
      </c>
      <c r="E113" t="s">
        <v>26</v>
      </c>
      <c r="F113" t="s">
        <v>18</v>
      </c>
      <c r="G113" t="s">
        <v>15</v>
      </c>
      <c r="H113">
        <v>929</v>
      </c>
      <c r="I113">
        <v>69.599999999999994</v>
      </c>
      <c r="J113" s="2">
        <v>8.2200000000000006</v>
      </c>
      <c r="K113">
        <v>5</v>
      </c>
      <c r="L113" s="1">
        <v>9612.34</v>
      </c>
      <c r="M113">
        <f t="shared" si="7"/>
        <v>6</v>
      </c>
      <c r="N113">
        <f t="shared" si="8"/>
        <v>1602.0566666666666</v>
      </c>
      <c r="O113">
        <f t="shared" si="9"/>
        <v>11355.5</v>
      </c>
      <c r="P113">
        <f t="shared" si="10"/>
        <v>74.919268030139932</v>
      </c>
      <c r="Q113" t="str">
        <f t="shared" si="11"/>
        <v>Recent (4-7 years)</v>
      </c>
      <c r="R113" t="str">
        <f t="shared" si="12"/>
        <v>Low</v>
      </c>
      <c r="S113" t="str">
        <f t="shared" si="13"/>
        <v>Low</v>
      </c>
    </row>
    <row r="114" spans="1:19" x14ac:dyDescent="0.3">
      <c r="A114">
        <v>113</v>
      </c>
      <c r="B114" t="s">
        <v>21</v>
      </c>
      <c r="C114">
        <v>2015</v>
      </c>
      <c r="D114">
        <v>78861</v>
      </c>
      <c r="E114" t="s">
        <v>26</v>
      </c>
      <c r="F114" t="s">
        <v>18</v>
      </c>
      <c r="G114" t="s">
        <v>20</v>
      </c>
      <c r="H114">
        <v>3163</v>
      </c>
      <c r="I114">
        <v>446.6</v>
      </c>
      <c r="J114" s="2">
        <v>23</v>
      </c>
      <c r="K114">
        <v>2</v>
      </c>
      <c r="L114" s="1">
        <v>15097.21</v>
      </c>
      <c r="M114">
        <f t="shared" si="7"/>
        <v>9</v>
      </c>
      <c r="N114">
        <f t="shared" si="8"/>
        <v>1677.4677777777777</v>
      </c>
      <c r="O114">
        <f t="shared" si="9"/>
        <v>8762.3333333333339</v>
      </c>
      <c r="P114">
        <f t="shared" si="10"/>
        <v>141.19506797344295</v>
      </c>
      <c r="Q114" t="str">
        <f t="shared" si="11"/>
        <v>Mature (8-12 years)</v>
      </c>
      <c r="R114" t="str">
        <f t="shared" si="12"/>
        <v>Good</v>
      </c>
      <c r="S114" t="str">
        <f t="shared" si="13"/>
        <v>Very High</v>
      </c>
    </row>
    <row r="115" spans="1:19" x14ac:dyDescent="0.3">
      <c r="A115">
        <v>114</v>
      </c>
      <c r="B115" t="s">
        <v>25</v>
      </c>
      <c r="C115">
        <v>2020</v>
      </c>
      <c r="D115">
        <v>188362</v>
      </c>
      <c r="E115" t="s">
        <v>26</v>
      </c>
      <c r="F115" t="s">
        <v>14</v>
      </c>
      <c r="G115" t="s">
        <v>15</v>
      </c>
      <c r="H115">
        <v>943</v>
      </c>
      <c r="I115">
        <v>107.9</v>
      </c>
      <c r="J115" s="2">
        <v>7.53</v>
      </c>
      <c r="K115">
        <v>4</v>
      </c>
      <c r="L115" s="1">
        <v>53486.45</v>
      </c>
      <c r="M115">
        <f t="shared" si="7"/>
        <v>4</v>
      </c>
      <c r="N115">
        <f t="shared" si="8"/>
        <v>13371.612499999999</v>
      </c>
      <c r="O115">
        <f t="shared" si="9"/>
        <v>47090.5</v>
      </c>
      <c r="P115">
        <f t="shared" si="10"/>
        <v>114.42205726405092</v>
      </c>
      <c r="Q115" t="str">
        <f t="shared" si="11"/>
        <v>Recent (4-7 years)</v>
      </c>
      <c r="R115" t="str">
        <f t="shared" si="12"/>
        <v>Low</v>
      </c>
      <c r="S115" t="str">
        <f t="shared" si="13"/>
        <v>Medium</v>
      </c>
    </row>
    <row r="116" spans="1:19" x14ac:dyDescent="0.3">
      <c r="A116">
        <v>115</v>
      </c>
      <c r="B116" t="s">
        <v>29</v>
      </c>
      <c r="C116">
        <v>2008</v>
      </c>
      <c r="D116">
        <v>36750</v>
      </c>
      <c r="E116" t="s">
        <v>26</v>
      </c>
      <c r="F116" t="s">
        <v>18</v>
      </c>
      <c r="G116" t="s">
        <v>20</v>
      </c>
      <c r="H116">
        <v>815</v>
      </c>
      <c r="I116">
        <v>209.6</v>
      </c>
      <c r="J116" s="2">
        <v>20.58</v>
      </c>
      <c r="K116">
        <v>2</v>
      </c>
      <c r="L116" s="1">
        <v>29900.45</v>
      </c>
      <c r="M116">
        <f t="shared" si="7"/>
        <v>16</v>
      </c>
      <c r="N116">
        <f t="shared" si="8"/>
        <v>1868.778125</v>
      </c>
      <c r="O116">
        <f t="shared" si="9"/>
        <v>2296.875</v>
      </c>
      <c r="P116">
        <f t="shared" si="10"/>
        <v>257.17791411042947</v>
      </c>
      <c r="Q116" t="str">
        <f t="shared" si="11"/>
        <v>Old (12+ years)</v>
      </c>
      <c r="R116" t="str">
        <f t="shared" si="12"/>
        <v>Good</v>
      </c>
      <c r="S116" t="str">
        <f t="shared" si="13"/>
        <v>Very High</v>
      </c>
    </row>
    <row r="117" spans="1:19" x14ac:dyDescent="0.3">
      <c r="A117">
        <v>116</v>
      </c>
      <c r="B117" t="s">
        <v>21</v>
      </c>
      <c r="C117">
        <v>2024</v>
      </c>
      <c r="D117">
        <v>45461</v>
      </c>
      <c r="E117" t="s">
        <v>22</v>
      </c>
      <c r="F117" t="s">
        <v>14</v>
      </c>
      <c r="G117" t="s">
        <v>15</v>
      </c>
      <c r="H117">
        <v>1044</v>
      </c>
      <c r="I117">
        <v>338.2</v>
      </c>
      <c r="J117" s="2">
        <v>13.9</v>
      </c>
      <c r="K117">
        <v>4</v>
      </c>
      <c r="L117" s="1">
        <v>63365.67</v>
      </c>
      <c r="M117">
        <f t="shared" si="7"/>
        <v>0</v>
      </c>
      <c r="N117">
        <f t="shared" si="8"/>
        <v>63365.67</v>
      </c>
      <c r="O117">
        <f t="shared" si="9"/>
        <v>45461</v>
      </c>
      <c r="P117">
        <f t="shared" si="10"/>
        <v>323.94636015325671</v>
      </c>
      <c r="Q117" t="str">
        <f t="shared" si="11"/>
        <v>New (0-3 years)</v>
      </c>
      <c r="R117" t="str">
        <f t="shared" si="12"/>
        <v>Low</v>
      </c>
      <c r="S117" t="str">
        <f t="shared" si="13"/>
        <v>Very High</v>
      </c>
    </row>
    <row r="118" spans="1:19" x14ac:dyDescent="0.3">
      <c r="A118">
        <v>117</v>
      </c>
      <c r="B118" t="s">
        <v>24</v>
      </c>
      <c r="C118">
        <v>2009</v>
      </c>
      <c r="D118">
        <v>83222</v>
      </c>
      <c r="E118" t="s">
        <v>26</v>
      </c>
      <c r="F118" t="s">
        <v>14</v>
      </c>
      <c r="G118" t="s">
        <v>20</v>
      </c>
      <c r="H118">
        <v>1726</v>
      </c>
      <c r="I118">
        <v>356.1</v>
      </c>
      <c r="J118" s="2">
        <v>24.72</v>
      </c>
      <c r="K118">
        <v>4</v>
      </c>
      <c r="L118" s="1">
        <v>32658.77</v>
      </c>
      <c r="M118">
        <f t="shared" si="7"/>
        <v>15</v>
      </c>
      <c r="N118">
        <f t="shared" si="8"/>
        <v>2177.2513333333332</v>
      </c>
      <c r="O118">
        <f t="shared" si="9"/>
        <v>5548.1333333333332</v>
      </c>
      <c r="P118">
        <f t="shared" si="10"/>
        <v>206.31517960602551</v>
      </c>
      <c r="Q118" t="str">
        <f t="shared" si="11"/>
        <v>Old (12+ years)</v>
      </c>
      <c r="R118" t="str">
        <f t="shared" si="12"/>
        <v>Good</v>
      </c>
      <c r="S118" t="str">
        <f t="shared" si="13"/>
        <v>Very High</v>
      </c>
    </row>
    <row r="119" spans="1:19" x14ac:dyDescent="0.3">
      <c r="A119">
        <v>118</v>
      </c>
      <c r="B119" t="s">
        <v>12</v>
      </c>
      <c r="C119">
        <v>2018</v>
      </c>
      <c r="D119">
        <v>117020</v>
      </c>
      <c r="E119" t="s">
        <v>22</v>
      </c>
      <c r="F119" t="s">
        <v>14</v>
      </c>
      <c r="G119" t="s">
        <v>20</v>
      </c>
      <c r="H119">
        <v>3978</v>
      </c>
      <c r="I119">
        <v>376.3</v>
      </c>
      <c r="J119" s="2">
        <v>10.84</v>
      </c>
      <c r="K119">
        <v>5</v>
      </c>
      <c r="L119" s="1">
        <v>113042.86</v>
      </c>
      <c r="M119">
        <f t="shared" si="7"/>
        <v>6</v>
      </c>
      <c r="N119">
        <f t="shared" si="8"/>
        <v>18840.476666666666</v>
      </c>
      <c r="O119">
        <f t="shared" si="9"/>
        <v>19503.333333333332</v>
      </c>
      <c r="P119">
        <f t="shared" si="10"/>
        <v>94.595274007038711</v>
      </c>
      <c r="Q119" t="str">
        <f t="shared" si="11"/>
        <v>Recent (4-7 years)</v>
      </c>
      <c r="R119" t="str">
        <f t="shared" si="12"/>
        <v>Low</v>
      </c>
      <c r="S119" t="str">
        <f t="shared" si="13"/>
        <v>Very High</v>
      </c>
    </row>
    <row r="120" spans="1:19" x14ac:dyDescent="0.3">
      <c r="A120">
        <v>119</v>
      </c>
      <c r="B120" t="s">
        <v>12</v>
      </c>
      <c r="C120">
        <v>2020</v>
      </c>
      <c r="D120">
        <v>29226</v>
      </c>
      <c r="E120" t="s">
        <v>17</v>
      </c>
      <c r="F120" t="s">
        <v>14</v>
      </c>
      <c r="G120" t="s">
        <v>15</v>
      </c>
      <c r="H120">
        <v>2976</v>
      </c>
      <c r="I120">
        <v>133.1</v>
      </c>
      <c r="J120" s="2">
        <v>20.98</v>
      </c>
      <c r="K120">
        <v>7</v>
      </c>
      <c r="L120" s="1">
        <v>108995.44</v>
      </c>
      <c r="M120">
        <f t="shared" si="7"/>
        <v>4</v>
      </c>
      <c r="N120">
        <f t="shared" si="8"/>
        <v>27248.86</v>
      </c>
      <c r="O120">
        <f t="shared" si="9"/>
        <v>7306.5</v>
      </c>
      <c r="P120">
        <f t="shared" si="10"/>
        <v>44.7244623655914</v>
      </c>
      <c r="Q120" t="str">
        <f t="shared" si="11"/>
        <v>Recent (4-7 years)</v>
      </c>
      <c r="R120" t="str">
        <f t="shared" si="12"/>
        <v>Good</v>
      </c>
      <c r="S120" t="str">
        <f t="shared" si="13"/>
        <v>Medium</v>
      </c>
    </row>
    <row r="121" spans="1:19" x14ac:dyDescent="0.3">
      <c r="A121">
        <v>120</v>
      </c>
      <c r="B121" t="s">
        <v>30</v>
      </c>
      <c r="C121">
        <v>2022</v>
      </c>
      <c r="D121">
        <v>11721</v>
      </c>
      <c r="E121" t="s">
        <v>26</v>
      </c>
      <c r="F121" t="s">
        <v>14</v>
      </c>
      <c r="G121" t="s">
        <v>20</v>
      </c>
      <c r="H121">
        <v>1686</v>
      </c>
      <c r="I121">
        <v>252.7</v>
      </c>
      <c r="J121" s="2">
        <v>10.89</v>
      </c>
      <c r="K121">
        <v>2</v>
      </c>
      <c r="L121" s="1">
        <v>69316.31</v>
      </c>
      <c r="M121">
        <f t="shared" si="7"/>
        <v>2</v>
      </c>
      <c r="N121">
        <f t="shared" si="8"/>
        <v>34658.154999999999</v>
      </c>
      <c r="O121">
        <f t="shared" si="9"/>
        <v>5860.5</v>
      </c>
      <c r="P121">
        <f t="shared" si="10"/>
        <v>149.88137603795965</v>
      </c>
      <c r="Q121" t="str">
        <f t="shared" si="11"/>
        <v>New (0-3 years)</v>
      </c>
      <c r="R121" t="str">
        <f t="shared" si="12"/>
        <v>Low</v>
      </c>
      <c r="S121" t="str">
        <f t="shared" si="13"/>
        <v>Very High</v>
      </c>
    </row>
    <row r="122" spans="1:19" x14ac:dyDescent="0.3">
      <c r="A122">
        <v>121</v>
      </c>
      <c r="B122" t="s">
        <v>24</v>
      </c>
      <c r="C122">
        <v>2011</v>
      </c>
      <c r="D122">
        <v>192226</v>
      </c>
      <c r="E122" t="s">
        <v>13</v>
      </c>
      <c r="F122" t="s">
        <v>18</v>
      </c>
      <c r="G122" t="s">
        <v>23</v>
      </c>
      <c r="H122">
        <v>1140</v>
      </c>
      <c r="I122">
        <v>385.6</v>
      </c>
      <c r="J122" s="2">
        <v>22.84</v>
      </c>
      <c r="K122">
        <v>7</v>
      </c>
      <c r="L122" s="1">
        <v>44467.61</v>
      </c>
      <c r="M122">
        <f t="shared" si="7"/>
        <v>13</v>
      </c>
      <c r="N122">
        <f t="shared" si="8"/>
        <v>3420.5853846153846</v>
      </c>
      <c r="O122">
        <f t="shared" si="9"/>
        <v>14786.615384615385</v>
      </c>
      <c r="P122">
        <f t="shared" si="10"/>
        <v>338.24561403508778</v>
      </c>
      <c r="Q122" t="str">
        <f t="shared" si="11"/>
        <v>Old (12+ years)</v>
      </c>
      <c r="R122" t="str">
        <f t="shared" si="12"/>
        <v>Good</v>
      </c>
      <c r="S122" t="str">
        <f t="shared" si="13"/>
        <v>Very High</v>
      </c>
    </row>
    <row r="123" spans="1:19" x14ac:dyDescent="0.3">
      <c r="A123">
        <v>122</v>
      </c>
      <c r="B123" t="s">
        <v>24</v>
      </c>
      <c r="C123">
        <v>2014</v>
      </c>
      <c r="D123">
        <v>25609</v>
      </c>
      <c r="E123" t="s">
        <v>26</v>
      </c>
      <c r="F123" t="s">
        <v>18</v>
      </c>
      <c r="G123" t="s">
        <v>15</v>
      </c>
      <c r="H123">
        <v>2851</v>
      </c>
      <c r="I123">
        <v>583.1</v>
      </c>
      <c r="J123" s="2">
        <v>26.84</v>
      </c>
      <c r="K123">
        <v>6</v>
      </c>
      <c r="L123" s="1">
        <v>47594.19</v>
      </c>
      <c r="M123">
        <f t="shared" si="7"/>
        <v>10</v>
      </c>
      <c r="N123">
        <f t="shared" si="8"/>
        <v>4759.4189999999999</v>
      </c>
      <c r="O123">
        <f t="shared" si="9"/>
        <v>2560.9</v>
      </c>
      <c r="P123">
        <f t="shared" si="10"/>
        <v>204.52472816555596</v>
      </c>
      <c r="Q123" t="str">
        <f t="shared" si="11"/>
        <v>Mature (8-12 years)</v>
      </c>
      <c r="R123" t="str">
        <f t="shared" si="12"/>
        <v>Excellent</v>
      </c>
      <c r="S123" t="str">
        <f t="shared" si="13"/>
        <v>Very High</v>
      </c>
    </row>
    <row r="124" spans="1:19" x14ac:dyDescent="0.3">
      <c r="A124">
        <v>123</v>
      </c>
      <c r="B124" t="s">
        <v>25</v>
      </c>
      <c r="C124">
        <v>2011</v>
      </c>
      <c r="D124">
        <v>188202</v>
      </c>
      <c r="E124" t="s">
        <v>26</v>
      </c>
      <c r="F124" t="s">
        <v>18</v>
      </c>
      <c r="G124" t="s">
        <v>23</v>
      </c>
      <c r="H124">
        <v>4198</v>
      </c>
      <c r="I124">
        <v>447.5</v>
      </c>
      <c r="J124" s="2">
        <v>8.17</v>
      </c>
      <c r="K124">
        <v>5</v>
      </c>
      <c r="L124" s="1">
        <v>51186.720000000001</v>
      </c>
      <c r="M124">
        <f t="shared" si="7"/>
        <v>13</v>
      </c>
      <c r="N124">
        <f t="shared" si="8"/>
        <v>3937.44</v>
      </c>
      <c r="O124">
        <f t="shared" si="9"/>
        <v>14477.076923076924</v>
      </c>
      <c r="P124">
        <f t="shared" si="10"/>
        <v>106.59838018103858</v>
      </c>
      <c r="Q124" t="str">
        <f t="shared" si="11"/>
        <v>Old (12+ years)</v>
      </c>
      <c r="R124" t="str">
        <f t="shared" si="12"/>
        <v>Low</v>
      </c>
      <c r="S124" t="str">
        <f t="shared" si="13"/>
        <v>Very High</v>
      </c>
    </row>
    <row r="125" spans="1:19" x14ac:dyDescent="0.3">
      <c r="A125">
        <v>124</v>
      </c>
      <c r="B125" t="s">
        <v>12</v>
      </c>
      <c r="C125">
        <v>2005</v>
      </c>
      <c r="D125">
        <v>135513</v>
      </c>
      <c r="E125" t="s">
        <v>22</v>
      </c>
      <c r="F125" t="s">
        <v>18</v>
      </c>
      <c r="G125" t="s">
        <v>15</v>
      </c>
      <c r="H125">
        <v>4750</v>
      </c>
      <c r="I125">
        <v>556.70000000000005</v>
      </c>
      <c r="J125" s="2">
        <v>26.66</v>
      </c>
      <c r="K125">
        <v>5</v>
      </c>
      <c r="L125" s="1">
        <v>88126.78</v>
      </c>
      <c r="M125">
        <f t="shared" si="7"/>
        <v>19</v>
      </c>
      <c r="N125">
        <f t="shared" si="8"/>
        <v>4638.2515789473682</v>
      </c>
      <c r="O125">
        <f t="shared" si="9"/>
        <v>7132.2631578947367</v>
      </c>
      <c r="P125">
        <f t="shared" si="10"/>
        <v>117.2</v>
      </c>
      <c r="Q125" t="str">
        <f t="shared" si="11"/>
        <v>Old (12+ years)</v>
      </c>
      <c r="R125" t="str">
        <f t="shared" si="12"/>
        <v>Excellent</v>
      </c>
      <c r="S125" t="str">
        <f t="shared" si="13"/>
        <v>Very High</v>
      </c>
    </row>
    <row r="126" spans="1:19" x14ac:dyDescent="0.3">
      <c r="A126">
        <v>125</v>
      </c>
      <c r="B126" t="s">
        <v>29</v>
      </c>
      <c r="C126">
        <v>2023</v>
      </c>
      <c r="D126">
        <v>109211</v>
      </c>
      <c r="E126" t="s">
        <v>26</v>
      </c>
      <c r="F126" t="s">
        <v>14</v>
      </c>
      <c r="G126" t="s">
        <v>20</v>
      </c>
      <c r="H126">
        <v>1105</v>
      </c>
      <c r="I126">
        <v>466.8</v>
      </c>
      <c r="J126" s="2">
        <v>19.84</v>
      </c>
      <c r="K126">
        <v>6</v>
      </c>
      <c r="L126" s="1">
        <v>55841.760000000002</v>
      </c>
      <c r="M126">
        <f t="shared" si="7"/>
        <v>1</v>
      </c>
      <c r="N126">
        <f t="shared" si="8"/>
        <v>55841.760000000002</v>
      </c>
      <c r="O126">
        <f t="shared" si="9"/>
        <v>109211</v>
      </c>
      <c r="P126">
        <f t="shared" si="10"/>
        <v>422.44343891402718</v>
      </c>
      <c r="Q126" t="str">
        <f t="shared" si="11"/>
        <v>New (0-3 years)</v>
      </c>
      <c r="R126" t="str">
        <f t="shared" si="12"/>
        <v>Average</v>
      </c>
      <c r="S126" t="str">
        <f t="shared" si="13"/>
        <v>Very High</v>
      </c>
    </row>
    <row r="127" spans="1:19" x14ac:dyDescent="0.3">
      <c r="A127">
        <v>126</v>
      </c>
      <c r="B127" t="s">
        <v>16</v>
      </c>
      <c r="C127">
        <v>2020</v>
      </c>
      <c r="D127">
        <v>191321</v>
      </c>
      <c r="E127" t="s">
        <v>13</v>
      </c>
      <c r="F127" t="s">
        <v>18</v>
      </c>
      <c r="G127" t="s">
        <v>20</v>
      </c>
      <c r="H127">
        <v>1707</v>
      </c>
      <c r="I127">
        <v>371.4</v>
      </c>
      <c r="J127" s="2">
        <v>8.18</v>
      </c>
      <c r="K127">
        <v>2</v>
      </c>
      <c r="L127" s="1">
        <v>103237.4</v>
      </c>
      <c r="M127">
        <f t="shared" si="7"/>
        <v>4</v>
      </c>
      <c r="N127">
        <f t="shared" si="8"/>
        <v>25809.35</v>
      </c>
      <c r="O127">
        <f t="shared" si="9"/>
        <v>47830.25</v>
      </c>
      <c r="P127">
        <f t="shared" si="10"/>
        <v>217.57469244288222</v>
      </c>
      <c r="Q127" t="str">
        <f t="shared" si="11"/>
        <v>Recent (4-7 years)</v>
      </c>
      <c r="R127" t="str">
        <f t="shared" si="12"/>
        <v>Low</v>
      </c>
      <c r="S127" t="str">
        <f t="shared" si="13"/>
        <v>Very High</v>
      </c>
    </row>
    <row r="128" spans="1:19" x14ac:dyDescent="0.3">
      <c r="A128">
        <v>127</v>
      </c>
      <c r="B128" t="s">
        <v>16</v>
      </c>
      <c r="C128">
        <v>2023</v>
      </c>
      <c r="D128">
        <v>184967</v>
      </c>
      <c r="E128" t="s">
        <v>22</v>
      </c>
      <c r="F128" t="s">
        <v>18</v>
      </c>
      <c r="G128" t="s">
        <v>20</v>
      </c>
      <c r="H128">
        <v>3454</v>
      </c>
      <c r="I128">
        <v>147.5</v>
      </c>
      <c r="J128" s="2">
        <v>15.69</v>
      </c>
      <c r="K128">
        <v>6</v>
      </c>
      <c r="L128" s="1">
        <v>113459.09</v>
      </c>
      <c r="M128">
        <f t="shared" si="7"/>
        <v>1</v>
      </c>
      <c r="N128">
        <f t="shared" si="8"/>
        <v>113459.09</v>
      </c>
      <c r="O128">
        <f t="shared" si="9"/>
        <v>184967</v>
      </c>
      <c r="P128">
        <f t="shared" si="10"/>
        <v>42.704111175448752</v>
      </c>
      <c r="Q128" t="str">
        <f t="shared" si="11"/>
        <v>New (0-3 years)</v>
      </c>
      <c r="R128" t="str">
        <f t="shared" si="12"/>
        <v>Average</v>
      </c>
      <c r="S128" t="str">
        <f t="shared" si="13"/>
        <v>Medium</v>
      </c>
    </row>
    <row r="129" spans="1:19" x14ac:dyDescent="0.3">
      <c r="A129">
        <v>128</v>
      </c>
      <c r="B129" t="s">
        <v>21</v>
      </c>
      <c r="C129">
        <v>2008</v>
      </c>
      <c r="D129">
        <v>141728</v>
      </c>
      <c r="E129" t="s">
        <v>22</v>
      </c>
      <c r="F129" t="s">
        <v>14</v>
      </c>
      <c r="G129" t="s">
        <v>15</v>
      </c>
      <c r="H129">
        <v>4592</v>
      </c>
      <c r="I129">
        <v>413.3</v>
      </c>
      <c r="J129" s="2">
        <v>9.02</v>
      </c>
      <c r="K129">
        <v>2</v>
      </c>
      <c r="L129" s="1">
        <v>42305.7</v>
      </c>
      <c r="M129">
        <f t="shared" si="7"/>
        <v>16</v>
      </c>
      <c r="N129">
        <f t="shared" si="8"/>
        <v>2644.1062499999998</v>
      </c>
      <c r="O129">
        <f t="shared" si="9"/>
        <v>8858</v>
      </c>
      <c r="P129">
        <f t="shared" si="10"/>
        <v>90.00435540069688</v>
      </c>
      <c r="Q129" t="str">
        <f t="shared" si="11"/>
        <v>Old (12+ years)</v>
      </c>
      <c r="R129" t="str">
        <f t="shared" si="12"/>
        <v>Low</v>
      </c>
      <c r="S129" t="str">
        <f t="shared" si="13"/>
        <v>Very High</v>
      </c>
    </row>
    <row r="130" spans="1:19" x14ac:dyDescent="0.3">
      <c r="A130">
        <v>129</v>
      </c>
      <c r="B130" t="s">
        <v>12</v>
      </c>
      <c r="C130">
        <v>2022</v>
      </c>
      <c r="D130">
        <v>129865</v>
      </c>
      <c r="E130" t="s">
        <v>17</v>
      </c>
      <c r="F130" t="s">
        <v>14</v>
      </c>
      <c r="G130" t="s">
        <v>23</v>
      </c>
      <c r="H130">
        <v>4842</v>
      </c>
      <c r="I130">
        <v>389.1</v>
      </c>
      <c r="J130" s="2">
        <v>22.51</v>
      </c>
      <c r="K130">
        <v>4</v>
      </c>
      <c r="L130" s="1">
        <v>68601.25</v>
      </c>
      <c r="M130">
        <f t="shared" si="7"/>
        <v>2</v>
      </c>
      <c r="N130">
        <f t="shared" si="8"/>
        <v>34300.625</v>
      </c>
      <c r="O130">
        <f t="shared" si="9"/>
        <v>64932.5</v>
      </c>
      <c r="P130">
        <f t="shared" si="10"/>
        <v>80.359355638166065</v>
      </c>
      <c r="Q130" t="str">
        <f t="shared" si="11"/>
        <v>New (0-3 years)</v>
      </c>
      <c r="R130" t="str">
        <f t="shared" si="12"/>
        <v>Good</v>
      </c>
      <c r="S130" t="str">
        <f t="shared" si="13"/>
        <v>Very High</v>
      </c>
    </row>
    <row r="131" spans="1:19" x14ac:dyDescent="0.3">
      <c r="A131">
        <v>130</v>
      </c>
      <c r="B131" t="s">
        <v>12</v>
      </c>
      <c r="C131">
        <v>2006</v>
      </c>
      <c r="D131">
        <v>79520</v>
      </c>
      <c r="E131" t="s">
        <v>17</v>
      </c>
      <c r="F131" t="s">
        <v>18</v>
      </c>
      <c r="G131" t="s">
        <v>23</v>
      </c>
      <c r="H131">
        <v>2171</v>
      </c>
      <c r="I131">
        <v>377.4</v>
      </c>
      <c r="J131" s="2">
        <v>23.97</v>
      </c>
      <c r="K131">
        <v>5</v>
      </c>
      <c r="L131" s="1">
        <v>14121.61</v>
      </c>
      <c r="M131">
        <f t="shared" ref="M131:M194" si="14">2024-C131</f>
        <v>18</v>
      </c>
      <c r="N131">
        <f t="shared" ref="N131:N194" si="15">IF(M131&gt;0, L131/M131, L131)</f>
        <v>784.5338888888889</v>
      </c>
      <c r="O131">
        <f t="shared" ref="O131:O194" si="16">IF(M131&gt;0, D131/M131, D131)</f>
        <v>4417.7777777777774</v>
      </c>
      <c r="P131">
        <f t="shared" ref="P131:P194" si="17">IF(H131&gt;0, I131/(H131/1000), 0)</f>
        <v>173.83694150161216</v>
      </c>
      <c r="Q131" t="str">
        <f t="shared" ref="Q131:Q194" si="18">IF(M131&lt;=3, "New (0-3 years)",
   IF(M131&lt;=7, "Recent (4-7 years)",
   IF(M131&lt;=12, "Mature (8-12 years)",
   "Old (12+ years)")))</f>
        <v>Old (12+ years)</v>
      </c>
      <c r="R131" t="str">
        <f t="shared" ref="R131:R194" si="19">IF(J131&gt;=25, "Excellent",
   IF(J131&gt;=20, "Good",
   IF(J131&gt;=15, "Average",
   "Low")))</f>
        <v>Good</v>
      </c>
      <c r="S131" t="str">
        <f t="shared" ref="S131:S194" si="20">IF(I131&gt;=200, "Very High",
   IF(I131&gt;=150, "High",
   IF(I131&gt;=100, "Medium",
   "Low")))</f>
        <v>Very High</v>
      </c>
    </row>
    <row r="132" spans="1:19" x14ac:dyDescent="0.3">
      <c r="A132">
        <v>131</v>
      </c>
      <c r="B132" t="s">
        <v>16</v>
      </c>
      <c r="C132">
        <v>2005</v>
      </c>
      <c r="D132">
        <v>199812</v>
      </c>
      <c r="E132" t="s">
        <v>26</v>
      </c>
      <c r="F132" t="s">
        <v>18</v>
      </c>
      <c r="G132" t="s">
        <v>15</v>
      </c>
      <c r="H132">
        <v>1120</v>
      </c>
      <c r="I132">
        <v>314.3</v>
      </c>
      <c r="J132" s="2">
        <v>7.64</v>
      </c>
      <c r="K132">
        <v>2</v>
      </c>
      <c r="L132" s="1">
        <v>26454.880000000001</v>
      </c>
      <c r="M132">
        <f t="shared" si="14"/>
        <v>19</v>
      </c>
      <c r="N132">
        <f t="shared" si="15"/>
        <v>1392.3621052631579</v>
      </c>
      <c r="O132">
        <f t="shared" si="16"/>
        <v>10516.421052631578</v>
      </c>
      <c r="P132">
        <f t="shared" si="17"/>
        <v>280.625</v>
      </c>
      <c r="Q132" t="str">
        <f t="shared" si="18"/>
        <v>Old (12+ years)</v>
      </c>
      <c r="R132" t="str">
        <f t="shared" si="19"/>
        <v>Low</v>
      </c>
      <c r="S132" t="str">
        <f t="shared" si="20"/>
        <v>Very High</v>
      </c>
    </row>
    <row r="133" spans="1:19" x14ac:dyDescent="0.3">
      <c r="A133">
        <v>132</v>
      </c>
      <c r="B133" t="s">
        <v>12</v>
      </c>
      <c r="C133">
        <v>2019</v>
      </c>
      <c r="D133">
        <v>69309</v>
      </c>
      <c r="E133" t="s">
        <v>17</v>
      </c>
      <c r="F133" t="s">
        <v>14</v>
      </c>
      <c r="G133" t="s">
        <v>15</v>
      </c>
      <c r="H133">
        <v>4859</v>
      </c>
      <c r="I133">
        <v>336</v>
      </c>
      <c r="J133" s="2">
        <v>17.649999999999999</v>
      </c>
      <c r="K133">
        <v>7</v>
      </c>
      <c r="L133" s="1">
        <v>51375.49</v>
      </c>
      <c r="M133">
        <f t="shared" si="14"/>
        <v>5</v>
      </c>
      <c r="N133">
        <f t="shared" si="15"/>
        <v>10275.098</v>
      </c>
      <c r="O133">
        <f t="shared" si="16"/>
        <v>13861.8</v>
      </c>
      <c r="P133">
        <f t="shared" si="17"/>
        <v>69.1500308705495</v>
      </c>
      <c r="Q133" t="str">
        <f t="shared" si="18"/>
        <v>Recent (4-7 years)</v>
      </c>
      <c r="R133" t="str">
        <f t="shared" si="19"/>
        <v>Average</v>
      </c>
      <c r="S133" t="str">
        <f t="shared" si="20"/>
        <v>Very High</v>
      </c>
    </row>
    <row r="134" spans="1:19" x14ac:dyDescent="0.3">
      <c r="A134">
        <v>133</v>
      </c>
      <c r="B134" t="s">
        <v>25</v>
      </c>
      <c r="C134">
        <v>2009</v>
      </c>
      <c r="D134">
        <v>34984</v>
      </c>
      <c r="E134" t="s">
        <v>17</v>
      </c>
      <c r="F134" t="s">
        <v>18</v>
      </c>
      <c r="G134" t="s">
        <v>23</v>
      </c>
      <c r="H134">
        <v>1931</v>
      </c>
      <c r="I134">
        <v>227.3</v>
      </c>
      <c r="J134" s="2">
        <v>25.37</v>
      </c>
      <c r="K134">
        <v>7</v>
      </c>
      <c r="L134" s="1">
        <v>27125.72</v>
      </c>
      <c r="M134">
        <f t="shared" si="14"/>
        <v>15</v>
      </c>
      <c r="N134">
        <f t="shared" si="15"/>
        <v>1808.3813333333335</v>
      </c>
      <c r="O134">
        <f t="shared" si="16"/>
        <v>2332.2666666666669</v>
      </c>
      <c r="P134">
        <f t="shared" si="17"/>
        <v>117.71103055411704</v>
      </c>
      <c r="Q134" t="str">
        <f t="shared" si="18"/>
        <v>Old (12+ years)</v>
      </c>
      <c r="R134" t="str">
        <f t="shared" si="19"/>
        <v>Excellent</v>
      </c>
      <c r="S134" t="str">
        <f t="shared" si="20"/>
        <v>Very High</v>
      </c>
    </row>
    <row r="135" spans="1:19" x14ac:dyDescent="0.3">
      <c r="A135">
        <v>134</v>
      </c>
      <c r="B135" t="s">
        <v>27</v>
      </c>
      <c r="C135">
        <v>2024</v>
      </c>
      <c r="D135">
        <v>123947</v>
      </c>
      <c r="E135" t="s">
        <v>17</v>
      </c>
      <c r="F135" t="s">
        <v>18</v>
      </c>
      <c r="G135" t="s">
        <v>23</v>
      </c>
      <c r="H135">
        <v>3378</v>
      </c>
      <c r="I135">
        <v>330.8</v>
      </c>
      <c r="J135" s="2">
        <v>28.4</v>
      </c>
      <c r="K135">
        <v>5</v>
      </c>
      <c r="L135" s="1">
        <v>105557.58</v>
      </c>
      <c r="M135">
        <f t="shared" si="14"/>
        <v>0</v>
      </c>
      <c r="N135">
        <f t="shared" si="15"/>
        <v>105557.58</v>
      </c>
      <c r="O135">
        <f t="shared" si="16"/>
        <v>123947</v>
      </c>
      <c r="P135">
        <f t="shared" si="17"/>
        <v>97.927767910005926</v>
      </c>
      <c r="Q135" t="str">
        <f t="shared" si="18"/>
        <v>New (0-3 years)</v>
      </c>
      <c r="R135" t="str">
        <f t="shared" si="19"/>
        <v>Excellent</v>
      </c>
      <c r="S135" t="str">
        <f t="shared" si="20"/>
        <v>Very High</v>
      </c>
    </row>
    <row r="136" spans="1:19" x14ac:dyDescent="0.3">
      <c r="A136">
        <v>135</v>
      </c>
      <c r="B136" t="s">
        <v>28</v>
      </c>
      <c r="C136">
        <v>2015</v>
      </c>
      <c r="D136">
        <v>10901</v>
      </c>
      <c r="E136" t="s">
        <v>22</v>
      </c>
      <c r="F136" t="s">
        <v>18</v>
      </c>
      <c r="G136" t="s">
        <v>23</v>
      </c>
      <c r="H136">
        <v>4842</v>
      </c>
      <c r="I136">
        <v>150.6</v>
      </c>
      <c r="J136" s="2">
        <v>17.84</v>
      </c>
      <c r="K136">
        <v>6</v>
      </c>
      <c r="L136" s="1">
        <v>21519.49</v>
      </c>
      <c r="M136">
        <f t="shared" si="14"/>
        <v>9</v>
      </c>
      <c r="N136">
        <f t="shared" si="15"/>
        <v>2391.0544444444445</v>
      </c>
      <c r="O136">
        <f t="shared" si="16"/>
        <v>1211.2222222222222</v>
      </c>
      <c r="P136">
        <f t="shared" si="17"/>
        <v>31.10285006195787</v>
      </c>
      <c r="Q136" t="str">
        <f t="shared" si="18"/>
        <v>Mature (8-12 years)</v>
      </c>
      <c r="R136" t="str">
        <f t="shared" si="19"/>
        <v>Average</v>
      </c>
      <c r="S136" t="str">
        <f t="shared" si="20"/>
        <v>High</v>
      </c>
    </row>
    <row r="137" spans="1:19" x14ac:dyDescent="0.3">
      <c r="A137">
        <v>136</v>
      </c>
      <c r="B137" t="s">
        <v>24</v>
      </c>
      <c r="C137">
        <v>2014</v>
      </c>
      <c r="D137">
        <v>167624</v>
      </c>
      <c r="E137" t="s">
        <v>22</v>
      </c>
      <c r="F137" t="s">
        <v>18</v>
      </c>
      <c r="G137" t="s">
        <v>23</v>
      </c>
      <c r="H137">
        <v>4167</v>
      </c>
      <c r="I137">
        <v>490.9</v>
      </c>
      <c r="J137" s="2">
        <v>28.76</v>
      </c>
      <c r="K137">
        <v>6</v>
      </c>
      <c r="L137" s="1">
        <v>56312.32</v>
      </c>
      <c r="M137">
        <f t="shared" si="14"/>
        <v>10</v>
      </c>
      <c r="N137">
        <f t="shared" si="15"/>
        <v>5631.232</v>
      </c>
      <c r="O137">
        <f t="shared" si="16"/>
        <v>16762.400000000001</v>
      </c>
      <c r="P137">
        <f t="shared" si="17"/>
        <v>117.80657547396208</v>
      </c>
      <c r="Q137" t="str">
        <f t="shared" si="18"/>
        <v>Mature (8-12 years)</v>
      </c>
      <c r="R137" t="str">
        <f t="shared" si="19"/>
        <v>Excellent</v>
      </c>
      <c r="S137" t="str">
        <f t="shared" si="20"/>
        <v>Very High</v>
      </c>
    </row>
    <row r="138" spans="1:19" x14ac:dyDescent="0.3">
      <c r="A138">
        <v>137</v>
      </c>
      <c r="B138" t="s">
        <v>30</v>
      </c>
      <c r="C138">
        <v>2006</v>
      </c>
      <c r="D138">
        <v>36055</v>
      </c>
      <c r="E138" t="s">
        <v>22</v>
      </c>
      <c r="F138" t="s">
        <v>14</v>
      </c>
      <c r="G138" t="s">
        <v>15</v>
      </c>
      <c r="H138">
        <v>1617</v>
      </c>
      <c r="I138">
        <v>144</v>
      </c>
      <c r="J138" s="2">
        <v>18.39</v>
      </c>
      <c r="K138">
        <v>2</v>
      </c>
      <c r="L138" s="1">
        <v>73866.81</v>
      </c>
      <c r="M138">
        <f t="shared" si="14"/>
        <v>18</v>
      </c>
      <c r="N138">
        <f t="shared" si="15"/>
        <v>4103.7116666666661</v>
      </c>
      <c r="O138">
        <f t="shared" si="16"/>
        <v>2003.0555555555557</v>
      </c>
      <c r="P138">
        <f t="shared" si="17"/>
        <v>89.053803339517629</v>
      </c>
      <c r="Q138" t="str">
        <f t="shared" si="18"/>
        <v>Old (12+ years)</v>
      </c>
      <c r="R138" t="str">
        <f t="shared" si="19"/>
        <v>Average</v>
      </c>
      <c r="S138" t="str">
        <f t="shared" si="20"/>
        <v>Medium</v>
      </c>
    </row>
    <row r="139" spans="1:19" x14ac:dyDescent="0.3">
      <c r="A139">
        <v>138</v>
      </c>
      <c r="B139" t="s">
        <v>21</v>
      </c>
      <c r="C139">
        <v>2007</v>
      </c>
      <c r="D139">
        <v>173757</v>
      </c>
      <c r="E139" t="s">
        <v>17</v>
      </c>
      <c r="F139" t="s">
        <v>14</v>
      </c>
      <c r="G139" t="s">
        <v>15</v>
      </c>
      <c r="H139">
        <v>811</v>
      </c>
      <c r="I139">
        <v>87.6</v>
      </c>
      <c r="J139" s="2">
        <v>14.85</v>
      </c>
      <c r="K139">
        <v>6</v>
      </c>
      <c r="L139" s="1">
        <v>83948.08</v>
      </c>
      <c r="M139">
        <f t="shared" si="14"/>
        <v>17</v>
      </c>
      <c r="N139">
        <f t="shared" si="15"/>
        <v>4938.1223529411764</v>
      </c>
      <c r="O139">
        <f t="shared" si="16"/>
        <v>10221</v>
      </c>
      <c r="P139">
        <f t="shared" si="17"/>
        <v>108.01479654747224</v>
      </c>
      <c r="Q139" t="str">
        <f t="shared" si="18"/>
        <v>Old (12+ years)</v>
      </c>
      <c r="R139" t="str">
        <f t="shared" si="19"/>
        <v>Low</v>
      </c>
      <c r="S139" t="str">
        <f t="shared" si="20"/>
        <v>Low</v>
      </c>
    </row>
    <row r="140" spans="1:19" x14ac:dyDescent="0.3">
      <c r="A140">
        <v>139</v>
      </c>
      <c r="B140" t="s">
        <v>27</v>
      </c>
      <c r="C140">
        <v>2016</v>
      </c>
      <c r="D140">
        <v>150788</v>
      </c>
      <c r="E140" t="s">
        <v>22</v>
      </c>
      <c r="F140" t="s">
        <v>14</v>
      </c>
      <c r="G140" t="s">
        <v>20</v>
      </c>
      <c r="H140">
        <v>994</v>
      </c>
      <c r="I140">
        <v>284.3</v>
      </c>
      <c r="J140" s="2">
        <v>26.21</v>
      </c>
      <c r="K140">
        <v>5</v>
      </c>
      <c r="L140" s="1">
        <v>47819.12</v>
      </c>
      <c r="M140">
        <f t="shared" si="14"/>
        <v>8</v>
      </c>
      <c r="N140">
        <f t="shared" si="15"/>
        <v>5977.39</v>
      </c>
      <c r="O140">
        <f t="shared" si="16"/>
        <v>18848.5</v>
      </c>
      <c r="P140">
        <f t="shared" si="17"/>
        <v>286.01609657947688</v>
      </c>
      <c r="Q140" t="str">
        <f t="shared" si="18"/>
        <v>Mature (8-12 years)</v>
      </c>
      <c r="R140" t="str">
        <f t="shared" si="19"/>
        <v>Excellent</v>
      </c>
      <c r="S140" t="str">
        <f t="shared" si="20"/>
        <v>Very High</v>
      </c>
    </row>
    <row r="141" spans="1:19" x14ac:dyDescent="0.3">
      <c r="A141">
        <v>140</v>
      </c>
      <c r="B141" t="s">
        <v>16</v>
      </c>
      <c r="C141">
        <v>2024</v>
      </c>
      <c r="D141">
        <v>119099</v>
      </c>
      <c r="E141" t="s">
        <v>17</v>
      </c>
      <c r="F141" t="s">
        <v>18</v>
      </c>
      <c r="G141" t="s">
        <v>23</v>
      </c>
      <c r="H141">
        <v>3337</v>
      </c>
      <c r="I141">
        <v>408.7</v>
      </c>
      <c r="J141" s="2">
        <v>17.32</v>
      </c>
      <c r="K141">
        <v>2</v>
      </c>
      <c r="L141" s="1">
        <v>104684.59</v>
      </c>
      <c r="M141">
        <f t="shared" si="14"/>
        <v>0</v>
      </c>
      <c r="N141">
        <f t="shared" si="15"/>
        <v>104684.59</v>
      </c>
      <c r="O141">
        <f t="shared" si="16"/>
        <v>119099</v>
      </c>
      <c r="P141">
        <f t="shared" si="17"/>
        <v>122.4752771950854</v>
      </c>
      <c r="Q141" t="str">
        <f t="shared" si="18"/>
        <v>New (0-3 years)</v>
      </c>
      <c r="R141" t="str">
        <f t="shared" si="19"/>
        <v>Average</v>
      </c>
      <c r="S141" t="str">
        <f t="shared" si="20"/>
        <v>Very High</v>
      </c>
    </row>
    <row r="142" spans="1:19" x14ac:dyDescent="0.3">
      <c r="A142">
        <v>141</v>
      </c>
      <c r="B142" t="s">
        <v>24</v>
      </c>
      <c r="C142">
        <v>2009</v>
      </c>
      <c r="D142">
        <v>16138</v>
      </c>
      <c r="E142" t="s">
        <v>22</v>
      </c>
      <c r="F142" t="s">
        <v>18</v>
      </c>
      <c r="G142" t="s">
        <v>20</v>
      </c>
      <c r="H142">
        <v>3642</v>
      </c>
      <c r="I142">
        <v>285.10000000000002</v>
      </c>
      <c r="J142" s="2">
        <v>16.8</v>
      </c>
      <c r="K142">
        <v>4</v>
      </c>
      <c r="L142" s="1">
        <v>69493.34</v>
      </c>
      <c r="M142">
        <f t="shared" si="14"/>
        <v>15</v>
      </c>
      <c r="N142">
        <f t="shared" si="15"/>
        <v>4632.8893333333335</v>
      </c>
      <c r="O142">
        <f t="shared" si="16"/>
        <v>1075.8666666666666</v>
      </c>
      <c r="P142">
        <f t="shared" si="17"/>
        <v>78.281164195496984</v>
      </c>
      <c r="Q142" t="str">
        <f t="shared" si="18"/>
        <v>Old (12+ years)</v>
      </c>
      <c r="R142" t="str">
        <f t="shared" si="19"/>
        <v>Average</v>
      </c>
      <c r="S142" t="str">
        <f t="shared" si="20"/>
        <v>Very High</v>
      </c>
    </row>
    <row r="143" spans="1:19" x14ac:dyDescent="0.3">
      <c r="A143">
        <v>142</v>
      </c>
      <c r="B143" t="s">
        <v>12</v>
      </c>
      <c r="C143">
        <v>2009</v>
      </c>
      <c r="D143">
        <v>171370</v>
      </c>
      <c r="E143" t="s">
        <v>22</v>
      </c>
      <c r="F143" t="s">
        <v>18</v>
      </c>
      <c r="G143" t="s">
        <v>15</v>
      </c>
      <c r="H143">
        <v>3029</v>
      </c>
      <c r="I143">
        <v>195</v>
      </c>
      <c r="J143" s="2">
        <v>17.260000000000002</v>
      </c>
      <c r="K143">
        <v>6</v>
      </c>
      <c r="L143" s="1">
        <v>54422.41</v>
      </c>
      <c r="M143">
        <f t="shared" si="14"/>
        <v>15</v>
      </c>
      <c r="N143">
        <f t="shared" si="15"/>
        <v>3628.1606666666671</v>
      </c>
      <c r="O143">
        <f t="shared" si="16"/>
        <v>11424.666666666666</v>
      </c>
      <c r="P143">
        <f t="shared" si="17"/>
        <v>64.377682403433482</v>
      </c>
      <c r="Q143" t="str">
        <f t="shared" si="18"/>
        <v>Old (12+ years)</v>
      </c>
      <c r="R143" t="str">
        <f t="shared" si="19"/>
        <v>Average</v>
      </c>
      <c r="S143" t="str">
        <f t="shared" si="20"/>
        <v>High</v>
      </c>
    </row>
    <row r="144" spans="1:19" x14ac:dyDescent="0.3">
      <c r="A144">
        <v>143</v>
      </c>
      <c r="B144" t="s">
        <v>30</v>
      </c>
      <c r="C144">
        <v>2010</v>
      </c>
      <c r="D144">
        <v>187184</v>
      </c>
      <c r="E144" t="s">
        <v>13</v>
      </c>
      <c r="F144" t="s">
        <v>18</v>
      </c>
      <c r="G144" t="s">
        <v>15</v>
      </c>
      <c r="H144">
        <v>3809</v>
      </c>
      <c r="I144">
        <v>352.6</v>
      </c>
      <c r="J144" s="2">
        <v>26.17</v>
      </c>
      <c r="K144">
        <v>6</v>
      </c>
      <c r="L144" s="1">
        <v>10867.15</v>
      </c>
      <c r="M144">
        <f t="shared" si="14"/>
        <v>14</v>
      </c>
      <c r="N144">
        <f t="shared" si="15"/>
        <v>776.22500000000002</v>
      </c>
      <c r="O144">
        <f t="shared" si="16"/>
        <v>13370.285714285714</v>
      </c>
      <c r="P144">
        <f t="shared" si="17"/>
        <v>92.570228406405889</v>
      </c>
      <c r="Q144" t="str">
        <f t="shared" si="18"/>
        <v>Old (12+ years)</v>
      </c>
      <c r="R144" t="str">
        <f t="shared" si="19"/>
        <v>Excellent</v>
      </c>
      <c r="S144" t="str">
        <f t="shared" si="20"/>
        <v>Very High</v>
      </c>
    </row>
    <row r="145" spans="1:19" x14ac:dyDescent="0.3">
      <c r="A145">
        <v>144</v>
      </c>
      <c r="B145" t="s">
        <v>12</v>
      </c>
      <c r="C145">
        <v>2013</v>
      </c>
      <c r="D145">
        <v>28429</v>
      </c>
      <c r="E145" t="s">
        <v>26</v>
      </c>
      <c r="F145" t="s">
        <v>18</v>
      </c>
      <c r="G145" t="s">
        <v>20</v>
      </c>
      <c r="H145">
        <v>2877</v>
      </c>
      <c r="I145">
        <v>234.3</v>
      </c>
      <c r="J145" s="2">
        <v>25.8</v>
      </c>
      <c r="K145">
        <v>2</v>
      </c>
      <c r="L145" s="1">
        <v>57368.67</v>
      </c>
      <c r="M145">
        <f t="shared" si="14"/>
        <v>11</v>
      </c>
      <c r="N145">
        <f t="shared" si="15"/>
        <v>5215.3336363636363</v>
      </c>
      <c r="O145">
        <f t="shared" si="16"/>
        <v>2584.4545454545455</v>
      </c>
      <c r="P145">
        <f t="shared" si="17"/>
        <v>81.438998957247136</v>
      </c>
      <c r="Q145" t="str">
        <f t="shared" si="18"/>
        <v>Mature (8-12 years)</v>
      </c>
      <c r="R145" t="str">
        <f t="shared" si="19"/>
        <v>Excellent</v>
      </c>
      <c r="S145" t="str">
        <f t="shared" si="20"/>
        <v>Very High</v>
      </c>
    </row>
    <row r="146" spans="1:19" x14ac:dyDescent="0.3">
      <c r="A146">
        <v>145</v>
      </c>
      <c r="B146" t="s">
        <v>29</v>
      </c>
      <c r="C146">
        <v>2006</v>
      </c>
      <c r="D146">
        <v>55200</v>
      </c>
      <c r="E146" t="s">
        <v>17</v>
      </c>
      <c r="F146" t="s">
        <v>14</v>
      </c>
      <c r="G146" t="s">
        <v>23</v>
      </c>
      <c r="H146">
        <v>4667</v>
      </c>
      <c r="I146">
        <v>562.4</v>
      </c>
      <c r="J146" s="2">
        <v>15.09</v>
      </c>
      <c r="K146">
        <v>7</v>
      </c>
      <c r="L146" s="1">
        <v>99026.09</v>
      </c>
      <c r="M146">
        <f t="shared" si="14"/>
        <v>18</v>
      </c>
      <c r="N146">
        <f t="shared" si="15"/>
        <v>5501.4494444444445</v>
      </c>
      <c r="O146">
        <f t="shared" si="16"/>
        <v>3066.6666666666665</v>
      </c>
      <c r="P146">
        <f t="shared" si="17"/>
        <v>120.5056781658453</v>
      </c>
      <c r="Q146" t="str">
        <f t="shared" si="18"/>
        <v>Old (12+ years)</v>
      </c>
      <c r="R146" t="str">
        <f t="shared" si="19"/>
        <v>Average</v>
      </c>
      <c r="S146" t="str">
        <f t="shared" si="20"/>
        <v>Very High</v>
      </c>
    </row>
    <row r="147" spans="1:19" x14ac:dyDescent="0.3">
      <c r="A147">
        <v>146</v>
      </c>
      <c r="B147" t="s">
        <v>29</v>
      </c>
      <c r="C147">
        <v>2016</v>
      </c>
      <c r="D147">
        <v>184316</v>
      </c>
      <c r="E147" t="s">
        <v>13</v>
      </c>
      <c r="F147" t="s">
        <v>18</v>
      </c>
      <c r="G147" t="s">
        <v>23</v>
      </c>
      <c r="H147">
        <v>1243</v>
      </c>
      <c r="I147">
        <v>556.70000000000005</v>
      </c>
      <c r="J147" s="2">
        <v>13.33</v>
      </c>
      <c r="K147">
        <v>6</v>
      </c>
      <c r="L147" s="1">
        <v>74901.3</v>
      </c>
      <c r="M147">
        <f t="shared" si="14"/>
        <v>8</v>
      </c>
      <c r="N147">
        <f t="shared" si="15"/>
        <v>9362.6625000000004</v>
      </c>
      <c r="O147">
        <f t="shared" si="16"/>
        <v>23039.5</v>
      </c>
      <c r="P147">
        <f t="shared" si="17"/>
        <v>447.86806114239744</v>
      </c>
      <c r="Q147" t="str">
        <f t="shared" si="18"/>
        <v>Mature (8-12 years)</v>
      </c>
      <c r="R147" t="str">
        <f t="shared" si="19"/>
        <v>Low</v>
      </c>
      <c r="S147" t="str">
        <f t="shared" si="20"/>
        <v>Very High</v>
      </c>
    </row>
    <row r="148" spans="1:19" x14ac:dyDescent="0.3">
      <c r="A148">
        <v>147</v>
      </c>
      <c r="B148" t="s">
        <v>30</v>
      </c>
      <c r="C148">
        <v>2007</v>
      </c>
      <c r="D148">
        <v>106268</v>
      </c>
      <c r="E148" t="s">
        <v>22</v>
      </c>
      <c r="F148" t="s">
        <v>18</v>
      </c>
      <c r="G148" t="s">
        <v>23</v>
      </c>
      <c r="H148">
        <v>1097</v>
      </c>
      <c r="I148">
        <v>321.3</v>
      </c>
      <c r="J148" s="2">
        <v>17.3</v>
      </c>
      <c r="K148">
        <v>5</v>
      </c>
      <c r="L148" s="1">
        <v>100363.01</v>
      </c>
      <c r="M148">
        <f t="shared" si="14"/>
        <v>17</v>
      </c>
      <c r="N148">
        <f t="shared" si="15"/>
        <v>5903.7064705882349</v>
      </c>
      <c r="O148">
        <f t="shared" si="16"/>
        <v>6251.0588235294117</v>
      </c>
      <c r="P148">
        <f t="shared" si="17"/>
        <v>292.8896991795807</v>
      </c>
      <c r="Q148" t="str">
        <f t="shared" si="18"/>
        <v>Old (12+ years)</v>
      </c>
      <c r="R148" t="str">
        <f t="shared" si="19"/>
        <v>Average</v>
      </c>
      <c r="S148" t="str">
        <f t="shared" si="20"/>
        <v>Very High</v>
      </c>
    </row>
    <row r="149" spans="1:19" x14ac:dyDescent="0.3">
      <c r="A149">
        <v>148</v>
      </c>
      <c r="B149" t="s">
        <v>30</v>
      </c>
      <c r="C149">
        <v>2024</v>
      </c>
      <c r="D149">
        <v>22347</v>
      </c>
      <c r="E149" t="s">
        <v>17</v>
      </c>
      <c r="F149" t="s">
        <v>14</v>
      </c>
      <c r="G149" t="s">
        <v>23</v>
      </c>
      <c r="H149">
        <v>1644</v>
      </c>
      <c r="I149">
        <v>223.6</v>
      </c>
      <c r="J149" s="2">
        <v>19.32</v>
      </c>
      <c r="K149">
        <v>6</v>
      </c>
      <c r="L149" s="1">
        <v>60799.37</v>
      </c>
      <c r="M149">
        <f t="shared" si="14"/>
        <v>0</v>
      </c>
      <c r="N149">
        <f t="shared" si="15"/>
        <v>60799.37</v>
      </c>
      <c r="O149">
        <f t="shared" si="16"/>
        <v>22347</v>
      </c>
      <c r="P149">
        <f t="shared" si="17"/>
        <v>136.00973236009733</v>
      </c>
      <c r="Q149" t="str">
        <f t="shared" si="18"/>
        <v>New (0-3 years)</v>
      </c>
      <c r="R149" t="str">
        <f t="shared" si="19"/>
        <v>Average</v>
      </c>
      <c r="S149" t="str">
        <f t="shared" si="20"/>
        <v>Very High</v>
      </c>
    </row>
    <row r="150" spans="1:19" x14ac:dyDescent="0.3">
      <c r="A150">
        <v>149</v>
      </c>
      <c r="B150" t="s">
        <v>16</v>
      </c>
      <c r="C150">
        <v>2016</v>
      </c>
      <c r="D150">
        <v>152992</v>
      </c>
      <c r="E150" t="s">
        <v>22</v>
      </c>
      <c r="F150" t="s">
        <v>18</v>
      </c>
      <c r="G150" t="s">
        <v>20</v>
      </c>
      <c r="H150">
        <v>1815</v>
      </c>
      <c r="I150">
        <v>452.8</v>
      </c>
      <c r="J150" s="2">
        <v>10.96</v>
      </c>
      <c r="K150">
        <v>4</v>
      </c>
      <c r="L150" s="1">
        <v>16860.02</v>
      </c>
      <c r="M150">
        <f t="shared" si="14"/>
        <v>8</v>
      </c>
      <c r="N150">
        <f t="shared" si="15"/>
        <v>2107.5025000000001</v>
      </c>
      <c r="O150">
        <f t="shared" si="16"/>
        <v>19124</v>
      </c>
      <c r="P150">
        <f t="shared" si="17"/>
        <v>249.47658402203859</v>
      </c>
      <c r="Q150" t="str">
        <f t="shared" si="18"/>
        <v>Mature (8-12 years)</v>
      </c>
      <c r="R150" t="str">
        <f t="shared" si="19"/>
        <v>Low</v>
      </c>
      <c r="S150" t="str">
        <f t="shared" si="20"/>
        <v>Very High</v>
      </c>
    </row>
    <row r="151" spans="1:19" x14ac:dyDescent="0.3">
      <c r="A151">
        <v>150</v>
      </c>
      <c r="B151" t="s">
        <v>30</v>
      </c>
      <c r="C151">
        <v>2021</v>
      </c>
      <c r="D151">
        <v>36822</v>
      </c>
      <c r="E151" t="s">
        <v>26</v>
      </c>
      <c r="F151" t="s">
        <v>14</v>
      </c>
      <c r="G151" t="s">
        <v>20</v>
      </c>
      <c r="H151">
        <v>2184</v>
      </c>
      <c r="I151">
        <v>60.6</v>
      </c>
      <c r="J151" s="2">
        <v>24.85</v>
      </c>
      <c r="K151">
        <v>6</v>
      </c>
      <c r="L151" s="1">
        <v>4595.8599999999997</v>
      </c>
      <c r="M151">
        <f t="shared" si="14"/>
        <v>3</v>
      </c>
      <c r="N151">
        <f t="shared" si="15"/>
        <v>1531.9533333333331</v>
      </c>
      <c r="O151">
        <f t="shared" si="16"/>
        <v>12274</v>
      </c>
      <c r="P151">
        <f t="shared" si="17"/>
        <v>27.747252747252745</v>
      </c>
      <c r="Q151" t="str">
        <f t="shared" si="18"/>
        <v>New (0-3 years)</v>
      </c>
      <c r="R151" t="str">
        <f t="shared" si="19"/>
        <v>Good</v>
      </c>
      <c r="S151" t="str">
        <f t="shared" si="20"/>
        <v>Low</v>
      </c>
    </row>
    <row r="152" spans="1:19" x14ac:dyDescent="0.3">
      <c r="A152">
        <v>151</v>
      </c>
      <c r="B152" t="s">
        <v>25</v>
      </c>
      <c r="C152">
        <v>2014</v>
      </c>
      <c r="D152">
        <v>182731</v>
      </c>
      <c r="E152" t="s">
        <v>13</v>
      </c>
      <c r="F152" t="s">
        <v>14</v>
      </c>
      <c r="G152" t="s">
        <v>15</v>
      </c>
      <c r="H152">
        <v>2197</v>
      </c>
      <c r="I152">
        <v>305.89999999999998</v>
      </c>
      <c r="J152" s="2">
        <v>17.16</v>
      </c>
      <c r="K152">
        <v>7</v>
      </c>
      <c r="L152" s="1">
        <v>38476.69</v>
      </c>
      <c r="M152">
        <f t="shared" si="14"/>
        <v>10</v>
      </c>
      <c r="N152">
        <f t="shared" si="15"/>
        <v>3847.6690000000003</v>
      </c>
      <c r="O152">
        <f t="shared" si="16"/>
        <v>18273.099999999999</v>
      </c>
      <c r="P152">
        <f t="shared" si="17"/>
        <v>139.2353208921256</v>
      </c>
      <c r="Q152" t="str">
        <f t="shared" si="18"/>
        <v>Mature (8-12 years)</v>
      </c>
      <c r="R152" t="str">
        <f t="shared" si="19"/>
        <v>Average</v>
      </c>
      <c r="S152" t="str">
        <f t="shared" si="20"/>
        <v>Very High</v>
      </c>
    </row>
    <row r="153" spans="1:19" x14ac:dyDescent="0.3">
      <c r="A153">
        <v>152</v>
      </c>
      <c r="B153" t="s">
        <v>12</v>
      </c>
      <c r="C153">
        <v>2018</v>
      </c>
      <c r="D153">
        <v>45108</v>
      </c>
      <c r="E153" t="s">
        <v>26</v>
      </c>
      <c r="F153" t="s">
        <v>14</v>
      </c>
      <c r="G153" t="s">
        <v>23</v>
      </c>
      <c r="H153">
        <v>1353</v>
      </c>
      <c r="I153">
        <v>228.3</v>
      </c>
      <c r="J153" s="2">
        <v>13.35</v>
      </c>
      <c r="K153">
        <v>6</v>
      </c>
      <c r="L153" s="1">
        <v>84664.89</v>
      </c>
      <c r="M153">
        <f t="shared" si="14"/>
        <v>6</v>
      </c>
      <c r="N153">
        <f t="shared" si="15"/>
        <v>14110.815000000001</v>
      </c>
      <c r="O153">
        <f t="shared" si="16"/>
        <v>7518</v>
      </c>
      <c r="P153">
        <f t="shared" si="17"/>
        <v>168.73614190687363</v>
      </c>
      <c r="Q153" t="str">
        <f t="shared" si="18"/>
        <v>Recent (4-7 years)</v>
      </c>
      <c r="R153" t="str">
        <f t="shared" si="19"/>
        <v>Low</v>
      </c>
      <c r="S153" t="str">
        <f t="shared" si="20"/>
        <v>Very High</v>
      </c>
    </row>
    <row r="154" spans="1:19" x14ac:dyDescent="0.3">
      <c r="A154">
        <v>153</v>
      </c>
      <c r="B154" t="s">
        <v>27</v>
      </c>
      <c r="C154">
        <v>2021</v>
      </c>
      <c r="D154">
        <v>133955</v>
      </c>
      <c r="E154" t="s">
        <v>13</v>
      </c>
      <c r="F154" t="s">
        <v>14</v>
      </c>
      <c r="G154" t="s">
        <v>23</v>
      </c>
      <c r="H154">
        <v>3150</v>
      </c>
      <c r="I154">
        <v>555.5</v>
      </c>
      <c r="J154" s="2">
        <v>7.67</v>
      </c>
      <c r="K154">
        <v>2</v>
      </c>
      <c r="L154" s="1">
        <v>95460.41</v>
      </c>
      <c r="M154">
        <f t="shared" si="14"/>
        <v>3</v>
      </c>
      <c r="N154">
        <f t="shared" si="15"/>
        <v>31820.136666666669</v>
      </c>
      <c r="O154">
        <f t="shared" si="16"/>
        <v>44651.666666666664</v>
      </c>
      <c r="P154">
        <f t="shared" si="17"/>
        <v>176.34920634920636</v>
      </c>
      <c r="Q154" t="str">
        <f t="shared" si="18"/>
        <v>New (0-3 years)</v>
      </c>
      <c r="R154" t="str">
        <f t="shared" si="19"/>
        <v>Low</v>
      </c>
      <c r="S154" t="str">
        <f t="shared" si="20"/>
        <v>Very High</v>
      </c>
    </row>
    <row r="155" spans="1:19" x14ac:dyDescent="0.3">
      <c r="A155">
        <v>154</v>
      </c>
      <c r="B155" t="s">
        <v>19</v>
      </c>
      <c r="C155">
        <v>2022</v>
      </c>
      <c r="D155">
        <v>12967</v>
      </c>
      <c r="E155" t="s">
        <v>22</v>
      </c>
      <c r="F155" t="s">
        <v>14</v>
      </c>
      <c r="G155" t="s">
        <v>23</v>
      </c>
      <c r="H155">
        <v>2069</v>
      </c>
      <c r="I155">
        <v>46.7</v>
      </c>
      <c r="J155" s="2">
        <v>10.97</v>
      </c>
      <c r="K155">
        <v>6</v>
      </c>
      <c r="L155" s="1">
        <v>37603.08</v>
      </c>
      <c r="M155">
        <f t="shared" si="14"/>
        <v>2</v>
      </c>
      <c r="N155">
        <f t="shared" si="15"/>
        <v>18801.54</v>
      </c>
      <c r="O155">
        <f t="shared" si="16"/>
        <v>6483.5</v>
      </c>
      <c r="P155">
        <f t="shared" si="17"/>
        <v>22.571290478492028</v>
      </c>
      <c r="Q155" t="str">
        <f t="shared" si="18"/>
        <v>New (0-3 years)</v>
      </c>
      <c r="R155" t="str">
        <f t="shared" si="19"/>
        <v>Low</v>
      </c>
      <c r="S155" t="str">
        <f t="shared" si="20"/>
        <v>Low</v>
      </c>
    </row>
    <row r="156" spans="1:19" x14ac:dyDescent="0.3">
      <c r="A156">
        <v>155</v>
      </c>
      <c r="B156" t="s">
        <v>30</v>
      </c>
      <c r="C156">
        <v>2023</v>
      </c>
      <c r="D156">
        <v>115719</v>
      </c>
      <c r="E156" t="s">
        <v>26</v>
      </c>
      <c r="F156" t="s">
        <v>18</v>
      </c>
      <c r="G156" t="s">
        <v>20</v>
      </c>
      <c r="H156">
        <v>2060</v>
      </c>
      <c r="I156">
        <v>349.6</v>
      </c>
      <c r="J156" s="2">
        <v>28.73</v>
      </c>
      <c r="K156">
        <v>7</v>
      </c>
      <c r="L156" s="1">
        <v>60991.51</v>
      </c>
      <c r="M156">
        <f t="shared" si="14"/>
        <v>1</v>
      </c>
      <c r="N156">
        <f t="shared" si="15"/>
        <v>60991.51</v>
      </c>
      <c r="O156">
        <f t="shared" si="16"/>
        <v>115719</v>
      </c>
      <c r="P156">
        <f t="shared" si="17"/>
        <v>169.70873786407768</v>
      </c>
      <c r="Q156" t="str">
        <f t="shared" si="18"/>
        <v>New (0-3 years)</v>
      </c>
      <c r="R156" t="str">
        <f t="shared" si="19"/>
        <v>Excellent</v>
      </c>
      <c r="S156" t="str">
        <f t="shared" si="20"/>
        <v>Very High</v>
      </c>
    </row>
    <row r="157" spans="1:19" x14ac:dyDescent="0.3">
      <c r="A157">
        <v>156</v>
      </c>
      <c r="B157" t="s">
        <v>21</v>
      </c>
      <c r="C157">
        <v>2021</v>
      </c>
      <c r="D157">
        <v>16871</v>
      </c>
      <c r="E157" t="s">
        <v>26</v>
      </c>
      <c r="F157" t="s">
        <v>14</v>
      </c>
      <c r="G157" t="s">
        <v>23</v>
      </c>
      <c r="H157">
        <v>984</v>
      </c>
      <c r="I157">
        <v>454.8</v>
      </c>
      <c r="J157" s="2">
        <v>12.63</v>
      </c>
      <c r="K157">
        <v>2</v>
      </c>
      <c r="L157" s="1">
        <v>52270.91</v>
      </c>
      <c r="M157">
        <f t="shared" si="14"/>
        <v>3</v>
      </c>
      <c r="N157">
        <f t="shared" si="15"/>
        <v>17423.636666666669</v>
      </c>
      <c r="O157">
        <f t="shared" si="16"/>
        <v>5623.666666666667</v>
      </c>
      <c r="P157">
        <f t="shared" si="17"/>
        <v>462.19512195121951</v>
      </c>
      <c r="Q157" t="str">
        <f t="shared" si="18"/>
        <v>New (0-3 years)</v>
      </c>
      <c r="R157" t="str">
        <f t="shared" si="19"/>
        <v>Low</v>
      </c>
      <c r="S157" t="str">
        <f t="shared" si="20"/>
        <v>Very High</v>
      </c>
    </row>
    <row r="158" spans="1:19" x14ac:dyDescent="0.3">
      <c r="A158">
        <v>157</v>
      </c>
      <c r="B158" t="s">
        <v>29</v>
      </c>
      <c r="C158">
        <v>2018</v>
      </c>
      <c r="D158">
        <v>169685</v>
      </c>
      <c r="E158" t="s">
        <v>22</v>
      </c>
      <c r="F158" t="s">
        <v>14</v>
      </c>
      <c r="G158" t="s">
        <v>20</v>
      </c>
      <c r="H158">
        <v>3210</v>
      </c>
      <c r="I158">
        <v>311.60000000000002</v>
      </c>
      <c r="J158" s="2">
        <v>9.2200000000000006</v>
      </c>
      <c r="K158">
        <v>5</v>
      </c>
      <c r="L158" s="1">
        <v>51031.17</v>
      </c>
      <c r="M158">
        <f t="shared" si="14"/>
        <v>6</v>
      </c>
      <c r="N158">
        <f t="shared" si="15"/>
        <v>8505.1949999999997</v>
      </c>
      <c r="O158">
        <f t="shared" si="16"/>
        <v>28280.833333333332</v>
      </c>
      <c r="P158">
        <f t="shared" si="17"/>
        <v>97.071651090342684</v>
      </c>
      <c r="Q158" t="str">
        <f t="shared" si="18"/>
        <v>Recent (4-7 years)</v>
      </c>
      <c r="R158" t="str">
        <f t="shared" si="19"/>
        <v>Low</v>
      </c>
      <c r="S158" t="str">
        <f t="shared" si="20"/>
        <v>Very High</v>
      </c>
    </row>
    <row r="159" spans="1:19" x14ac:dyDescent="0.3">
      <c r="A159">
        <v>158</v>
      </c>
      <c r="B159" t="s">
        <v>25</v>
      </c>
      <c r="C159">
        <v>2013</v>
      </c>
      <c r="D159">
        <v>33179</v>
      </c>
      <c r="E159" t="s">
        <v>26</v>
      </c>
      <c r="F159" t="s">
        <v>18</v>
      </c>
      <c r="G159" t="s">
        <v>23</v>
      </c>
      <c r="H159">
        <v>3009</v>
      </c>
      <c r="I159">
        <v>87.8</v>
      </c>
      <c r="J159" s="2">
        <v>16.52</v>
      </c>
      <c r="K159">
        <v>2</v>
      </c>
      <c r="L159" s="1">
        <v>30067.8</v>
      </c>
      <c r="M159">
        <f t="shared" si="14"/>
        <v>11</v>
      </c>
      <c r="N159">
        <f t="shared" si="15"/>
        <v>2733.4363636363637</v>
      </c>
      <c r="O159">
        <f t="shared" si="16"/>
        <v>3016.2727272727275</v>
      </c>
      <c r="P159">
        <f t="shared" si="17"/>
        <v>29.179129278830175</v>
      </c>
      <c r="Q159" t="str">
        <f t="shared" si="18"/>
        <v>Mature (8-12 years)</v>
      </c>
      <c r="R159" t="str">
        <f t="shared" si="19"/>
        <v>Average</v>
      </c>
      <c r="S159" t="str">
        <f t="shared" si="20"/>
        <v>Low</v>
      </c>
    </row>
    <row r="160" spans="1:19" x14ac:dyDescent="0.3">
      <c r="A160">
        <v>159</v>
      </c>
      <c r="B160" t="s">
        <v>24</v>
      </c>
      <c r="C160">
        <v>2012</v>
      </c>
      <c r="D160">
        <v>188260</v>
      </c>
      <c r="E160" t="s">
        <v>17</v>
      </c>
      <c r="F160" t="s">
        <v>18</v>
      </c>
      <c r="G160" t="s">
        <v>23</v>
      </c>
      <c r="H160">
        <v>4472</v>
      </c>
      <c r="I160">
        <v>584.6</v>
      </c>
      <c r="J160" s="2">
        <v>12.68</v>
      </c>
      <c r="K160">
        <v>4</v>
      </c>
      <c r="L160" s="1">
        <v>18955.419999999998</v>
      </c>
      <c r="M160">
        <f t="shared" si="14"/>
        <v>12</v>
      </c>
      <c r="N160">
        <f t="shared" si="15"/>
        <v>1579.6183333333331</v>
      </c>
      <c r="O160">
        <f t="shared" si="16"/>
        <v>15688.333333333334</v>
      </c>
      <c r="P160">
        <f t="shared" si="17"/>
        <v>130.72450805008944</v>
      </c>
      <c r="Q160" t="str">
        <f t="shared" si="18"/>
        <v>Mature (8-12 years)</v>
      </c>
      <c r="R160" t="str">
        <f t="shared" si="19"/>
        <v>Low</v>
      </c>
      <c r="S160" t="str">
        <f t="shared" si="20"/>
        <v>Very High</v>
      </c>
    </row>
    <row r="161" spans="1:19" x14ac:dyDescent="0.3">
      <c r="A161">
        <v>160</v>
      </c>
      <c r="B161" t="s">
        <v>19</v>
      </c>
      <c r="C161">
        <v>2006</v>
      </c>
      <c r="D161">
        <v>60099</v>
      </c>
      <c r="E161" t="s">
        <v>13</v>
      </c>
      <c r="F161" t="s">
        <v>14</v>
      </c>
      <c r="G161" t="s">
        <v>15</v>
      </c>
      <c r="H161">
        <v>2681</v>
      </c>
      <c r="I161">
        <v>330.1</v>
      </c>
      <c r="J161" s="2">
        <v>5.88</v>
      </c>
      <c r="K161">
        <v>2</v>
      </c>
      <c r="L161" s="1">
        <v>26012.560000000001</v>
      </c>
      <c r="M161">
        <f t="shared" si="14"/>
        <v>18</v>
      </c>
      <c r="N161">
        <f t="shared" si="15"/>
        <v>1445.1422222222222</v>
      </c>
      <c r="O161">
        <f t="shared" si="16"/>
        <v>3338.8333333333335</v>
      </c>
      <c r="P161">
        <f t="shared" si="17"/>
        <v>123.12569936590825</v>
      </c>
      <c r="Q161" t="str">
        <f t="shared" si="18"/>
        <v>Old (12+ years)</v>
      </c>
      <c r="R161" t="str">
        <f t="shared" si="19"/>
        <v>Low</v>
      </c>
      <c r="S161" t="str">
        <f t="shared" si="20"/>
        <v>Very High</v>
      </c>
    </row>
    <row r="162" spans="1:19" x14ac:dyDescent="0.3">
      <c r="A162">
        <v>161</v>
      </c>
      <c r="B162" t="s">
        <v>27</v>
      </c>
      <c r="C162">
        <v>2017</v>
      </c>
      <c r="D162">
        <v>40262</v>
      </c>
      <c r="E162" t="s">
        <v>13</v>
      </c>
      <c r="F162" t="s">
        <v>18</v>
      </c>
      <c r="G162" t="s">
        <v>23</v>
      </c>
      <c r="H162">
        <v>1321</v>
      </c>
      <c r="I162">
        <v>383.9</v>
      </c>
      <c r="J162" s="2">
        <v>13.08</v>
      </c>
      <c r="K162">
        <v>5</v>
      </c>
      <c r="L162" s="1">
        <v>9473.89</v>
      </c>
      <c r="M162">
        <f t="shared" si="14"/>
        <v>7</v>
      </c>
      <c r="N162">
        <f t="shared" si="15"/>
        <v>1353.4128571428571</v>
      </c>
      <c r="O162">
        <f t="shared" si="16"/>
        <v>5751.7142857142853</v>
      </c>
      <c r="P162">
        <f t="shared" si="17"/>
        <v>290.61317183951553</v>
      </c>
      <c r="Q162" t="str">
        <f t="shared" si="18"/>
        <v>Recent (4-7 years)</v>
      </c>
      <c r="R162" t="str">
        <f t="shared" si="19"/>
        <v>Low</v>
      </c>
      <c r="S162" t="str">
        <f t="shared" si="20"/>
        <v>Very High</v>
      </c>
    </row>
    <row r="163" spans="1:19" x14ac:dyDescent="0.3">
      <c r="A163">
        <v>162</v>
      </c>
      <c r="B163" t="s">
        <v>19</v>
      </c>
      <c r="C163">
        <v>2011</v>
      </c>
      <c r="D163">
        <v>83213</v>
      </c>
      <c r="E163" t="s">
        <v>13</v>
      </c>
      <c r="F163" t="s">
        <v>18</v>
      </c>
      <c r="G163" t="s">
        <v>23</v>
      </c>
      <c r="H163">
        <v>2687</v>
      </c>
      <c r="I163">
        <v>172.5</v>
      </c>
      <c r="J163" s="2">
        <v>18.600000000000001</v>
      </c>
      <c r="K163">
        <v>6</v>
      </c>
      <c r="L163" s="1">
        <v>26181.3</v>
      </c>
      <c r="M163">
        <f t="shared" si="14"/>
        <v>13</v>
      </c>
      <c r="N163">
        <f t="shared" si="15"/>
        <v>2013.9461538461537</v>
      </c>
      <c r="O163">
        <f t="shared" si="16"/>
        <v>6401</v>
      </c>
      <c r="P163">
        <f t="shared" si="17"/>
        <v>64.19799032378117</v>
      </c>
      <c r="Q163" t="str">
        <f t="shared" si="18"/>
        <v>Old (12+ years)</v>
      </c>
      <c r="R163" t="str">
        <f t="shared" si="19"/>
        <v>Average</v>
      </c>
      <c r="S163" t="str">
        <f t="shared" si="20"/>
        <v>High</v>
      </c>
    </row>
    <row r="164" spans="1:19" x14ac:dyDescent="0.3">
      <c r="A164">
        <v>163</v>
      </c>
      <c r="B164" t="s">
        <v>30</v>
      </c>
      <c r="C164">
        <v>2013</v>
      </c>
      <c r="D164">
        <v>122407</v>
      </c>
      <c r="E164" t="s">
        <v>17</v>
      </c>
      <c r="F164" t="s">
        <v>14</v>
      </c>
      <c r="G164" t="s">
        <v>15</v>
      </c>
      <c r="H164">
        <v>3352</v>
      </c>
      <c r="I164">
        <v>310.8</v>
      </c>
      <c r="J164" s="2">
        <v>18.79</v>
      </c>
      <c r="K164">
        <v>2</v>
      </c>
      <c r="L164" s="1">
        <v>4076.51</v>
      </c>
      <c r="M164">
        <f t="shared" si="14"/>
        <v>11</v>
      </c>
      <c r="N164">
        <f t="shared" si="15"/>
        <v>370.59181818181821</v>
      </c>
      <c r="O164">
        <f t="shared" si="16"/>
        <v>11127.90909090909</v>
      </c>
      <c r="P164">
        <f t="shared" si="17"/>
        <v>92.72076372315037</v>
      </c>
      <c r="Q164" t="str">
        <f t="shared" si="18"/>
        <v>Mature (8-12 years)</v>
      </c>
      <c r="R164" t="str">
        <f t="shared" si="19"/>
        <v>Average</v>
      </c>
      <c r="S164" t="str">
        <f t="shared" si="20"/>
        <v>Very High</v>
      </c>
    </row>
    <row r="165" spans="1:19" x14ac:dyDescent="0.3">
      <c r="A165">
        <v>164</v>
      </c>
      <c r="B165" t="s">
        <v>16</v>
      </c>
      <c r="C165">
        <v>2015</v>
      </c>
      <c r="D165">
        <v>154340</v>
      </c>
      <c r="E165" t="s">
        <v>13</v>
      </c>
      <c r="F165" t="s">
        <v>14</v>
      </c>
      <c r="G165" t="s">
        <v>20</v>
      </c>
      <c r="H165">
        <v>4609</v>
      </c>
      <c r="I165">
        <v>280.3</v>
      </c>
      <c r="J165" s="2">
        <v>13.91</v>
      </c>
      <c r="K165">
        <v>2</v>
      </c>
      <c r="L165" s="1">
        <v>76389.23</v>
      </c>
      <c r="M165">
        <f t="shared" si="14"/>
        <v>9</v>
      </c>
      <c r="N165">
        <f t="shared" si="15"/>
        <v>8487.692222222222</v>
      </c>
      <c r="O165">
        <f t="shared" si="16"/>
        <v>17148.888888888891</v>
      </c>
      <c r="P165">
        <f t="shared" si="17"/>
        <v>60.815795183336952</v>
      </c>
      <c r="Q165" t="str">
        <f t="shared" si="18"/>
        <v>Mature (8-12 years)</v>
      </c>
      <c r="R165" t="str">
        <f t="shared" si="19"/>
        <v>Low</v>
      </c>
      <c r="S165" t="str">
        <f t="shared" si="20"/>
        <v>Very High</v>
      </c>
    </row>
    <row r="166" spans="1:19" x14ac:dyDescent="0.3">
      <c r="A166">
        <v>165</v>
      </c>
      <c r="B166" t="s">
        <v>29</v>
      </c>
      <c r="C166">
        <v>2018</v>
      </c>
      <c r="D166">
        <v>91269</v>
      </c>
      <c r="E166" t="s">
        <v>22</v>
      </c>
      <c r="F166" t="s">
        <v>18</v>
      </c>
      <c r="G166" t="s">
        <v>20</v>
      </c>
      <c r="H166">
        <v>4955</v>
      </c>
      <c r="I166">
        <v>81.900000000000006</v>
      </c>
      <c r="J166" s="2">
        <v>16.18</v>
      </c>
      <c r="K166">
        <v>2</v>
      </c>
      <c r="L166" s="1">
        <v>40015.919999999998</v>
      </c>
      <c r="M166">
        <f t="shared" si="14"/>
        <v>6</v>
      </c>
      <c r="N166">
        <f t="shared" si="15"/>
        <v>6669.32</v>
      </c>
      <c r="O166">
        <f t="shared" si="16"/>
        <v>15211.5</v>
      </c>
      <c r="P166">
        <f t="shared" si="17"/>
        <v>16.528758829465186</v>
      </c>
      <c r="Q166" t="str">
        <f t="shared" si="18"/>
        <v>Recent (4-7 years)</v>
      </c>
      <c r="R166" t="str">
        <f t="shared" si="19"/>
        <v>Average</v>
      </c>
      <c r="S166" t="str">
        <f t="shared" si="20"/>
        <v>Low</v>
      </c>
    </row>
    <row r="167" spans="1:19" x14ac:dyDescent="0.3">
      <c r="A167">
        <v>166</v>
      </c>
      <c r="B167" t="s">
        <v>29</v>
      </c>
      <c r="C167">
        <v>2008</v>
      </c>
      <c r="D167">
        <v>65545</v>
      </c>
      <c r="E167" t="s">
        <v>26</v>
      </c>
      <c r="F167" t="s">
        <v>14</v>
      </c>
      <c r="G167" t="s">
        <v>23</v>
      </c>
      <c r="H167">
        <v>4279</v>
      </c>
      <c r="I167">
        <v>99.4</v>
      </c>
      <c r="J167" s="2">
        <v>29.14</v>
      </c>
      <c r="K167">
        <v>2</v>
      </c>
      <c r="L167" s="1">
        <v>116857.93</v>
      </c>
      <c r="M167">
        <f t="shared" si="14"/>
        <v>16</v>
      </c>
      <c r="N167">
        <f t="shared" si="15"/>
        <v>7303.6206249999996</v>
      </c>
      <c r="O167">
        <f t="shared" si="16"/>
        <v>4096.5625</v>
      </c>
      <c r="P167">
        <f t="shared" si="17"/>
        <v>23.229726571628888</v>
      </c>
      <c r="Q167" t="str">
        <f t="shared" si="18"/>
        <v>Old (12+ years)</v>
      </c>
      <c r="R167" t="str">
        <f t="shared" si="19"/>
        <v>Excellent</v>
      </c>
      <c r="S167" t="str">
        <f t="shared" si="20"/>
        <v>Low</v>
      </c>
    </row>
    <row r="168" spans="1:19" x14ac:dyDescent="0.3">
      <c r="A168">
        <v>167</v>
      </c>
      <c r="B168" t="s">
        <v>24</v>
      </c>
      <c r="C168">
        <v>2017</v>
      </c>
      <c r="D168">
        <v>44922</v>
      </c>
      <c r="E168" t="s">
        <v>17</v>
      </c>
      <c r="F168" t="s">
        <v>14</v>
      </c>
      <c r="G168" t="s">
        <v>20</v>
      </c>
      <c r="H168">
        <v>2209</v>
      </c>
      <c r="I168">
        <v>509</v>
      </c>
      <c r="J168" s="2">
        <v>14.43</v>
      </c>
      <c r="K168">
        <v>5</v>
      </c>
      <c r="L168" s="1">
        <v>25664.89</v>
      </c>
      <c r="M168">
        <f t="shared" si="14"/>
        <v>7</v>
      </c>
      <c r="N168">
        <f t="shared" si="15"/>
        <v>3666.4128571428569</v>
      </c>
      <c r="O168">
        <f t="shared" si="16"/>
        <v>6417.4285714285716</v>
      </c>
      <c r="P168">
        <f t="shared" si="17"/>
        <v>230.42100497962878</v>
      </c>
      <c r="Q168" t="str">
        <f t="shared" si="18"/>
        <v>Recent (4-7 years)</v>
      </c>
      <c r="R168" t="str">
        <f t="shared" si="19"/>
        <v>Low</v>
      </c>
      <c r="S168" t="str">
        <f t="shared" si="20"/>
        <v>Very High</v>
      </c>
    </row>
    <row r="169" spans="1:19" x14ac:dyDescent="0.3">
      <c r="A169">
        <v>168</v>
      </c>
      <c r="B169" t="s">
        <v>16</v>
      </c>
      <c r="C169">
        <v>2006</v>
      </c>
      <c r="D169">
        <v>47913</v>
      </c>
      <c r="E169" t="s">
        <v>13</v>
      </c>
      <c r="F169" t="s">
        <v>18</v>
      </c>
      <c r="G169" t="s">
        <v>23</v>
      </c>
      <c r="H169">
        <v>2494</v>
      </c>
      <c r="I169">
        <v>174.3</v>
      </c>
      <c r="J169" s="2">
        <v>11.46</v>
      </c>
      <c r="K169">
        <v>7</v>
      </c>
      <c r="L169" s="1">
        <v>43461.94</v>
      </c>
      <c r="M169">
        <f t="shared" si="14"/>
        <v>18</v>
      </c>
      <c r="N169">
        <f t="shared" si="15"/>
        <v>2414.5522222222226</v>
      </c>
      <c r="O169">
        <f t="shared" si="16"/>
        <v>2661.8333333333335</v>
      </c>
      <c r="P169">
        <f t="shared" si="17"/>
        <v>69.887730553327984</v>
      </c>
      <c r="Q169" t="str">
        <f t="shared" si="18"/>
        <v>Old (12+ years)</v>
      </c>
      <c r="R169" t="str">
        <f t="shared" si="19"/>
        <v>Low</v>
      </c>
      <c r="S169" t="str">
        <f t="shared" si="20"/>
        <v>High</v>
      </c>
    </row>
    <row r="170" spans="1:19" x14ac:dyDescent="0.3">
      <c r="A170">
        <v>169</v>
      </c>
      <c r="B170" t="s">
        <v>12</v>
      </c>
      <c r="C170">
        <v>2009</v>
      </c>
      <c r="D170">
        <v>102033</v>
      </c>
      <c r="E170" t="s">
        <v>22</v>
      </c>
      <c r="F170" t="s">
        <v>14</v>
      </c>
      <c r="G170" t="s">
        <v>15</v>
      </c>
      <c r="H170">
        <v>1326</v>
      </c>
      <c r="I170">
        <v>149.19999999999999</v>
      </c>
      <c r="J170" s="2">
        <v>11.09</v>
      </c>
      <c r="K170">
        <v>7</v>
      </c>
      <c r="L170" s="1">
        <v>44867.42</v>
      </c>
      <c r="M170">
        <f t="shared" si="14"/>
        <v>15</v>
      </c>
      <c r="N170">
        <f t="shared" si="15"/>
        <v>2991.161333333333</v>
      </c>
      <c r="O170">
        <f t="shared" si="16"/>
        <v>6802.2</v>
      </c>
      <c r="P170">
        <f t="shared" si="17"/>
        <v>112.51885369532427</v>
      </c>
      <c r="Q170" t="str">
        <f t="shared" si="18"/>
        <v>Old (12+ years)</v>
      </c>
      <c r="R170" t="str">
        <f t="shared" si="19"/>
        <v>Low</v>
      </c>
      <c r="S170" t="str">
        <f t="shared" si="20"/>
        <v>Medium</v>
      </c>
    </row>
    <row r="171" spans="1:19" x14ac:dyDescent="0.3">
      <c r="A171">
        <v>170</v>
      </c>
      <c r="B171" t="s">
        <v>28</v>
      </c>
      <c r="C171">
        <v>2015</v>
      </c>
      <c r="D171">
        <v>109792</v>
      </c>
      <c r="E171" t="s">
        <v>26</v>
      </c>
      <c r="F171" t="s">
        <v>14</v>
      </c>
      <c r="G171" t="s">
        <v>15</v>
      </c>
      <c r="H171">
        <v>3460</v>
      </c>
      <c r="I171">
        <v>322.8</v>
      </c>
      <c r="J171" s="2">
        <v>16.440000000000001</v>
      </c>
      <c r="K171">
        <v>2</v>
      </c>
      <c r="L171" s="1">
        <v>3988.83</v>
      </c>
      <c r="M171">
        <f t="shared" si="14"/>
        <v>9</v>
      </c>
      <c r="N171">
        <f t="shared" si="15"/>
        <v>443.20333333333332</v>
      </c>
      <c r="O171">
        <f t="shared" si="16"/>
        <v>12199.111111111111</v>
      </c>
      <c r="P171">
        <f t="shared" si="17"/>
        <v>93.294797687861276</v>
      </c>
      <c r="Q171" t="str">
        <f t="shared" si="18"/>
        <v>Mature (8-12 years)</v>
      </c>
      <c r="R171" t="str">
        <f t="shared" si="19"/>
        <v>Average</v>
      </c>
      <c r="S171" t="str">
        <f t="shared" si="20"/>
        <v>Very High</v>
      </c>
    </row>
    <row r="172" spans="1:19" x14ac:dyDescent="0.3">
      <c r="A172">
        <v>171</v>
      </c>
      <c r="B172" t="s">
        <v>25</v>
      </c>
      <c r="C172">
        <v>2010</v>
      </c>
      <c r="D172">
        <v>191749</v>
      </c>
      <c r="E172" t="s">
        <v>26</v>
      </c>
      <c r="F172" t="s">
        <v>14</v>
      </c>
      <c r="G172" t="s">
        <v>23</v>
      </c>
      <c r="H172">
        <v>2972</v>
      </c>
      <c r="I172">
        <v>470.5</v>
      </c>
      <c r="J172" s="2">
        <v>23.99</v>
      </c>
      <c r="K172">
        <v>5</v>
      </c>
      <c r="L172" s="1">
        <v>101187.33</v>
      </c>
      <c r="M172">
        <f t="shared" si="14"/>
        <v>14</v>
      </c>
      <c r="N172">
        <f t="shared" si="15"/>
        <v>7227.6664285714287</v>
      </c>
      <c r="O172">
        <f t="shared" si="16"/>
        <v>13696.357142857143</v>
      </c>
      <c r="P172">
        <f t="shared" si="17"/>
        <v>158.31090174966351</v>
      </c>
      <c r="Q172" t="str">
        <f t="shared" si="18"/>
        <v>Old (12+ years)</v>
      </c>
      <c r="R172" t="str">
        <f t="shared" si="19"/>
        <v>Good</v>
      </c>
      <c r="S172" t="str">
        <f t="shared" si="20"/>
        <v>Very High</v>
      </c>
    </row>
    <row r="173" spans="1:19" x14ac:dyDescent="0.3">
      <c r="A173">
        <v>172</v>
      </c>
      <c r="B173" t="s">
        <v>29</v>
      </c>
      <c r="C173">
        <v>2022</v>
      </c>
      <c r="D173">
        <v>185913</v>
      </c>
      <c r="E173" t="s">
        <v>17</v>
      </c>
      <c r="F173" t="s">
        <v>14</v>
      </c>
      <c r="G173" t="s">
        <v>15</v>
      </c>
      <c r="H173">
        <v>1079</v>
      </c>
      <c r="I173">
        <v>74.7</v>
      </c>
      <c r="J173" s="2">
        <v>10.15</v>
      </c>
      <c r="K173">
        <v>5</v>
      </c>
      <c r="L173" s="1">
        <v>6743.35</v>
      </c>
      <c r="M173">
        <f t="shared" si="14"/>
        <v>2</v>
      </c>
      <c r="N173">
        <f t="shared" si="15"/>
        <v>3371.6750000000002</v>
      </c>
      <c r="O173">
        <f t="shared" si="16"/>
        <v>92956.5</v>
      </c>
      <c r="P173">
        <f t="shared" si="17"/>
        <v>69.230769230769241</v>
      </c>
      <c r="Q173" t="str">
        <f t="shared" si="18"/>
        <v>New (0-3 years)</v>
      </c>
      <c r="R173" t="str">
        <f t="shared" si="19"/>
        <v>Low</v>
      </c>
      <c r="S173" t="str">
        <f t="shared" si="20"/>
        <v>Low</v>
      </c>
    </row>
    <row r="174" spans="1:19" x14ac:dyDescent="0.3">
      <c r="A174">
        <v>173</v>
      </c>
      <c r="B174" t="s">
        <v>21</v>
      </c>
      <c r="C174">
        <v>2014</v>
      </c>
      <c r="D174">
        <v>182404</v>
      </c>
      <c r="E174" t="s">
        <v>17</v>
      </c>
      <c r="F174" t="s">
        <v>14</v>
      </c>
      <c r="G174" t="s">
        <v>15</v>
      </c>
      <c r="H174">
        <v>3764</v>
      </c>
      <c r="I174">
        <v>363</v>
      </c>
      <c r="J174" s="2">
        <v>22.73</v>
      </c>
      <c r="K174">
        <v>2</v>
      </c>
      <c r="L174" s="1">
        <v>113001.04</v>
      </c>
      <c r="M174">
        <f t="shared" si="14"/>
        <v>10</v>
      </c>
      <c r="N174">
        <f t="shared" si="15"/>
        <v>11300.103999999999</v>
      </c>
      <c r="O174">
        <f t="shared" si="16"/>
        <v>18240.400000000001</v>
      </c>
      <c r="P174">
        <f t="shared" si="17"/>
        <v>96.439957492029762</v>
      </c>
      <c r="Q174" t="str">
        <f t="shared" si="18"/>
        <v>Mature (8-12 years)</v>
      </c>
      <c r="R174" t="str">
        <f t="shared" si="19"/>
        <v>Good</v>
      </c>
      <c r="S174" t="str">
        <f t="shared" si="20"/>
        <v>Very High</v>
      </c>
    </row>
    <row r="175" spans="1:19" x14ac:dyDescent="0.3">
      <c r="A175">
        <v>174</v>
      </c>
      <c r="B175" t="s">
        <v>29</v>
      </c>
      <c r="C175">
        <v>2008</v>
      </c>
      <c r="D175">
        <v>124863</v>
      </c>
      <c r="E175" t="s">
        <v>17</v>
      </c>
      <c r="F175" t="s">
        <v>18</v>
      </c>
      <c r="G175" t="s">
        <v>23</v>
      </c>
      <c r="H175">
        <v>4777</v>
      </c>
      <c r="I175">
        <v>106.8</v>
      </c>
      <c r="J175" s="2">
        <v>5.53</v>
      </c>
      <c r="K175">
        <v>4</v>
      </c>
      <c r="L175" s="1">
        <v>107372.7</v>
      </c>
      <c r="M175">
        <f t="shared" si="14"/>
        <v>16</v>
      </c>
      <c r="N175">
        <f t="shared" si="15"/>
        <v>6710.7937499999998</v>
      </c>
      <c r="O175">
        <f t="shared" si="16"/>
        <v>7803.9375</v>
      </c>
      <c r="P175">
        <f t="shared" si="17"/>
        <v>22.357127904542597</v>
      </c>
      <c r="Q175" t="str">
        <f t="shared" si="18"/>
        <v>Old (12+ years)</v>
      </c>
      <c r="R175" t="str">
        <f t="shared" si="19"/>
        <v>Low</v>
      </c>
      <c r="S175" t="str">
        <f t="shared" si="20"/>
        <v>Medium</v>
      </c>
    </row>
    <row r="176" spans="1:19" x14ac:dyDescent="0.3">
      <c r="A176">
        <v>175</v>
      </c>
      <c r="B176" t="s">
        <v>19</v>
      </c>
      <c r="C176">
        <v>2013</v>
      </c>
      <c r="D176">
        <v>161104</v>
      </c>
      <c r="E176" t="s">
        <v>22</v>
      </c>
      <c r="F176" t="s">
        <v>18</v>
      </c>
      <c r="G176" t="s">
        <v>23</v>
      </c>
      <c r="H176">
        <v>3469</v>
      </c>
      <c r="I176">
        <v>60.4</v>
      </c>
      <c r="J176" s="2">
        <v>15.47</v>
      </c>
      <c r="K176">
        <v>2</v>
      </c>
      <c r="L176" s="1">
        <v>65656.06</v>
      </c>
      <c r="M176">
        <f t="shared" si="14"/>
        <v>11</v>
      </c>
      <c r="N176">
        <f t="shared" si="15"/>
        <v>5968.7327272727271</v>
      </c>
      <c r="O176">
        <f t="shared" si="16"/>
        <v>14645.818181818182</v>
      </c>
      <c r="P176">
        <f t="shared" si="17"/>
        <v>17.411357739982705</v>
      </c>
      <c r="Q176" t="str">
        <f t="shared" si="18"/>
        <v>Mature (8-12 years)</v>
      </c>
      <c r="R176" t="str">
        <f t="shared" si="19"/>
        <v>Average</v>
      </c>
      <c r="S176" t="str">
        <f t="shared" si="20"/>
        <v>Low</v>
      </c>
    </row>
    <row r="177" spans="1:19" x14ac:dyDescent="0.3">
      <c r="A177">
        <v>176</v>
      </c>
      <c r="B177" t="s">
        <v>29</v>
      </c>
      <c r="C177">
        <v>2010</v>
      </c>
      <c r="D177">
        <v>173918</v>
      </c>
      <c r="E177" t="s">
        <v>22</v>
      </c>
      <c r="F177" t="s">
        <v>14</v>
      </c>
      <c r="G177" t="s">
        <v>15</v>
      </c>
      <c r="H177">
        <v>3693</v>
      </c>
      <c r="I177">
        <v>69.5</v>
      </c>
      <c r="J177" s="2">
        <v>24.4</v>
      </c>
      <c r="K177">
        <v>4</v>
      </c>
      <c r="L177" s="1">
        <v>66600.679999999993</v>
      </c>
      <c r="M177">
        <f t="shared" si="14"/>
        <v>14</v>
      </c>
      <c r="N177">
        <f t="shared" si="15"/>
        <v>4757.1914285714283</v>
      </c>
      <c r="O177">
        <f t="shared" si="16"/>
        <v>12422.714285714286</v>
      </c>
      <c r="P177">
        <f t="shared" si="17"/>
        <v>18.819388031410778</v>
      </c>
      <c r="Q177" t="str">
        <f t="shared" si="18"/>
        <v>Old (12+ years)</v>
      </c>
      <c r="R177" t="str">
        <f t="shared" si="19"/>
        <v>Good</v>
      </c>
      <c r="S177" t="str">
        <f t="shared" si="20"/>
        <v>Low</v>
      </c>
    </row>
    <row r="178" spans="1:19" x14ac:dyDescent="0.3">
      <c r="A178">
        <v>177</v>
      </c>
      <c r="B178" t="s">
        <v>29</v>
      </c>
      <c r="C178">
        <v>2006</v>
      </c>
      <c r="D178">
        <v>195546</v>
      </c>
      <c r="E178" t="s">
        <v>17</v>
      </c>
      <c r="F178" t="s">
        <v>18</v>
      </c>
      <c r="G178" t="s">
        <v>20</v>
      </c>
      <c r="H178">
        <v>2551</v>
      </c>
      <c r="I178">
        <v>507.1</v>
      </c>
      <c r="J178" s="2">
        <v>13.47</v>
      </c>
      <c r="K178">
        <v>2</v>
      </c>
      <c r="L178" s="1">
        <v>79492.02</v>
      </c>
      <c r="M178">
        <f t="shared" si="14"/>
        <v>18</v>
      </c>
      <c r="N178">
        <f t="shared" si="15"/>
        <v>4416.2233333333334</v>
      </c>
      <c r="O178">
        <f t="shared" si="16"/>
        <v>10863.666666666666</v>
      </c>
      <c r="P178">
        <f t="shared" si="17"/>
        <v>198.78479027832222</v>
      </c>
      <c r="Q178" t="str">
        <f t="shared" si="18"/>
        <v>Old (12+ years)</v>
      </c>
      <c r="R178" t="str">
        <f t="shared" si="19"/>
        <v>Low</v>
      </c>
      <c r="S178" t="str">
        <f t="shared" si="20"/>
        <v>Very High</v>
      </c>
    </row>
    <row r="179" spans="1:19" x14ac:dyDescent="0.3">
      <c r="A179">
        <v>178</v>
      </c>
      <c r="B179" t="s">
        <v>28</v>
      </c>
      <c r="C179">
        <v>2021</v>
      </c>
      <c r="D179">
        <v>49936</v>
      </c>
      <c r="E179" t="s">
        <v>13</v>
      </c>
      <c r="F179" t="s">
        <v>14</v>
      </c>
      <c r="G179" t="s">
        <v>20</v>
      </c>
      <c r="H179">
        <v>4781</v>
      </c>
      <c r="I179">
        <v>106.1</v>
      </c>
      <c r="J179" s="2">
        <v>19.09</v>
      </c>
      <c r="K179">
        <v>4</v>
      </c>
      <c r="L179" s="1">
        <v>48284.85</v>
      </c>
      <c r="M179">
        <f t="shared" si="14"/>
        <v>3</v>
      </c>
      <c r="N179">
        <f t="shared" si="15"/>
        <v>16094.949999999999</v>
      </c>
      <c r="O179">
        <f t="shared" si="16"/>
        <v>16645.333333333332</v>
      </c>
      <c r="P179">
        <f t="shared" si="17"/>
        <v>22.192010039740641</v>
      </c>
      <c r="Q179" t="str">
        <f t="shared" si="18"/>
        <v>New (0-3 years)</v>
      </c>
      <c r="R179" t="str">
        <f t="shared" si="19"/>
        <v>Average</v>
      </c>
      <c r="S179" t="str">
        <f t="shared" si="20"/>
        <v>Medium</v>
      </c>
    </row>
    <row r="180" spans="1:19" x14ac:dyDescent="0.3">
      <c r="A180">
        <v>179</v>
      </c>
      <c r="B180" t="s">
        <v>28</v>
      </c>
      <c r="C180">
        <v>2009</v>
      </c>
      <c r="D180">
        <v>165866</v>
      </c>
      <c r="E180" t="s">
        <v>26</v>
      </c>
      <c r="F180" t="s">
        <v>14</v>
      </c>
      <c r="G180" t="s">
        <v>23</v>
      </c>
      <c r="H180">
        <v>3161</v>
      </c>
      <c r="I180">
        <v>65.3</v>
      </c>
      <c r="J180" s="2">
        <v>10.119999999999999</v>
      </c>
      <c r="K180">
        <v>4</v>
      </c>
      <c r="L180" s="1">
        <v>78725.009999999995</v>
      </c>
      <c r="M180">
        <f t="shared" si="14"/>
        <v>15</v>
      </c>
      <c r="N180">
        <f t="shared" si="15"/>
        <v>5248.3339999999998</v>
      </c>
      <c r="O180">
        <f t="shared" si="16"/>
        <v>11057.733333333334</v>
      </c>
      <c r="P180">
        <f t="shared" si="17"/>
        <v>20.658019614046186</v>
      </c>
      <c r="Q180" t="str">
        <f t="shared" si="18"/>
        <v>Old (12+ years)</v>
      </c>
      <c r="R180" t="str">
        <f t="shared" si="19"/>
        <v>Low</v>
      </c>
      <c r="S180" t="str">
        <f t="shared" si="20"/>
        <v>Low</v>
      </c>
    </row>
    <row r="181" spans="1:19" x14ac:dyDescent="0.3">
      <c r="A181">
        <v>180</v>
      </c>
      <c r="B181" t="s">
        <v>27</v>
      </c>
      <c r="C181">
        <v>2010</v>
      </c>
      <c r="D181">
        <v>197660</v>
      </c>
      <c r="E181" t="s">
        <v>26</v>
      </c>
      <c r="F181" t="s">
        <v>14</v>
      </c>
      <c r="G181" t="s">
        <v>23</v>
      </c>
      <c r="H181">
        <v>4931</v>
      </c>
      <c r="I181">
        <v>285.2</v>
      </c>
      <c r="J181" s="2">
        <v>23.55</v>
      </c>
      <c r="K181">
        <v>2</v>
      </c>
      <c r="L181" s="1">
        <v>8237.9</v>
      </c>
      <c r="M181">
        <f t="shared" si="14"/>
        <v>14</v>
      </c>
      <c r="N181">
        <f t="shared" si="15"/>
        <v>588.42142857142858</v>
      </c>
      <c r="O181">
        <f t="shared" si="16"/>
        <v>14118.571428571429</v>
      </c>
      <c r="P181">
        <f t="shared" si="17"/>
        <v>57.838166700466431</v>
      </c>
      <c r="Q181" t="str">
        <f t="shared" si="18"/>
        <v>Old (12+ years)</v>
      </c>
      <c r="R181" t="str">
        <f t="shared" si="19"/>
        <v>Good</v>
      </c>
      <c r="S181" t="str">
        <f t="shared" si="20"/>
        <v>Very High</v>
      </c>
    </row>
    <row r="182" spans="1:19" x14ac:dyDescent="0.3">
      <c r="A182">
        <v>181</v>
      </c>
      <c r="B182" t="s">
        <v>12</v>
      </c>
      <c r="C182">
        <v>2016</v>
      </c>
      <c r="D182">
        <v>186403</v>
      </c>
      <c r="E182" t="s">
        <v>22</v>
      </c>
      <c r="F182" t="s">
        <v>14</v>
      </c>
      <c r="G182" t="s">
        <v>20</v>
      </c>
      <c r="H182">
        <v>2508</v>
      </c>
      <c r="I182">
        <v>512.6</v>
      </c>
      <c r="J182" s="2">
        <v>6.31</v>
      </c>
      <c r="K182">
        <v>4</v>
      </c>
      <c r="L182" s="1">
        <v>9323.57</v>
      </c>
      <c r="M182">
        <f t="shared" si="14"/>
        <v>8</v>
      </c>
      <c r="N182">
        <f t="shared" si="15"/>
        <v>1165.44625</v>
      </c>
      <c r="O182">
        <f t="shared" si="16"/>
        <v>23300.375</v>
      </c>
      <c r="P182">
        <f t="shared" si="17"/>
        <v>204.38596491228071</v>
      </c>
      <c r="Q182" t="str">
        <f t="shared" si="18"/>
        <v>Mature (8-12 years)</v>
      </c>
      <c r="R182" t="str">
        <f t="shared" si="19"/>
        <v>Low</v>
      </c>
      <c r="S182" t="str">
        <f t="shared" si="20"/>
        <v>Very High</v>
      </c>
    </row>
    <row r="183" spans="1:19" x14ac:dyDescent="0.3">
      <c r="A183">
        <v>182</v>
      </c>
      <c r="B183" t="s">
        <v>21</v>
      </c>
      <c r="C183">
        <v>2014</v>
      </c>
      <c r="D183">
        <v>33141</v>
      </c>
      <c r="E183" t="s">
        <v>26</v>
      </c>
      <c r="F183" t="s">
        <v>14</v>
      </c>
      <c r="G183" t="s">
        <v>15</v>
      </c>
      <c r="H183">
        <v>3486</v>
      </c>
      <c r="I183">
        <v>186.9</v>
      </c>
      <c r="J183" s="2">
        <v>26.31</v>
      </c>
      <c r="K183">
        <v>6</v>
      </c>
      <c r="L183" s="1">
        <v>56495.96</v>
      </c>
      <c r="M183">
        <f t="shared" si="14"/>
        <v>10</v>
      </c>
      <c r="N183">
        <f t="shared" si="15"/>
        <v>5649.5959999999995</v>
      </c>
      <c r="O183">
        <f t="shared" si="16"/>
        <v>3314.1</v>
      </c>
      <c r="P183">
        <f t="shared" si="17"/>
        <v>53.614457831325296</v>
      </c>
      <c r="Q183" t="str">
        <f t="shared" si="18"/>
        <v>Mature (8-12 years)</v>
      </c>
      <c r="R183" t="str">
        <f t="shared" si="19"/>
        <v>Excellent</v>
      </c>
      <c r="S183" t="str">
        <f t="shared" si="20"/>
        <v>High</v>
      </c>
    </row>
    <row r="184" spans="1:19" x14ac:dyDescent="0.3">
      <c r="A184">
        <v>183</v>
      </c>
      <c r="B184" t="s">
        <v>29</v>
      </c>
      <c r="C184">
        <v>2010</v>
      </c>
      <c r="D184">
        <v>145146</v>
      </c>
      <c r="E184" t="s">
        <v>13</v>
      </c>
      <c r="F184" t="s">
        <v>18</v>
      </c>
      <c r="G184" t="s">
        <v>20</v>
      </c>
      <c r="H184">
        <v>3695</v>
      </c>
      <c r="I184">
        <v>276.2</v>
      </c>
      <c r="J184" s="2">
        <v>9.9499999999999993</v>
      </c>
      <c r="K184">
        <v>7</v>
      </c>
      <c r="L184" s="1">
        <v>67305.81</v>
      </c>
      <c r="M184">
        <f t="shared" si="14"/>
        <v>14</v>
      </c>
      <c r="N184">
        <f t="shared" si="15"/>
        <v>4807.5578571428568</v>
      </c>
      <c r="O184">
        <f t="shared" si="16"/>
        <v>10367.571428571429</v>
      </c>
      <c r="P184">
        <f t="shared" si="17"/>
        <v>74.749661705006773</v>
      </c>
      <c r="Q184" t="str">
        <f t="shared" si="18"/>
        <v>Old (12+ years)</v>
      </c>
      <c r="R184" t="str">
        <f t="shared" si="19"/>
        <v>Low</v>
      </c>
      <c r="S184" t="str">
        <f t="shared" si="20"/>
        <v>Very High</v>
      </c>
    </row>
    <row r="185" spans="1:19" x14ac:dyDescent="0.3">
      <c r="A185">
        <v>184</v>
      </c>
      <c r="B185" t="s">
        <v>29</v>
      </c>
      <c r="C185">
        <v>2012</v>
      </c>
      <c r="D185">
        <v>142478</v>
      </c>
      <c r="E185" t="s">
        <v>26</v>
      </c>
      <c r="F185" t="s">
        <v>18</v>
      </c>
      <c r="G185" t="s">
        <v>20</v>
      </c>
      <c r="H185">
        <v>3576</v>
      </c>
      <c r="I185">
        <v>62.4</v>
      </c>
      <c r="J185" s="2">
        <v>26.86</v>
      </c>
      <c r="K185">
        <v>5</v>
      </c>
      <c r="L185" s="1">
        <v>106874.66</v>
      </c>
      <c r="M185">
        <f t="shared" si="14"/>
        <v>12</v>
      </c>
      <c r="N185">
        <f t="shared" si="15"/>
        <v>8906.2216666666664</v>
      </c>
      <c r="O185">
        <f t="shared" si="16"/>
        <v>11873.166666666666</v>
      </c>
      <c r="P185">
        <f t="shared" si="17"/>
        <v>17.449664429530202</v>
      </c>
      <c r="Q185" t="str">
        <f t="shared" si="18"/>
        <v>Mature (8-12 years)</v>
      </c>
      <c r="R185" t="str">
        <f t="shared" si="19"/>
        <v>Excellent</v>
      </c>
      <c r="S185" t="str">
        <f t="shared" si="20"/>
        <v>Low</v>
      </c>
    </row>
    <row r="186" spans="1:19" x14ac:dyDescent="0.3">
      <c r="A186">
        <v>185</v>
      </c>
      <c r="B186" t="s">
        <v>25</v>
      </c>
      <c r="C186">
        <v>2006</v>
      </c>
      <c r="D186">
        <v>102359</v>
      </c>
      <c r="E186" t="s">
        <v>22</v>
      </c>
      <c r="F186" t="s">
        <v>14</v>
      </c>
      <c r="G186" t="s">
        <v>20</v>
      </c>
      <c r="H186">
        <v>1919</v>
      </c>
      <c r="I186">
        <v>291.5</v>
      </c>
      <c r="J186" s="2">
        <v>13.81</v>
      </c>
      <c r="K186">
        <v>4</v>
      </c>
      <c r="L186" s="1">
        <v>15245.29</v>
      </c>
      <c r="M186">
        <f t="shared" si="14"/>
        <v>18</v>
      </c>
      <c r="N186">
        <f t="shared" si="15"/>
        <v>846.96055555555563</v>
      </c>
      <c r="O186">
        <f t="shared" si="16"/>
        <v>5686.6111111111113</v>
      </c>
      <c r="P186">
        <f t="shared" si="17"/>
        <v>151.902032308494</v>
      </c>
      <c r="Q186" t="str">
        <f t="shared" si="18"/>
        <v>Old (12+ years)</v>
      </c>
      <c r="R186" t="str">
        <f t="shared" si="19"/>
        <v>Low</v>
      </c>
      <c r="S186" t="str">
        <f t="shared" si="20"/>
        <v>Very High</v>
      </c>
    </row>
    <row r="187" spans="1:19" x14ac:dyDescent="0.3">
      <c r="A187">
        <v>186</v>
      </c>
      <c r="B187" t="s">
        <v>28</v>
      </c>
      <c r="C187">
        <v>2016</v>
      </c>
      <c r="D187">
        <v>128279</v>
      </c>
      <c r="E187" t="s">
        <v>22</v>
      </c>
      <c r="F187" t="s">
        <v>18</v>
      </c>
      <c r="G187" t="s">
        <v>20</v>
      </c>
      <c r="H187">
        <v>3788</v>
      </c>
      <c r="I187">
        <v>363.5</v>
      </c>
      <c r="J187" s="2">
        <v>23.07</v>
      </c>
      <c r="K187">
        <v>4</v>
      </c>
      <c r="L187" s="1">
        <v>99249.81</v>
      </c>
      <c r="M187">
        <f t="shared" si="14"/>
        <v>8</v>
      </c>
      <c r="N187">
        <f t="shared" si="15"/>
        <v>12406.22625</v>
      </c>
      <c r="O187">
        <f t="shared" si="16"/>
        <v>16034.875</v>
      </c>
      <c r="P187">
        <f t="shared" si="17"/>
        <v>95.960929250264002</v>
      </c>
      <c r="Q187" t="str">
        <f t="shared" si="18"/>
        <v>Mature (8-12 years)</v>
      </c>
      <c r="R187" t="str">
        <f t="shared" si="19"/>
        <v>Good</v>
      </c>
      <c r="S187" t="str">
        <f t="shared" si="20"/>
        <v>Very High</v>
      </c>
    </row>
    <row r="188" spans="1:19" x14ac:dyDescent="0.3">
      <c r="A188">
        <v>187</v>
      </c>
      <c r="B188" t="s">
        <v>21</v>
      </c>
      <c r="C188">
        <v>2017</v>
      </c>
      <c r="D188">
        <v>159363</v>
      </c>
      <c r="E188" t="s">
        <v>13</v>
      </c>
      <c r="F188" t="s">
        <v>14</v>
      </c>
      <c r="G188" t="s">
        <v>23</v>
      </c>
      <c r="H188">
        <v>994</v>
      </c>
      <c r="I188">
        <v>359.7</v>
      </c>
      <c r="J188" s="2">
        <v>12.98</v>
      </c>
      <c r="K188">
        <v>5</v>
      </c>
      <c r="L188" s="1">
        <v>27575.54</v>
      </c>
      <c r="M188">
        <f t="shared" si="14"/>
        <v>7</v>
      </c>
      <c r="N188">
        <f t="shared" si="15"/>
        <v>3939.3628571428571</v>
      </c>
      <c r="O188">
        <f t="shared" si="16"/>
        <v>22766.142857142859</v>
      </c>
      <c r="P188">
        <f t="shared" si="17"/>
        <v>361.87122736418507</v>
      </c>
      <c r="Q188" t="str">
        <f t="shared" si="18"/>
        <v>Recent (4-7 years)</v>
      </c>
      <c r="R188" t="str">
        <f t="shared" si="19"/>
        <v>Low</v>
      </c>
      <c r="S188" t="str">
        <f t="shared" si="20"/>
        <v>Very High</v>
      </c>
    </row>
    <row r="189" spans="1:19" x14ac:dyDescent="0.3">
      <c r="A189">
        <v>188</v>
      </c>
      <c r="B189" t="s">
        <v>24</v>
      </c>
      <c r="C189">
        <v>2011</v>
      </c>
      <c r="D189">
        <v>46568</v>
      </c>
      <c r="E189" t="s">
        <v>13</v>
      </c>
      <c r="F189" t="s">
        <v>18</v>
      </c>
      <c r="G189" t="s">
        <v>23</v>
      </c>
      <c r="H189">
        <v>1462</v>
      </c>
      <c r="I189">
        <v>226.2</v>
      </c>
      <c r="J189" s="2">
        <v>27.65</v>
      </c>
      <c r="K189">
        <v>4</v>
      </c>
      <c r="L189" s="1">
        <v>49107.79</v>
      </c>
      <c r="M189">
        <f t="shared" si="14"/>
        <v>13</v>
      </c>
      <c r="N189">
        <f t="shared" si="15"/>
        <v>3777.5223076923075</v>
      </c>
      <c r="O189">
        <f t="shared" si="16"/>
        <v>3582.1538461538462</v>
      </c>
      <c r="P189">
        <f t="shared" si="17"/>
        <v>154.71956224350205</v>
      </c>
      <c r="Q189" t="str">
        <f t="shared" si="18"/>
        <v>Old (12+ years)</v>
      </c>
      <c r="R189" t="str">
        <f t="shared" si="19"/>
        <v>Excellent</v>
      </c>
      <c r="S189" t="str">
        <f t="shared" si="20"/>
        <v>Very High</v>
      </c>
    </row>
    <row r="190" spans="1:19" x14ac:dyDescent="0.3">
      <c r="A190">
        <v>189</v>
      </c>
      <c r="B190" t="s">
        <v>27</v>
      </c>
      <c r="C190">
        <v>2014</v>
      </c>
      <c r="D190">
        <v>102539</v>
      </c>
      <c r="E190" t="s">
        <v>26</v>
      </c>
      <c r="F190" t="s">
        <v>14</v>
      </c>
      <c r="G190" t="s">
        <v>15</v>
      </c>
      <c r="H190">
        <v>1279</v>
      </c>
      <c r="I190">
        <v>216.7</v>
      </c>
      <c r="J190" s="2">
        <v>8.17</v>
      </c>
      <c r="K190">
        <v>5</v>
      </c>
      <c r="L190" s="1">
        <v>40042.480000000003</v>
      </c>
      <c r="M190">
        <f t="shared" si="14"/>
        <v>10</v>
      </c>
      <c r="N190">
        <f t="shared" si="15"/>
        <v>4004.2480000000005</v>
      </c>
      <c r="O190">
        <f t="shared" si="16"/>
        <v>10253.9</v>
      </c>
      <c r="P190">
        <f t="shared" si="17"/>
        <v>169.42924159499609</v>
      </c>
      <c r="Q190" t="str">
        <f t="shared" si="18"/>
        <v>Mature (8-12 years)</v>
      </c>
      <c r="R190" t="str">
        <f t="shared" si="19"/>
        <v>Low</v>
      </c>
      <c r="S190" t="str">
        <f t="shared" si="20"/>
        <v>Very High</v>
      </c>
    </row>
    <row r="191" spans="1:19" x14ac:dyDescent="0.3">
      <c r="A191">
        <v>190</v>
      </c>
      <c r="B191" t="s">
        <v>12</v>
      </c>
      <c r="C191">
        <v>2017</v>
      </c>
      <c r="D191">
        <v>51851</v>
      </c>
      <c r="E191" t="s">
        <v>26</v>
      </c>
      <c r="F191" t="s">
        <v>18</v>
      </c>
      <c r="G191" t="s">
        <v>15</v>
      </c>
      <c r="H191">
        <v>2223</v>
      </c>
      <c r="I191">
        <v>99.7</v>
      </c>
      <c r="J191" s="2">
        <v>9.4600000000000009</v>
      </c>
      <c r="K191">
        <v>2</v>
      </c>
      <c r="L191" s="1">
        <v>49818.17</v>
      </c>
      <c r="M191">
        <f t="shared" si="14"/>
        <v>7</v>
      </c>
      <c r="N191">
        <f t="shared" si="15"/>
        <v>7116.8814285714279</v>
      </c>
      <c r="O191">
        <f t="shared" si="16"/>
        <v>7407.2857142857147</v>
      </c>
      <c r="P191">
        <f t="shared" si="17"/>
        <v>44.849302744039591</v>
      </c>
      <c r="Q191" t="str">
        <f t="shared" si="18"/>
        <v>Recent (4-7 years)</v>
      </c>
      <c r="R191" t="str">
        <f t="shared" si="19"/>
        <v>Low</v>
      </c>
      <c r="S191" t="str">
        <f t="shared" si="20"/>
        <v>Low</v>
      </c>
    </row>
    <row r="192" spans="1:19" x14ac:dyDescent="0.3">
      <c r="A192">
        <v>191</v>
      </c>
      <c r="B192" t="s">
        <v>16</v>
      </c>
      <c r="C192">
        <v>2021</v>
      </c>
      <c r="D192">
        <v>59823</v>
      </c>
      <c r="E192" t="s">
        <v>22</v>
      </c>
      <c r="F192" t="s">
        <v>14</v>
      </c>
      <c r="G192" t="s">
        <v>15</v>
      </c>
      <c r="H192">
        <v>3508</v>
      </c>
      <c r="I192">
        <v>245.4</v>
      </c>
      <c r="J192" s="2">
        <v>17.329999999999998</v>
      </c>
      <c r="K192">
        <v>6</v>
      </c>
      <c r="L192" s="1">
        <v>20607.97</v>
      </c>
      <c r="M192">
        <f t="shared" si="14"/>
        <v>3</v>
      </c>
      <c r="N192">
        <f t="shared" si="15"/>
        <v>6869.3233333333337</v>
      </c>
      <c r="O192">
        <f t="shared" si="16"/>
        <v>19941</v>
      </c>
      <c r="P192">
        <f t="shared" si="17"/>
        <v>69.954389965792473</v>
      </c>
      <c r="Q192" t="str">
        <f t="shared" si="18"/>
        <v>New (0-3 years)</v>
      </c>
      <c r="R192" t="str">
        <f t="shared" si="19"/>
        <v>Average</v>
      </c>
      <c r="S192" t="str">
        <f t="shared" si="20"/>
        <v>Very High</v>
      </c>
    </row>
    <row r="193" spans="1:19" x14ac:dyDescent="0.3">
      <c r="A193">
        <v>192</v>
      </c>
      <c r="B193" t="s">
        <v>12</v>
      </c>
      <c r="C193">
        <v>2018</v>
      </c>
      <c r="D193">
        <v>28312</v>
      </c>
      <c r="E193" t="s">
        <v>13</v>
      </c>
      <c r="F193" t="s">
        <v>14</v>
      </c>
      <c r="G193" t="s">
        <v>15</v>
      </c>
      <c r="H193">
        <v>3975</v>
      </c>
      <c r="I193">
        <v>95.7</v>
      </c>
      <c r="J193" s="2">
        <v>7.05</v>
      </c>
      <c r="K193">
        <v>6</v>
      </c>
      <c r="L193" s="1">
        <v>61917.7</v>
      </c>
      <c r="M193">
        <f t="shared" si="14"/>
        <v>6</v>
      </c>
      <c r="N193">
        <f t="shared" si="15"/>
        <v>10319.616666666667</v>
      </c>
      <c r="O193">
        <f t="shared" si="16"/>
        <v>4718.666666666667</v>
      </c>
      <c r="P193">
        <f t="shared" si="17"/>
        <v>24.075471698113208</v>
      </c>
      <c r="Q193" t="str">
        <f t="shared" si="18"/>
        <v>Recent (4-7 years)</v>
      </c>
      <c r="R193" t="str">
        <f t="shared" si="19"/>
        <v>Low</v>
      </c>
      <c r="S193" t="str">
        <f t="shared" si="20"/>
        <v>Low</v>
      </c>
    </row>
    <row r="194" spans="1:19" x14ac:dyDescent="0.3">
      <c r="A194">
        <v>193</v>
      </c>
      <c r="B194" t="s">
        <v>19</v>
      </c>
      <c r="C194">
        <v>2006</v>
      </c>
      <c r="D194">
        <v>179180</v>
      </c>
      <c r="E194" t="s">
        <v>13</v>
      </c>
      <c r="F194" t="s">
        <v>18</v>
      </c>
      <c r="G194" t="s">
        <v>20</v>
      </c>
      <c r="H194">
        <v>4614</v>
      </c>
      <c r="I194">
        <v>469.3</v>
      </c>
      <c r="J194" s="2">
        <v>9.9</v>
      </c>
      <c r="K194">
        <v>7</v>
      </c>
      <c r="L194" s="1">
        <v>96792.18</v>
      </c>
      <c r="M194">
        <f t="shared" si="14"/>
        <v>18</v>
      </c>
      <c r="N194">
        <f t="shared" si="15"/>
        <v>5377.3433333333332</v>
      </c>
      <c r="O194">
        <f t="shared" si="16"/>
        <v>9954.4444444444453</v>
      </c>
      <c r="P194">
        <f t="shared" si="17"/>
        <v>101.7121803207629</v>
      </c>
      <c r="Q194" t="str">
        <f t="shared" si="18"/>
        <v>Old (12+ years)</v>
      </c>
      <c r="R194" t="str">
        <f t="shared" si="19"/>
        <v>Low</v>
      </c>
      <c r="S194" t="str">
        <f t="shared" si="20"/>
        <v>Very High</v>
      </c>
    </row>
    <row r="195" spans="1:19" x14ac:dyDescent="0.3">
      <c r="A195">
        <v>194</v>
      </c>
      <c r="B195" t="s">
        <v>29</v>
      </c>
      <c r="C195">
        <v>2015</v>
      </c>
      <c r="D195">
        <v>170243</v>
      </c>
      <c r="E195" t="s">
        <v>13</v>
      </c>
      <c r="F195" t="s">
        <v>18</v>
      </c>
      <c r="G195" t="s">
        <v>23</v>
      </c>
      <c r="H195">
        <v>2814</v>
      </c>
      <c r="I195">
        <v>581.1</v>
      </c>
      <c r="J195" s="2">
        <v>28.59</v>
      </c>
      <c r="K195">
        <v>4</v>
      </c>
      <c r="L195" s="1">
        <v>54659.48</v>
      </c>
      <c r="M195">
        <f t="shared" ref="M195:M258" si="21">2024-C195</f>
        <v>9</v>
      </c>
      <c r="N195">
        <f t="shared" ref="N195:N258" si="22">IF(M195&gt;0, L195/M195, L195)</f>
        <v>6073.2755555555559</v>
      </c>
      <c r="O195">
        <f t="shared" ref="O195:O258" si="23">IF(M195&gt;0, D195/M195, D195)</f>
        <v>18915.888888888891</v>
      </c>
      <c r="P195">
        <f t="shared" ref="P195:P258" si="24">IF(H195&gt;0, I195/(H195/1000), 0)</f>
        <v>206.50319829424308</v>
      </c>
      <c r="Q195" t="str">
        <f t="shared" ref="Q195:Q258" si="25">IF(M195&lt;=3, "New (0-3 years)",
   IF(M195&lt;=7, "Recent (4-7 years)",
   IF(M195&lt;=12, "Mature (8-12 years)",
   "Old (12+ years)")))</f>
        <v>Mature (8-12 years)</v>
      </c>
      <c r="R195" t="str">
        <f t="shared" ref="R195:R258" si="26">IF(J195&gt;=25, "Excellent",
   IF(J195&gt;=20, "Good",
   IF(J195&gt;=15, "Average",
   "Low")))</f>
        <v>Excellent</v>
      </c>
      <c r="S195" t="str">
        <f t="shared" ref="S195:S258" si="27">IF(I195&gt;=200, "Very High",
   IF(I195&gt;=150, "High",
   IF(I195&gt;=100, "Medium",
   "Low")))</f>
        <v>Very High</v>
      </c>
    </row>
    <row r="196" spans="1:19" x14ac:dyDescent="0.3">
      <c r="A196">
        <v>195</v>
      </c>
      <c r="B196" t="s">
        <v>27</v>
      </c>
      <c r="C196">
        <v>2005</v>
      </c>
      <c r="D196">
        <v>177851</v>
      </c>
      <c r="E196" t="s">
        <v>26</v>
      </c>
      <c r="F196" t="s">
        <v>14</v>
      </c>
      <c r="G196" t="s">
        <v>23</v>
      </c>
      <c r="H196">
        <v>4589</v>
      </c>
      <c r="I196">
        <v>583.20000000000005</v>
      </c>
      <c r="J196" s="2">
        <v>29.41</v>
      </c>
      <c r="K196">
        <v>7</v>
      </c>
      <c r="L196" s="1">
        <v>60401.79</v>
      </c>
      <c r="M196">
        <f t="shared" si="21"/>
        <v>19</v>
      </c>
      <c r="N196">
        <f t="shared" si="22"/>
        <v>3179.0415789473686</v>
      </c>
      <c r="O196">
        <f t="shared" si="23"/>
        <v>9360.5789473684217</v>
      </c>
      <c r="P196">
        <f t="shared" si="24"/>
        <v>127.08651122248855</v>
      </c>
      <c r="Q196" t="str">
        <f t="shared" si="25"/>
        <v>Old (12+ years)</v>
      </c>
      <c r="R196" t="str">
        <f t="shared" si="26"/>
        <v>Excellent</v>
      </c>
      <c r="S196" t="str">
        <f t="shared" si="27"/>
        <v>Very High</v>
      </c>
    </row>
    <row r="197" spans="1:19" x14ac:dyDescent="0.3">
      <c r="A197">
        <v>196</v>
      </c>
      <c r="B197" t="s">
        <v>19</v>
      </c>
      <c r="C197">
        <v>2023</v>
      </c>
      <c r="D197">
        <v>103723</v>
      </c>
      <c r="E197" t="s">
        <v>13</v>
      </c>
      <c r="F197" t="s">
        <v>18</v>
      </c>
      <c r="G197" t="s">
        <v>15</v>
      </c>
      <c r="H197">
        <v>3243</v>
      </c>
      <c r="I197">
        <v>524.4</v>
      </c>
      <c r="J197" s="2">
        <v>14.41</v>
      </c>
      <c r="K197">
        <v>2</v>
      </c>
      <c r="L197" s="1">
        <v>102305.81</v>
      </c>
      <c r="M197">
        <f t="shared" si="21"/>
        <v>1</v>
      </c>
      <c r="N197">
        <f t="shared" si="22"/>
        <v>102305.81</v>
      </c>
      <c r="O197">
        <f t="shared" si="23"/>
        <v>103723</v>
      </c>
      <c r="P197">
        <f t="shared" si="24"/>
        <v>161.70212765957447</v>
      </c>
      <c r="Q197" t="str">
        <f t="shared" si="25"/>
        <v>New (0-3 years)</v>
      </c>
      <c r="R197" t="str">
        <f t="shared" si="26"/>
        <v>Low</v>
      </c>
      <c r="S197" t="str">
        <f t="shared" si="27"/>
        <v>Very High</v>
      </c>
    </row>
    <row r="198" spans="1:19" x14ac:dyDescent="0.3">
      <c r="A198">
        <v>197</v>
      </c>
      <c r="B198" t="s">
        <v>21</v>
      </c>
      <c r="C198">
        <v>2008</v>
      </c>
      <c r="D198">
        <v>17411</v>
      </c>
      <c r="E198" t="s">
        <v>22</v>
      </c>
      <c r="F198" t="s">
        <v>14</v>
      </c>
      <c r="G198" t="s">
        <v>15</v>
      </c>
      <c r="H198">
        <v>1711</v>
      </c>
      <c r="I198">
        <v>376.4</v>
      </c>
      <c r="J198" s="2">
        <v>28.08</v>
      </c>
      <c r="K198">
        <v>6</v>
      </c>
      <c r="L198" s="1">
        <v>85608.8</v>
      </c>
      <c r="M198">
        <f t="shared" si="21"/>
        <v>16</v>
      </c>
      <c r="N198">
        <f t="shared" si="22"/>
        <v>5350.55</v>
      </c>
      <c r="O198">
        <f t="shared" si="23"/>
        <v>1088.1875</v>
      </c>
      <c r="P198">
        <f t="shared" si="24"/>
        <v>219.98831092928111</v>
      </c>
      <c r="Q198" t="str">
        <f t="shared" si="25"/>
        <v>Old (12+ years)</v>
      </c>
      <c r="R198" t="str">
        <f t="shared" si="26"/>
        <v>Excellent</v>
      </c>
      <c r="S198" t="str">
        <f t="shared" si="27"/>
        <v>Very High</v>
      </c>
    </row>
    <row r="199" spans="1:19" x14ac:dyDescent="0.3">
      <c r="A199">
        <v>198</v>
      </c>
      <c r="B199" t="s">
        <v>16</v>
      </c>
      <c r="C199">
        <v>2023</v>
      </c>
      <c r="D199">
        <v>62009</v>
      </c>
      <c r="E199" t="s">
        <v>22</v>
      </c>
      <c r="F199" t="s">
        <v>18</v>
      </c>
      <c r="G199" t="s">
        <v>20</v>
      </c>
      <c r="H199">
        <v>4013</v>
      </c>
      <c r="I199">
        <v>432.5</v>
      </c>
      <c r="J199" s="2">
        <v>18.62</v>
      </c>
      <c r="K199">
        <v>2</v>
      </c>
      <c r="L199" s="1">
        <v>60383.17</v>
      </c>
      <c r="M199">
        <f t="shared" si="21"/>
        <v>1</v>
      </c>
      <c r="N199">
        <f t="shared" si="22"/>
        <v>60383.17</v>
      </c>
      <c r="O199">
        <f t="shared" si="23"/>
        <v>62009</v>
      </c>
      <c r="P199">
        <f t="shared" si="24"/>
        <v>107.77473212060802</v>
      </c>
      <c r="Q199" t="str">
        <f t="shared" si="25"/>
        <v>New (0-3 years)</v>
      </c>
      <c r="R199" t="str">
        <f t="shared" si="26"/>
        <v>Average</v>
      </c>
      <c r="S199" t="str">
        <f t="shared" si="27"/>
        <v>Very High</v>
      </c>
    </row>
    <row r="200" spans="1:19" x14ac:dyDescent="0.3">
      <c r="A200">
        <v>199</v>
      </c>
      <c r="B200" t="s">
        <v>28</v>
      </c>
      <c r="C200">
        <v>2015</v>
      </c>
      <c r="D200">
        <v>151494</v>
      </c>
      <c r="E200" t="s">
        <v>26</v>
      </c>
      <c r="F200" t="s">
        <v>18</v>
      </c>
      <c r="G200" t="s">
        <v>20</v>
      </c>
      <c r="H200">
        <v>3164</v>
      </c>
      <c r="I200">
        <v>199.7</v>
      </c>
      <c r="J200" s="2">
        <v>11.74</v>
      </c>
      <c r="K200">
        <v>2</v>
      </c>
      <c r="L200" s="1">
        <v>33150.39</v>
      </c>
      <c r="M200">
        <f t="shared" si="21"/>
        <v>9</v>
      </c>
      <c r="N200">
        <f t="shared" si="22"/>
        <v>3683.3766666666666</v>
      </c>
      <c r="O200">
        <f t="shared" si="23"/>
        <v>16832.666666666668</v>
      </c>
      <c r="P200">
        <f t="shared" si="24"/>
        <v>63.116308470290768</v>
      </c>
      <c r="Q200" t="str">
        <f t="shared" si="25"/>
        <v>Mature (8-12 years)</v>
      </c>
      <c r="R200" t="str">
        <f t="shared" si="26"/>
        <v>Low</v>
      </c>
      <c r="S200" t="str">
        <f t="shared" si="27"/>
        <v>High</v>
      </c>
    </row>
    <row r="201" spans="1:19" x14ac:dyDescent="0.3">
      <c r="A201">
        <v>200</v>
      </c>
      <c r="B201" t="s">
        <v>27</v>
      </c>
      <c r="C201">
        <v>2012</v>
      </c>
      <c r="D201">
        <v>178540</v>
      </c>
      <c r="E201" t="s">
        <v>17</v>
      </c>
      <c r="F201" t="s">
        <v>14</v>
      </c>
      <c r="G201" t="s">
        <v>15</v>
      </c>
      <c r="H201">
        <v>4429</v>
      </c>
      <c r="I201">
        <v>393.2</v>
      </c>
      <c r="J201" s="2">
        <v>22.56</v>
      </c>
      <c r="K201">
        <v>4</v>
      </c>
      <c r="L201" s="1">
        <v>106536.43</v>
      </c>
      <c r="M201">
        <f t="shared" si="21"/>
        <v>12</v>
      </c>
      <c r="N201">
        <f t="shared" si="22"/>
        <v>8878.0358333333334</v>
      </c>
      <c r="O201">
        <f t="shared" si="23"/>
        <v>14878.333333333334</v>
      </c>
      <c r="P201">
        <f t="shared" si="24"/>
        <v>88.778505305938126</v>
      </c>
      <c r="Q201" t="str">
        <f t="shared" si="25"/>
        <v>Mature (8-12 years)</v>
      </c>
      <c r="R201" t="str">
        <f t="shared" si="26"/>
        <v>Good</v>
      </c>
      <c r="S201" t="str">
        <f t="shared" si="27"/>
        <v>Very High</v>
      </c>
    </row>
    <row r="202" spans="1:19" x14ac:dyDescent="0.3">
      <c r="A202">
        <v>201</v>
      </c>
      <c r="B202" t="s">
        <v>27</v>
      </c>
      <c r="C202">
        <v>2015</v>
      </c>
      <c r="D202">
        <v>37371</v>
      </c>
      <c r="E202" t="s">
        <v>26</v>
      </c>
      <c r="F202" t="s">
        <v>18</v>
      </c>
      <c r="G202" t="s">
        <v>23</v>
      </c>
      <c r="H202">
        <v>4272</v>
      </c>
      <c r="I202">
        <v>295.2</v>
      </c>
      <c r="J202" s="2">
        <v>21.47</v>
      </c>
      <c r="K202">
        <v>2</v>
      </c>
      <c r="L202" s="1">
        <v>70511.39</v>
      </c>
      <c r="M202">
        <f t="shared" si="21"/>
        <v>9</v>
      </c>
      <c r="N202">
        <f t="shared" si="22"/>
        <v>7834.5988888888887</v>
      </c>
      <c r="O202">
        <f t="shared" si="23"/>
        <v>4152.333333333333</v>
      </c>
      <c r="P202">
        <f t="shared" si="24"/>
        <v>69.101123595505612</v>
      </c>
      <c r="Q202" t="str">
        <f t="shared" si="25"/>
        <v>Mature (8-12 years)</v>
      </c>
      <c r="R202" t="str">
        <f t="shared" si="26"/>
        <v>Good</v>
      </c>
      <c r="S202" t="str">
        <f t="shared" si="27"/>
        <v>Very High</v>
      </c>
    </row>
    <row r="203" spans="1:19" x14ac:dyDescent="0.3">
      <c r="A203">
        <v>202</v>
      </c>
      <c r="B203" t="s">
        <v>29</v>
      </c>
      <c r="C203">
        <v>2008</v>
      </c>
      <c r="D203">
        <v>62022</v>
      </c>
      <c r="E203" t="s">
        <v>17</v>
      </c>
      <c r="F203" t="s">
        <v>18</v>
      </c>
      <c r="G203" t="s">
        <v>23</v>
      </c>
      <c r="H203">
        <v>1480</v>
      </c>
      <c r="I203">
        <v>309.89999999999998</v>
      </c>
      <c r="J203" s="2">
        <v>29.73</v>
      </c>
      <c r="K203">
        <v>6</v>
      </c>
      <c r="L203" s="1">
        <v>28874.27</v>
      </c>
      <c r="M203">
        <f t="shared" si="21"/>
        <v>16</v>
      </c>
      <c r="N203">
        <f t="shared" si="22"/>
        <v>1804.641875</v>
      </c>
      <c r="O203">
        <f t="shared" si="23"/>
        <v>3876.375</v>
      </c>
      <c r="P203">
        <f t="shared" si="24"/>
        <v>209.39189189189187</v>
      </c>
      <c r="Q203" t="str">
        <f t="shared" si="25"/>
        <v>Old (12+ years)</v>
      </c>
      <c r="R203" t="str">
        <f t="shared" si="26"/>
        <v>Excellent</v>
      </c>
      <c r="S203" t="str">
        <f t="shared" si="27"/>
        <v>Very High</v>
      </c>
    </row>
    <row r="204" spans="1:19" x14ac:dyDescent="0.3">
      <c r="A204">
        <v>203</v>
      </c>
      <c r="B204" t="s">
        <v>30</v>
      </c>
      <c r="C204">
        <v>2021</v>
      </c>
      <c r="D204">
        <v>76229</v>
      </c>
      <c r="E204" t="s">
        <v>13</v>
      </c>
      <c r="F204" t="s">
        <v>14</v>
      </c>
      <c r="G204" t="s">
        <v>23</v>
      </c>
      <c r="H204">
        <v>1409</v>
      </c>
      <c r="I204">
        <v>464.4</v>
      </c>
      <c r="J204" s="2">
        <v>11.63</v>
      </c>
      <c r="K204">
        <v>7</v>
      </c>
      <c r="L204" s="1">
        <v>34487.01</v>
      </c>
      <c r="M204">
        <f t="shared" si="21"/>
        <v>3</v>
      </c>
      <c r="N204">
        <f t="shared" si="22"/>
        <v>11495.67</v>
      </c>
      <c r="O204">
        <f t="shared" si="23"/>
        <v>25409.666666666668</v>
      </c>
      <c r="P204">
        <f t="shared" si="24"/>
        <v>329.59545777146911</v>
      </c>
      <c r="Q204" t="str">
        <f t="shared" si="25"/>
        <v>New (0-3 years)</v>
      </c>
      <c r="R204" t="str">
        <f t="shared" si="26"/>
        <v>Low</v>
      </c>
      <c r="S204" t="str">
        <f t="shared" si="27"/>
        <v>Very High</v>
      </c>
    </row>
    <row r="205" spans="1:19" x14ac:dyDescent="0.3">
      <c r="A205">
        <v>204</v>
      </c>
      <c r="B205" t="s">
        <v>27</v>
      </c>
      <c r="C205">
        <v>2011</v>
      </c>
      <c r="D205">
        <v>104071</v>
      </c>
      <c r="E205" t="s">
        <v>26</v>
      </c>
      <c r="F205" t="s">
        <v>18</v>
      </c>
      <c r="G205" t="s">
        <v>15</v>
      </c>
      <c r="H205">
        <v>2956</v>
      </c>
      <c r="I205">
        <v>197.9</v>
      </c>
      <c r="J205" s="2">
        <v>21.8</v>
      </c>
      <c r="K205">
        <v>6</v>
      </c>
      <c r="L205" s="1">
        <v>96966.57</v>
      </c>
      <c r="M205">
        <f t="shared" si="21"/>
        <v>13</v>
      </c>
      <c r="N205">
        <f t="shared" si="22"/>
        <v>7458.9669230769232</v>
      </c>
      <c r="O205">
        <f t="shared" si="23"/>
        <v>8005.4615384615381</v>
      </c>
      <c r="P205">
        <f t="shared" si="24"/>
        <v>66.94857916102842</v>
      </c>
      <c r="Q205" t="str">
        <f t="shared" si="25"/>
        <v>Old (12+ years)</v>
      </c>
      <c r="R205" t="str">
        <f t="shared" si="26"/>
        <v>Good</v>
      </c>
      <c r="S205" t="str">
        <f t="shared" si="27"/>
        <v>High</v>
      </c>
    </row>
    <row r="206" spans="1:19" x14ac:dyDescent="0.3">
      <c r="A206">
        <v>205</v>
      </c>
      <c r="B206" t="s">
        <v>25</v>
      </c>
      <c r="C206">
        <v>2012</v>
      </c>
      <c r="D206">
        <v>187268</v>
      </c>
      <c r="E206" t="s">
        <v>22</v>
      </c>
      <c r="F206" t="s">
        <v>14</v>
      </c>
      <c r="G206" t="s">
        <v>23</v>
      </c>
      <c r="H206">
        <v>4666</v>
      </c>
      <c r="I206">
        <v>218.1</v>
      </c>
      <c r="J206" s="2">
        <v>6.3</v>
      </c>
      <c r="K206">
        <v>4</v>
      </c>
      <c r="L206" s="1">
        <v>8165.03</v>
      </c>
      <c r="M206">
        <f t="shared" si="21"/>
        <v>12</v>
      </c>
      <c r="N206">
        <f t="shared" si="22"/>
        <v>680.41916666666668</v>
      </c>
      <c r="O206">
        <f t="shared" si="23"/>
        <v>15605.666666666666</v>
      </c>
      <c r="P206">
        <f t="shared" si="24"/>
        <v>46.742391770252887</v>
      </c>
      <c r="Q206" t="str">
        <f t="shared" si="25"/>
        <v>Mature (8-12 years)</v>
      </c>
      <c r="R206" t="str">
        <f t="shared" si="26"/>
        <v>Low</v>
      </c>
      <c r="S206" t="str">
        <f t="shared" si="27"/>
        <v>Very High</v>
      </c>
    </row>
    <row r="207" spans="1:19" x14ac:dyDescent="0.3">
      <c r="A207">
        <v>206</v>
      </c>
      <c r="B207" t="s">
        <v>16</v>
      </c>
      <c r="C207">
        <v>2007</v>
      </c>
      <c r="D207">
        <v>101774</v>
      </c>
      <c r="E207" t="s">
        <v>13</v>
      </c>
      <c r="F207" t="s">
        <v>14</v>
      </c>
      <c r="G207" t="s">
        <v>20</v>
      </c>
      <c r="H207">
        <v>1171</v>
      </c>
      <c r="I207">
        <v>557.79999999999995</v>
      </c>
      <c r="J207" s="2">
        <v>7.84</v>
      </c>
      <c r="K207">
        <v>6</v>
      </c>
      <c r="L207" s="1">
        <v>119074.79</v>
      </c>
      <c r="M207">
        <f t="shared" si="21"/>
        <v>17</v>
      </c>
      <c r="N207">
        <f t="shared" si="22"/>
        <v>7004.3994117647053</v>
      </c>
      <c r="O207">
        <f t="shared" si="23"/>
        <v>5986.7058823529414</v>
      </c>
      <c r="P207">
        <f t="shared" si="24"/>
        <v>476.34500426985477</v>
      </c>
      <c r="Q207" t="str">
        <f t="shared" si="25"/>
        <v>Old (12+ years)</v>
      </c>
      <c r="R207" t="str">
        <f t="shared" si="26"/>
        <v>Low</v>
      </c>
      <c r="S207" t="str">
        <f t="shared" si="27"/>
        <v>Very High</v>
      </c>
    </row>
    <row r="208" spans="1:19" x14ac:dyDescent="0.3">
      <c r="A208">
        <v>207</v>
      </c>
      <c r="B208" t="s">
        <v>16</v>
      </c>
      <c r="C208">
        <v>2006</v>
      </c>
      <c r="D208">
        <v>31715</v>
      </c>
      <c r="E208" t="s">
        <v>22</v>
      </c>
      <c r="F208" t="s">
        <v>14</v>
      </c>
      <c r="G208" t="s">
        <v>20</v>
      </c>
      <c r="H208">
        <v>1415</v>
      </c>
      <c r="I208">
        <v>71.5</v>
      </c>
      <c r="J208" s="2">
        <v>5.0999999999999996</v>
      </c>
      <c r="K208">
        <v>5</v>
      </c>
      <c r="L208" s="1">
        <v>18251.150000000001</v>
      </c>
      <c r="M208">
        <f t="shared" si="21"/>
        <v>18</v>
      </c>
      <c r="N208">
        <f t="shared" si="22"/>
        <v>1013.9527777777779</v>
      </c>
      <c r="O208">
        <f t="shared" si="23"/>
        <v>1761.9444444444443</v>
      </c>
      <c r="P208">
        <f t="shared" si="24"/>
        <v>50.530035335689043</v>
      </c>
      <c r="Q208" t="str">
        <f t="shared" si="25"/>
        <v>Old (12+ years)</v>
      </c>
      <c r="R208" t="str">
        <f t="shared" si="26"/>
        <v>Low</v>
      </c>
      <c r="S208" t="str">
        <f t="shared" si="27"/>
        <v>Low</v>
      </c>
    </row>
    <row r="209" spans="1:19" x14ac:dyDescent="0.3">
      <c r="A209">
        <v>208</v>
      </c>
      <c r="B209" t="s">
        <v>25</v>
      </c>
      <c r="C209">
        <v>2019</v>
      </c>
      <c r="D209">
        <v>32605</v>
      </c>
      <c r="E209" t="s">
        <v>13</v>
      </c>
      <c r="F209" t="s">
        <v>14</v>
      </c>
      <c r="G209" t="s">
        <v>15</v>
      </c>
      <c r="H209">
        <v>3053</v>
      </c>
      <c r="I209">
        <v>312</v>
      </c>
      <c r="J209" s="2">
        <v>29.99</v>
      </c>
      <c r="K209">
        <v>7</v>
      </c>
      <c r="L209" s="1">
        <v>96140.02</v>
      </c>
      <c r="M209">
        <f t="shared" si="21"/>
        <v>5</v>
      </c>
      <c r="N209">
        <f t="shared" si="22"/>
        <v>19228.004000000001</v>
      </c>
      <c r="O209">
        <f t="shared" si="23"/>
        <v>6521</v>
      </c>
      <c r="P209">
        <f t="shared" si="24"/>
        <v>102.19456272518835</v>
      </c>
      <c r="Q209" t="str">
        <f t="shared" si="25"/>
        <v>Recent (4-7 years)</v>
      </c>
      <c r="R209" t="str">
        <f t="shared" si="26"/>
        <v>Excellent</v>
      </c>
      <c r="S209" t="str">
        <f t="shared" si="27"/>
        <v>Very High</v>
      </c>
    </row>
    <row r="210" spans="1:19" x14ac:dyDescent="0.3">
      <c r="A210">
        <v>209</v>
      </c>
      <c r="B210" t="s">
        <v>24</v>
      </c>
      <c r="C210">
        <v>2009</v>
      </c>
      <c r="D210">
        <v>104853</v>
      </c>
      <c r="E210" t="s">
        <v>26</v>
      </c>
      <c r="F210" t="s">
        <v>14</v>
      </c>
      <c r="G210" t="s">
        <v>20</v>
      </c>
      <c r="H210">
        <v>4938</v>
      </c>
      <c r="I210">
        <v>551.20000000000005</v>
      </c>
      <c r="J210" s="2">
        <v>25.06</v>
      </c>
      <c r="K210">
        <v>5</v>
      </c>
      <c r="L210" s="1">
        <v>49188.71</v>
      </c>
      <c r="M210">
        <f t="shared" si="21"/>
        <v>15</v>
      </c>
      <c r="N210">
        <f t="shared" si="22"/>
        <v>3279.2473333333332</v>
      </c>
      <c r="O210">
        <f t="shared" si="23"/>
        <v>6990.2</v>
      </c>
      <c r="P210">
        <f t="shared" si="24"/>
        <v>111.62413932766303</v>
      </c>
      <c r="Q210" t="str">
        <f t="shared" si="25"/>
        <v>Old (12+ years)</v>
      </c>
      <c r="R210" t="str">
        <f t="shared" si="26"/>
        <v>Excellent</v>
      </c>
      <c r="S210" t="str">
        <f t="shared" si="27"/>
        <v>Very High</v>
      </c>
    </row>
    <row r="211" spans="1:19" x14ac:dyDescent="0.3">
      <c r="A211">
        <v>210</v>
      </c>
      <c r="B211" t="s">
        <v>25</v>
      </c>
      <c r="C211">
        <v>2005</v>
      </c>
      <c r="D211">
        <v>36174</v>
      </c>
      <c r="E211" t="s">
        <v>17</v>
      </c>
      <c r="F211" t="s">
        <v>18</v>
      </c>
      <c r="G211" t="s">
        <v>15</v>
      </c>
      <c r="H211">
        <v>1664</v>
      </c>
      <c r="I211">
        <v>381.8</v>
      </c>
      <c r="J211" s="2">
        <v>24.67</v>
      </c>
      <c r="K211">
        <v>5</v>
      </c>
      <c r="L211" s="1">
        <v>60589.29</v>
      </c>
      <c r="M211">
        <f t="shared" si="21"/>
        <v>19</v>
      </c>
      <c r="N211">
        <f t="shared" si="22"/>
        <v>3188.91</v>
      </c>
      <c r="O211">
        <f t="shared" si="23"/>
        <v>1903.8947368421052</v>
      </c>
      <c r="P211">
        <f t="shared" si="24"/>
        <v>229.44711538461542</v>
      </c>
      <c r="Q211" t="str">
        <f t="shared" si="25"/>
        <v>Old (12+ years)</v>
      </c>
      <c r="R211" t="str">
        <f t="shared" si="26"/>
        <v>Good</v>
      </c>
      <c r="S211" t="str">
        <f t="shared" si="27"/>
        <v>Very High</v>
      </c>
    </row>
    <row r="212" spans="1:19" x14ac:dyDescent="0.3">
      <c r="A212">
        <v>211</v>
      </c>
      <c r="B212" t="s">
        <v>25</v>
      </c>
      <c r="C212">
        <v>2008</v>
      </c>
      <c r="D212">
        <v>146028</v>
      </c>
      <c r="E212" t="s">
        <v>13</v>
      </c>
      <c r="F212" t="s">
        <v>14</v>
      </c>
      <c r="G212" t="s">
        <v>23</v>
      </c>
      <c r="H212">
        <v>2068</v>
      </c>
      <c r="I212">
        <v>346</v>
      </c>
      <c r="J212" s="2">
        <v>17.739999999999998</v>
      </c>
      <c r="K212">
        <v>4</v>
      </c>
      <c r="L212" s="1">
        <v>106036.12</v>
      </c>
      <c r="M212">
        <f t="shared" si="21"/>
        <v>16</v>
      </c>
      <c r="N212">
        <f t="shared" si="22"/>
        <v>6627.2574999999997</v>
      </c>
      <c r="O212">
        <f t="shared" si="23"/>
        <v>9126.75</v>
      </c>
      <c r="P212">
        <f t="shared" si="24"/>
        <v>167.31141199226306</v>
      </c>
      <c r="Q212" t="str">
        <f t="shared" si="25"/>
        <v>Old (12+ years)</v>
      </c>
      <c r="R212" t="str">
        <f t="shared" si="26"/>
        <v>Average</v>
      </c>
      <c r="S212" t="str">
        <f t="shared" si="27"/>
        <v>Very High</v>
      </c>
    </row>
    <row r="213" spans="1:19" x14ac:dyDescent="0.3">
      <c r="A213">
        <v>212</v>
      </c>
      <c r="B213" t="s">
        <v>16</v>
      </c>
      <c r="C213">
        <v>2019</v>
      </c>
      <c r="D213">
        <v>81373</v>
      </c>
      <c r="E213" t="s">
        <v>17</v>
      </c>
      <c r="F213" t="s">
        <v>14</v>
      </c>
      <c r="G213" t="s">
        <v>23</v>
      </c>
      <c r="H213">
        <v>1584</v>
      </c>
      <c r="I213">
        <v>179.9</v>
      </c>
      <c r="J213" s="2">
        <v>12.5</v>
      </c>
      <c r="K213">
        <v>2</v>
      </c>
      <c r="L213" s="1">
        <v>51310.61</v>
      </c>
      <c r="M213">
        <f t="shared" si="21"/>
        <v>5</v>
      </c>
      <c r="N213">
        <f t="shared" si="22"/>
        <v>10262.121999999999</v>
      </c>
      <c r="O213">
        <f t="shared" si="23"/>
        <v>16274.6</v>
      </c>
      <c r="P213">
        <f t="shared" si="24"/>
        <v>113.57323232323232</v>
      </c>
      <c r="Q213" t="str">
        <f t="shared" si="25"/>
        <v>Recent (4-7 years)</v>
      </c>
      <c r="R213" t="str">
        <f t="shared" si="26"/>
        <v>Low</v>
      </c>
      <c r="S213" t="str">
        <f t="shared" si="27"/>
        <v>High</v>
      </c>
    </row>
    <row r="214" spans="1:19" x14ac:dyDescent="0.3">
      <c r="A214">
        <v>213</v>
      </c>
      <c r="B214" t="s">
        <v>12</v>
      </c>
      <c r="C214">
        <v>2024</v>
      </c>
      <c r="D214">
        <v>74252</v>
      </c>
      <c r="E214" t="s">
        <v>13</v>
      </c>
      <c r="F214" t="s">
        <v>18</v>
      </c>
      <c r="G214" t="s">
        <v>23</v>
      </c>
      <c r="H214">
        <v>4978</v>
      </c>
      <c r="I214">
        <v>232.2</v>
      </c>
      <c r="J214" s="2">
        <v>8.7799999999999994</v>
      </c>
      <c r="K214">
        <v>5</v>
      </c>
      <c r="L214" s="1">
        <v>65886.77</v>
      </c>
      <c r="M214">
        <f t="shared" si="21"/>
        <v>0</v>
      </c>
      <c r="N214">
        <f t="shared" si="22"/>
        <v>65886.77</v>
      </c>
      <c r="O214">
        <f t="shared" si="23"/>
        <v>74252</v>
      </c>
      <c r="P214">
        <f t="shared" si="24"/>
        <v>46.645239051828042</v>
      </c>
      <c r="Q214" t="str">
        <f t="shared" si="25"/>
        <v>New (0-3 years)</v>
      </c>
      <c r="R214" t="str">
        <f t="shared" si="26"/>
        <v>Low</v>
      </c>
      <c r="S214" t="str">
        <f t="shared" si="27"/>
        <v>Very High</v>
      </c>
    </row>
    <row r="215" spans="1:19" x14ac:dyDescent="0.3">
      <c r="A215">
        <v>214</v>
      </c>
      <c r="B215" t="s">
        <v>16</v>
      </c>
      <c r="C215">
        <v>2023</v>
      </c>
      <c r="D215">
        <v>198021</v>
      </c>
      <c r="E215" t="s">
        <v>22</v>
      </c>
      <c r="F215" t="s">
        <v>18</v>
      </c>
      <c r="G215" t="s">
        <v>20</v>
      </c>
      <c r="H215">
        <v>3037</v>
      </c>
      <c r="I215">
        <v>517.1</v>
      </c>
      <c r="J215" s="2">
        <v>12.12</v>
      </c>
      <c r="K215">
        <v>6</v>
      </c>
      <c r="L215" s="1">
        <v>8768.06</v>
      </c>
      <c r="M215">
        <f t="shared" si="21"/>
        <v>1</v>
      </c>
      <c r="N215">
        <f t="shared" si="22"/>
        <v>8768.06</v>
      </c>
      <c r="O215">
        <f t="shared" si="23"/>
        <v>198021</v>
      </c>
      <c r="P215">
        <f t="shared" si="24"/>
        <v>170.26671056964111</v>
      </c>
      <c r="Q215" t="str">
        <f t="shared" si="25"/>
        <v>New (0-3 years)</v>
      </c>
      <c r="R215" t="str">
        <f t="shared" si="26"/>
        <v>Low</v>
      </c>
      <c r="S215" t="str">
        <f t="shared" si="27"/>
        <v>Very High</v>
      </c>
    </row>
    <row r="216" spans="1:19" x14ac:dyDescent="0.3">
      <c r="A216">
        <v>215</v>
      </c>
      <c r="B216" t="s">
        <v>30</v>
      </c>
      <c r="C216">
        <v>2007</v>
      </c>
      <c r="D216">
        <v>198718</v>
      </c>
      <c r="E216" t="s">
        <v>22</v>
      </c>
      <c r="F216" t="s">
        <v>18</v>
      </c>
      <c r="G216" t="s">
        <v>15</v>
      </c>
      <c r="H216">
        <v>4854</v>
      </c>
      <c r="I216">
        <v>353.2</v>
      </c>
      <c r="J216" s="2">
        <v>14.4</v>
      </c>
      <c r="K216">
        <v>2</v>
      </c>
      <c r="L216" s="1">
        <v>3274.65</v>
      </c>
      <c r="M216">
        <f t="shared" si="21"/>
        <v>17</v>
      </c>
      <c r="N216">
        <f t="shared" si="22"/>
        <v>192.62647058823529</v>
      </c>
      <c r="O216">
        <f t="shared" si="23"/>
        <v>11689.294117647059</v>
      </c>
      <c r="P216">
        <f t="shared" si="24"/>
        <v>72.764730119489073</v>
      </c>
      <c r="Q216" t="str">
        <f t="shared" si="25"/>
        <v>Old (12+ years)</v>
      </c>
      <c r="R216" t="str">
        <f t="shared" si="26"/>
        <v>Low</v>
      </c>
      <c r="S216" t="str">
        <f t="shared" si="27"/>
        <v>Very High</v>
      </c>
    </row>
    <row r="217" spans="1:19" x14ac:dyDescent="0.3">
      <c r="A217">
        <v>216</v>
      </c>
      <c r="B217" t="s">
        <v>29</v>
      </c>
      <c r="C217">
        <v>2024</v>
      </c>
      <c r="D217">
        <v>75017</v>
      </c>
      <c r="E217" t="s">
        <v>13</v>
      </c>
      <c r="F217" t="s">
        <v>14</v>
      </c>
      <c r="G217" t="s">
        <v>23</v>
      </c>
      <c r="H217">
        <v>1735</v>
      </c>
      <c r="I217">
        <v>328.3</v>
      </c>
      <c r="J217" s="2">
        <v>23.91</v>
      </c>
      <c r="K217">
        <v>6</v>
      </c>
      <c r="L217" s="1">
        <v>31641.59</v>
      </c>
      <c r="M217">
        <f t="shared" si="21"/>
        <v>0</v>
      </c>
      <c r="N217">
        <f t="shared" si="22"/>
        <v>31641.59</v>
      </c>
      <c r="O217">
        <f t="shared" si="23"/>
        <v>75017</v>
      </c>
      <c r="P217">
        <f t="shared" si="24"/>
        <v>189.22190201729106</v>
      </c>
      <c r="Q217" t="str">
        <f t="shared" si="25"/>
        <v>New (0-3 years)</v>
      </c>
      <c r="R217" t="str">
        <f t="shared" si="26"/>
        <v>Good</v>
      </c>
      <c r="S217" t="str">
        <f t="shared" si="27"/>
        <v>Very High</v>
      </c>
    </row>
    <row r="218" spans="1:19" x14ac:dyDescent="0.3">
      <c r="A218">
        <v>217</v>
      </c>
      <c r="B218" t="s">
        <v>19</v>
      </c>
      <c r="C218">
        <v>2015</v>
      </c>
      <c r="D218">
        <v>68037</v>
      </c>
      <c r="E218" t="s">
        <v>17</v>
      </c>
      <c r="F218" t="s">
        <v>14</v>
      </c>
      <c r="G218" t="s">
        <v>15</v>
      </c>
      <c r="H218">
        <v>4780</v>
      </c>
      <c r="I218">
        <v>95.8</v>
      </c>
      <c r="J218" s="2">
        <v>18.489999999999998</v>
      </c>
      <c r="K218">
        <v>6</v>
      </c>
      <c r="L218" s="1">
        <v>82628.22</v>
      </c>
      <c r="M218">
        <f t="shared" si="21"/>
        <v>9</v>
      </c>
      <c r="N218">
        <f t="shared" si="22"/>
        <v>9180.9133333333339</v>
      </c>
      <c r="O218">
        <f t="shared" si="23"/>
        <v>7559.666666666667</v>
      </c>
      <c r="P218">
        <f t="shared" si="24"/>
        <v>20.0418410041841</v>
      </c>
      <c r="Q218" t="str">
        <f t="shared" si="25"/>
        <v>Mature (8-12 years)</v>
      </c>
      <c r="R218" t="str">
        <f t="shared" si="26"/>
        <v>Average</v>
      </c>
      <c r="S218" t="str">
        <f t="shared" si="27"/>
        <v>Low</v>
      </c>
    </row>
    <row r="219" spans="1:19" x14ac:dyDescent="0.3">
      <c r="A219">
        <v>218</v>
      </c>
      <c r="B219" t="s">
        <v>12</v>
      </c>
      <c r="C219">
        <v>2021</v>
      </c>
      <c r="D219">
        <v>94818</v>
      </c>
      <c r="E219" t="s">
        <v>26</v>
      </c>
      <c r="F219" t="s">
        <v>14</v>
      </c>
      <c r="G219" t="s">
        <v>23</v>
      </c>
      <c r="H219">
        <v>3138</v>
      </c>
      <c r="I219">
        <v>49</v>
      </c>
      <c r="J219" s="2">
        <v>6.94</v>
      </c>
      <c r="K219">
        <v>2</v>
      </c>
      <c r="L219" s="1">
        <v>17187.990000000002</v>
      </c>
      <c r="M219">
        <f t="shared" si="21"/>
        <v>3</v>
      </c>
      <c r="N219">
        <f t="shared" si="22"/>
        <v>5729.3300000000008</v>
      </c>
      <c r="O219">
        <f t="shared" si="23"/>
        <v>31606</v>
      </c>
      <c r="P219">
        <f t="shared" si="24"/>
        <v>15.61504142766093</v>
      </c>
      <c r="Q219" t="str">
        <f t="shared" si="25"/>
        <v>New (0-3 years)</v>
      </c>
      <c r="R219" t="str">
        <f t="shared" si="26"/>
        <v>Low</v>
      </c>
      <c r="S219" t="str">
        <f t="shared" si="27"/>
        <v>Low</v>
      </c>
    </row>
    <row r="220" spans="1:19" x14ac:dyDescent="0.3">
      <c r="A220">
        <v>219</v>
      </c>
      <c r="B220" t="s">
        <v>28</v>
      </c>
      <c r="C220">
        <v>2017</v>
      </c>
      <c r="D220">
        <v>11548</v>
      </c>
      <c r="E220" t="s">
        <v>26</v>
      </c>
      <c r="F220" t="s">
        <v>18</v>
      </c>
      <c r="G220" t="s">
        <v>20</v>
      </c>
      <c r="H220">
        <v>1125</v>
      </c>
      <c r="I220">
        <v>579.70000000000005</v>
      </c>
      <c r="J220" s="2">
        <v>5.45</v>
      </c>
      <c r="K220">
        <v>2</v>
      </c>
      <c r="L220" s="1">
        <v>16310.15</v>
      </c>
      <c r="M220">
        <f t="shared" si="21"/>
        <v>7</v>
      </c>
      <c r="N220">
        <f t="shared" si="22"/>
        <v>2330.0214285714287</v>
      </c>
      <c r="O220">
        <f t="shared" si="23"/>
        <v>1649.7142857142858</v>
      </c>
      <c r="P220">
        <f t="shared" si="24"/>
        <v>515.28888888888889</v>
      </c>
      <c r="Q220" t="str">
        <f t="shared" si="25"/>
        <v>Recent (4-7 years)</v>
      </c>
      <c r="R220" t="str">
        <f t="shared" si="26"/>
        <v>Low</v>
      </c>
      <c r="S220" t="str">
        <f t="shared" si="27"/>
        <v>Very High</v>
      </c>
    </row>
    <row r="221" spans="1:19" x14ac:dyDescent="0.3">
      <c r="A221">
        <v>220</v>
      </c>
      <c r="B221" t="s">
        <v>19</v>
      </c>
      <c r="C221">
        <v>2015</v>
      </c>
      <c r="D221">
        <v>121981</v>
      </c>
      <c r="E221" t="s">
        <v>22</v>
      </c>
      <c r="F221" t="s">
        <v>14</v>
      </c>
      <c r="G221" t="s">
        <v>20</v>
      </c>
      <c r="H221">
        <v>2334</v>
      </c>
      <c r="I221">
        <v>251.1</v>
      </c>
      <c r="J221" s="2">
        <v>7.56</v>
      </c>
      <c r="K221">
        <v>6</v>
      </c>
      <c r="L221" s="1">
        <v>51082.39</v>
      </c>
      <c r="M221">
        <f t="shared" si="21"/>
        <v>9</v>
      </c>
      <c r="N221">
        <f t="shared" si="22"/>
        <v>5675.8211111111113</v>
      </c>
      <c r="O221">
        <f t="shared" si="23"/>
        <v>13553.444444444445</v>
      </c>
      <c r="P221">
        <f t="shared" si="24"/>
        <v>107.58354755784062</v>
      </c>
      <c r="Q221" t="str">
        <f t="shared" si="25"/>
        <v>Mature (8-12 years)</v>
      </c>
      <c r="R221" t="str">
        <f t="shared" si="26"/>
        <v>Low</v>
      </c>
      <c r="S221" t="str">
        <f t="shared" si="27"/>
        <v>Very High</v>
      </c>
    </row>
    <row r="222" spans="1:19" x14ac:dyDescent="0.3">
      <c r="A222">
        <v>221</v>
      </c>
      <c r="B222" t="s">
        <v>29</v>
      </c>
      <c r="C222">
        <v>2006</v>
      </c>
      <c r="D222">
        <v>159249</v>
      </c>
      <c r="E222" t="s">
        <v>26</v>
      </c>
      <c r="F222" t="s">
        <v>18</v>
      </c>
      <c r="G222" t="s">
        <v>15</v>
      </c>
      <c r="H222">
        <v>4280</v>
      </c>
      <c r="I222">
        <v>377.8</v>
      </c>
      <c r="J222" s="2">
        <v>15.26</v>
      </c>
      <c r="K222">
        <v>4</v>
      </c>
      <c r="L222" s="1">
        <v>78796.929999999993</v>
      </c>
      <c r="M222">
        <f t="shared" si="21"/>
        <v>18</v>
      </c>
      <c r="N222">
        <f t="shared" si="22"/>
        <v>4377.6072222222219</v>
      </c>
      <c r="O222">
        <f t="shared" si="23"/>
        <v>8847.1666666666661</v>
      </c>
      <c r="P222">
        <f t="shared" si="24"/>
        <v>88.271028037383175</v>
      </c>
      <c r="Q222" t="str">
        <f t="shared" si="25"/>
        <v>Old (12+ years)</v>
      </c>
      <c r="R222" t="str">
        <f t="shared" si="26"/>
        <v>Average</v>
      </c>
      <c r="S222" t="str">
        <f t="shared" si="27"/>
        <v>Very High</v>
      </c>
    </row>
    <row r="223" spans="1:19" x14ac:dyDescent="0.3">
      <c r="A223">
        <v>222</v>
      </c>
      <c r="B223" t="s">
        <v>30</v>
      </c>
      <c r="C223">
        <v>2013</v>
      </c>
      <c r="D223">
        <v>29022</v>
      </c>
      <c r="E223" t="s">
        <v>22</v>
      </c>
      <c r="F223" t="s">
        <v>14</v>
      </c>
      <c r="G223" t="s">
        <v>20</v>
      </c>
      <c r="H223">
        <v>4661</v>
      </c>
      <c r="I223">
        <v>84.6</v>
      </c>
      <c r="J223" s="2">
        <v>28.33</v>
      </c>
      <c r="K223">
        <v>7</v>
      </c>
      <c r="L223" s="1">
        <v>86312.42</v>
      </c>
      <c r="M223">
        <f t="shared" si="21"/>
        <v>11</v>
      </c>
      <c r="N223">
        <f t="shared" si="22"/>
        <v>7846.5836363636363</v>
      </c>
      <c r="O223">
        <f t="shared" si="23"/>
        <v>2638.3636363636365</v>
      </c>
      <c r="P223">
        <f t="shared" si="24"/>
        <v>18.150611456768935</v>
      </c>
      <c r="Q223" t="str">
        <f t="shared" si="25"/>
        <v>Mature (8-12 years)</v>
      </c>
      <c r="R223" t="str">
        <f t="shared" si="26"/>
        <v>Excellent</v>
      </c>
      <c r="S223" t="str">
        <f t="shared" si="27"/>
        <v>Low</v>
      </c>
    </row>
    <row r="224" spans="1:19" x14ac:dyDescent="0.3">
      <c r="A224">
        <v>223</v>
      </c>
      <c r="B224" t="s">
        <v>30</v>
      </c>
      <c r="C224">
        <v>2006</v>
      </c>
      <c r="D224">
        <v>111297</v>
      </c>
      <c r="E224" t="s">
        <v>26</v>
      </c>
      <c r="F224" t="s">
        <v>18</v>
      </c>
      <c r="G224" t="s">
        <v>20</v>
      </c>
      <c r="H224">
        <v>2785</v>
      </c>
      <c r="I224">
        <v>422.5</v>
      </c>
      <c r="J224" s="2">
        <v>20.94</v>
      </c>
      <c r="K224">
        <v>7</v>
      </c>
      <c r="L224" s="1">
        <v>23878.73</v>
      </c>
      <c r="M224">
        <f t="shared" si="21"/>
        <v>18</v>
      </c>
      <c r="N224">
        <f t="shared" si="22"/>
        <v>1326.596111111111</v>
      </c>
      <c r="O224">
        <f t="shared" si="23"/>
        <v>6183.166666666667</v>
      </c>
      <c r="P224">
        <f t="shared" si="24"/>
        <v>151.70556552962296</v>
      </c>
      <c r="Q224" t="str">
        <f t="shared" si="25"/>
        <v>Old (12+ years)</v>
      </c>
      <c r="R224" t="str">
        <f t="shared" si="26"/>
        <v>Good</v>
      </c>
      <c r="S224" t="str">
        <f t="shared" si="27"/>
        <v>Very High</v>
      </c>
    </row>
    <row r="225" spans="1:19" x14ac:dyDescent="0.3">
      <c r="A225">
        <v>224</v>
      </c>
      <c r="B225" t="s">
        <v>28</v>
      </c>
      <c r="C225">
        <v>2013</v>
      </c>
      <c r="D225">
        <v>141614</v>
      </c>
      <c r="E225" t="s">
        <v>13</v>
      </c>
      <c r="F225" t="s">
        <v>14</v>
      </c>
      <c r="G225" t="s">
        <v>15</v>
      </c>
      <c r="H225">
        <v>3578</v>
      </c>
      <c r="I225">
        <v>562.20000000000005</v>
      </c>
      <c r="J225" s="2">
        <v>25.05</v>
      </c>
      <c r="K225">
        <v>4</v>
      </c>
      <c r="L225" s="1">
        <v>12311.81</v>
      </c>
      <c r="M225">
        <f t="shared" si="21"/>
        <v>11</v>
      </c>
      <c r="N225">
        <f t="shared" si="22"/>
        <v>1119.2554545454545</v>
      </c>
      <c r="O225">
        <f t="shared" si="23"/>
        <v>12874</v>
      </c>
      <c r="P225">
        <f t="shared" si="24"/>
        <v>157.12688652878705</v>
      </c>
      <c r="Q225" t="str">
        <f t="shared" si="25"/>
        <v>Mature (8-12 years)</v>
      </c>
      <c r="R225" t="str">
        <f t="shared" si="26"/>
        <v>Excellent</v>
      </c>
      <c r="S225" t="str">
        <f t="shared" si="27"/>
        <v>Very High</v>
      </c>
    </row>
    <row r="226" spans="1:19" x14ac:dyDescent="0.3">
      <c r="A226">
        <v>225</v>
      </c>
      <c r="B226" t="s">
        <v>12</v>
      </c>
      <c r="C226">
        <v>2013</v>
      </c>
      <c r="D226">
        <v>65428</v>
      </c>
      <c r="E226" t="s">
        <v>22</v>
      </c>
      <c r="F226" t="s">
        <v>14</v>
      </c>
      <c r="G226" t="s">
        <v>23</v>
      </c>
      <c r="H226">
        <v>2070</v>
      </c>
      <c r="I226">
        <v>362.4</v>
      </c>
      <c r="J226" s="2">
        <v>16.66</v>
      </c>
      <c r="K226">
        <v>2</v>
      </c>
      <c r="L226" s="1">
        <v>113026.45</v>
      </c>
      <c r="M226">
        <f t="shared" si="21"/>
        <v>11</v>
      </c>
      <c r="N226">
        <f t="shared" si="22"/>
        <v>10275.131818181819</v>
      </c>
      <c r="O226">
        <f t="shared" si="23"/>
        <v>5948</v>
      </c>
      <c r="P226">
        <f t="shared" si="24"/>
        <v>175.07246376811594</v>
      </c>
      <c r="Q226" t="str">
        <f t="shared" si="25"/>
        <v>Mature (8-12 years)</v>
      </c>
      <c r="R226" t="str">
        <f t="shared" si="26"/>
        <v>Average</v>
      </c>
      <c r="S226" t="str">
        <f t="shared" si="27"/>
        <v>Very High</v>
      </c>
    </row>
    <row r="227" spans="1:19" x14ac:dyDescent="0.3">
      <c r="A227">
        <v>226</v>
      </c>
      <c r="B227" t="s">
        <v>24</v>
      </c>
      <c r="C227">
        <v>2012</v>
      </c>
      <c r="D227">
        <v>158812</v>
      </c>
      <c r="E227" t="s">
        <v>22</v>
      </c>
      <c r="F227" t="s">
        <v>14</v>
      </c>
      <c r="G227" t="s">
        <v>20</v>
      </c>
      <c r="H227">
        <v>1440</v>
      </c>
      <c r="I227">
        <v>110.6</v>
      </c>
      <c r="J227" s="2">
        <v>14.04</v>
      </c>
      <c r="K227">
        <v>6</v>
      </c>
      <c r="L227" s="1">
        <v>33497.97</v>
      </c>
      <c r="M227">
        <f t="shared" si="21"/>
        <v>12</v>
      </c>
      <c r="N227">
        <f t="shared" si="22"/>
        <v>2791.4974999999999</v>
      </c>
      <c r="O227">
        <f t="shared" si="23"/>
        <v>13234.333333333334</v>
      </c>
      <c r="P227">
        <f t="shared" si="24"/>
        <v>76.805555555555557</v>
      </c>
      <c r="Q227" t="str">
        <f t="shared" si="25"/>
        <v>Mature (8-12 years)</v>
      </c>
      <c r="R227" t="str">
        <f t="shared" si="26"/>
        <v>Low</v>
      </c>
      <c r="S227" t="str">
        <f t="shared" si="27"/>
        <v>Medium</v>
      </c>
    </row>
    <row r="228" spans="1:19" x14ac:dyDescent="0.3">
      <c r="A228">
        <v>227</v>
      </c>
      <c r="B228" t="s">
        <v>25</v>
      </c>
      <c r="C228">
        <v>2021</v>
      </c>
      <c r="D228">
        <v>64353</v>
      </c>
      <c r="E228" t="s">
        <v>13</v>
      </c>
      <c r="F228" t="s">
        <v>18</v>
      </c>
      <c r="G228" t="s">
        <v>15</v>
      </c>
      <c r="H228">
        <v>4878</v>
      </c>
      <c r="I228">
        <v>365.8</v>
      </c>
      <c r="J228" s="2">
        <v>7.71</v>
      </c>
      <c r="K228">
        <v>7</v>
      </c>
      <c r="L228" s="1">
        <v>102841.54</v>
      </c>
      <c r="M228">
        <f t="shared" si="21"/>
        <v>3</v>
      </c>
      <c r="N228">
        <f t="shared" si="22"/>
        <v>34280.513333333329</v>
      </c>
      <c r="O228">
        <f t="shared" si="23"/>
        <v>21451</v>
      </c>
      <c r="P228">
        <f t="shared" si="24"/>
        <v>74.989749897498982</v>
      </c>
      <c r="Q228" t="str">
        <f t="shared" si="25"/>
        <v>New (0-3 years)</v>
      </c>
      <c r="R228" t="str">
        <f t="shared" si="26"/>
        <v>Low</v>
      </c>
      <c r="S228" t="str">
        <f t="shared" si="27"/>
        <v>Very High</v>
      </c>
    </row>
    <row r="229" spans="1:19" x14ac:dyDescent="0.3">
      <c r="A229">
        <v>228</v>
      </c>
      <c r="B229" t="s">
        <v>12</v>
      </c>
      <c r="C229">
        <v>2005</v>
      </c>
      <c r="D229">
        <v>118132</v>
      </c>
      <c r="E229" t="s">
        <v>22</v>
      </c>
      <c r="F229" t="s">
        <v>18</v>
      </c>
      <c r="G229" t="s">
        <v>20</v>
      </c>
      <c r="H229">
        <v>2167</v>
      </c>
      <c r="I229">
        <v>469.2</v>
      </c>
      <c r="J229" s="2">
        <v>26.9</v>
      </c>
      <c r="K229">
        <v>6</v>
      </c>
      <c r="L229" s="1">
        <v>104028.5</v>
      </c>
      <c r="M229">
        <f t="shared" si="21"/>
        <v>19</v>
      </c>
      <c r="N229">
        <f t="shared" si="22"/>
        <v>5475.1842105263158</v>
      </c>
      <c r="O229">
        <f t="shared" si="23"/>
        <v>6217.4736842105267</v>
      </c>
      <c r="P229">
        <f t="shared" si="24"/>
        <v>216.52053530226121</v>
      </c>
      <c r="Q229" t="str">
        <f t="shared" si="25"/>
        <v>Old (12+ years)</v>
      </c>
      <c r="R229" t="str">
        <f t="shared" si="26"/>
        <v>Excellent</v>
      </c>
      <c r="S229" t="str">
        <f t="shared" si="27"/>
        <v>Very High</v>
      </c>
    </row>
    <row r="230" spans="1:19" x14ac:dyDescent="0.3">
      <c r="A230">
        <v>229</v>
      </c>
      <c r="B230" t="s">
        <v>24</v>
      </c>
      <c r="C230">
        <v>2015</v>
      </c>
      <c r="D230">
        <v>192604</v>
      </c>
      <c r="E230" t="s">
        <v>26</v>
      </c>
      <c r="F230" t="s">
        <v>14</v>
      </c>
      <c r="G230" t="s">
        <v>20</v>
      </c>
      <c r="H230">
        <v>4842</v>
      </c>
      <c r="I230">
        <v>267.60000000000002</v>
      </c>
      <c r="J230" s="2">
        <v>24.58</v>
      </c>
      <c r="K230">
        <v>4</v>
      </c>
      <c r="L230" s="1">
        <v>93385.14</v>
      </c>
      <c r="M230">
        <f t="shared" si="21"/>
        <v>9</v>
      </c>
      <c r="N230">
        <f t="shared" si="22"/>
        <v>10376.126666666667</v>
      </c>
      <c r="O230">
        <f t="shared" si="23"/>
        <v>21400.444444444445</v>
      </c>
      <c r="P230">
        <f t="shared" si="24"/>
        <v>55.266418835192077</v>
      </c>
      <c r="Q230" t="str">
        <f t="shared" si="25"/>
        <v>Mature (8-12 years)</v>
      </c>
      <c r="R230" t="str">
        <f t="shared" si="26"/>
        <v>Good</v>
      </c>
      <c r="S230" t="str">
        <f t="shared" si="27"/>
        <v>Very High</v>
      </c>
    </row>
    <row r="231" spans="1:19" x14ac:dyDescent="0.3">
      <c r="A231">
        <v>230</v>
      </c>
      <c r="B231" t="s">
        <v>30</v>
      </c>
      <c r="C231">
        <v>2012</v>
      </c>
      <c r="D231">
        <v>21052</v>
      </c>
      <c r="E231" t="s">
        <v>26</v>
      </c>
      <c r="F231" t="s">
        <v>14</v>
      </c>
      <c r="G231" t="s">
        <v>20</v>
      </c>
      <c r="H231">
        <v>3375</v>
      </c>
      <c r="I231">
        <v>532.70000000000005</v>
      </c>
      <c r="J231" s="2">
        <v>9.1999999999999993</v>
      </c>
      <c r="K231">
        <v>6</v>
      </c>
      <c r="L231" s="1">
        <v>22753.53</v>
      </c>
      <c r="M231">
        <f t="shared" si="21"/>
        <v>12</v>
      </c>
      <c r="N231">
        <f t="shared" si="22"/>
        <v>1896.1274999999998</v>
      </c>
      <c r="O231">
        <f t="shared" si="23"/>
        <v>1754.3333333333333</v>
      </c>
      <c r="P231">
        <f t="shared" si="24"/>
        <v>157.83703703703705</v>
      </c>
      <c r="Q231" t="str">
        <f t="shared" si="25"/>
        <v>Mature (8-12 years)</v>
      </c>
      <c r="R231" t="str">
        <f t="shared" si="26"/>
        <v>Low</v>
      </c>
      <c r="S231" t="str">
        <f t="shared" si="27"/>
        <v>Very High</v>
      </c>
    </row>
    <row r="232" spans="1:19" x14ac:dyDescent="0.3">
      <c r="A232">
        <v>231</v>
      </c>
      <c r="B232" t="s">
        <v>16</v>
      </c>
      <c r="C232">
        <v>2014</v>
      </c>
      <c r="D232">
        <v>105689</v>
      </c>
      <c r="E232" t="s">
        <v>22</v>
      </c>
      <c r="F232" t="s">
        <v>14</v>
      </c>
      <c r="G232" t="s">
        <v>20</v>
      </c>
      <c r="H232">
        <v>4403</v>
      </c>
      <c r="I232">
        <v>403.3</v>
      </c>
      <c r="J232" s="2">
        <v>17.809999999999999</v>
      </c>
      <c r="K232">
        <v>4</v>
      </c>
      <c r="L232" s="1">
        <v>99150.77</v>
      </c>
      <c r="M232">
        <f t="shared" si="21"/>
        <v>10</v>
      </c>
      <c r="N232">
        <f t="shared" si="22"/>
        <v>9915.0770000000011</v>
      </c>
      <c r="O232">
        <f t="shared" si="23"/>
        <v>10568.9</v>
      </c>
      <c r="P232">
        <f t="shared" si="24"/>
        <v>91.596638655462201</v>
      </c>
      <c r="Q232" t="str">
        <f t="shared" si="25"/>
        <v>Mature (8-12 years)</v>
      </c>
      <c r="R232" t="str">
        <f t="shared" si="26"/>
        <v>Average</v>
      </c>
      <c r="S232" t="str">
        <f t="shared" si="27"/>
        <v>Very High</v>
      </c>
    </row>
    <row r="233" spans="1:19" x14ac:dyDescent="0.3">
      <c r="A233">
        <v>232</v>
      </c>
      <c r="B233" t="s">
        <v>29</v>
      </c>
      <c r="C233">
        <v>2011</v>
      </c>
      <c r="D233">
        <v>183148</v>
      </c>
      <c r="E233" t="s">
        <v>26</v>
      </c>
      <c r="F233" t="s">
        <v>18</v>
      </c>
      <c r="G233" t="s">
        <v>15</v>
      </c>
      <c r="H233">
        <v>2381</v>
      </c>
      <c r="I233">
        <v>543.6</v>
      </c>
      <c r="J233" s="2">
        <v>17.18</v>
      </c>
      <c r="K233">
        <v>2</v>
      </c>
      <c r="L233" s="1">
        <v>93002.32</v>
      </c>
      <c r="M233">
        <f t="shared" si="21"/>
        <v>13</v>
      </c>
      <c r="N233">
        <f t="shared" si="22"/>
        <v>7154.0246153846156</v>
      </c>
      <c r="O233">
        <f t="shared" si="23"/>
        <v>14088.307692307691</v>
      </c>
      <c r="P233">
        <f t="shared" si="24"/>
        <v>228.307433851323</v>
      </c>
      <c r="Q233" t="str">
        <f t="shared" si="25"/>
        <v>Old (12+ years)</v>
      </c>
      <c r="R233" t="str">
        <f t="shared" si="26"/>
        <v>Average</v>
      </c>
      <c r="S233" t="str">
        <f t="shared" si="27"/>
        <v>Very High</v>
      </c>
    </row>
    <row r="234" spans="1:19" x14ac:dyDescent="0.3">
      <c r="A234">
        <v>233</v>
      </c>
      <c r="B234" t="s">
        <v>28</v>
      </c>
      <c r="C234">
        <v>2007</v>
      </c>
      <c r="D234">
        <v>189492</v>
      </c>
      <c r="E234" t="s">
        <v>17</v>
      </c>
      <c r="F234" t="s">
        <v>14</v>
      </c>
      <c r="G234" t="s">
        <v>15</v>
      </c>
      <c r="H234">
        <v>2786</v>
      </c>
      <c r="I234">
        <v>389.2</v>
      </c>
      <c r="J234" s="2">
        <v>20.63</v>
      </c>
      <c r="K234">
        <v>4</v>
      </c>
      <c r="L234" s="1">
        <v>72816.59</v>
      </c>
      <c r="M234">
        <f t="shared" si="21"/>
        <v>17</v>
      </c>
      <c r="N234">
        <f t="shared" si="22"/>
        <v>4283.3288235294112</v>
      </c>
      <c r="O234">
        <f t="shared" si="23"/>
        <v>11146.588235294117</v>
      </c>
      <c r="P234">
        <f t="shared" si="24"/>
        <v>139.69849246231155</v>
      </c>
      <c r="Q234" t="str">
        <f t="shared" si="25"/>
        <v>Old (12+ years)</v>
      </c>
      <c r="R234" t="str">
        <f t="shared" si="26"/>
        <v>Good</v>
      </c>
      <c r="S234" t="str">
        <f t="shared" si="27"/>
        <v>Very High</v>
      </c>
    </row>
    <row r="235" spans="1:19" x14ac:dyDescent="0.3">
      <c r="A235">
        <v>234</v>
      </c>
      <c r="B235" t="s">
        <v>29</v>
      </c>
      <c r="C235">
        <v>2007</v>
      </c>
      <c r="D235">
        <v>136743</v>
      </c>
      <c r="E235" t="s">
        <v>22</v>
      </c>
      <c r="F235" t="s">
        <v>14</v>
      </c>
      <c r="G235" t="s">
        <v>15</v>
      </c>
      <c r="H235">
        <v>3040</v>
      </c>
      <c r="I235">
        <v>113.5</v>
      </c>
      <c r="J235" s="2">
        <v>28.65</v>
      </c>
      <c r="K235">
        <v>4</v>
      </c>
      <c r="L235" s="1">
        <v>42452.639999999999</v>
      </c>
      <c r="M235">
        <f t="shared" si="21"/>
        <v>17</v>
      </c>
      <c r="N235">
        <f t="shared" si="22"/>
        <v>2497.2141176470586</v>
      </c>
      <c r="O235">
        <f t="shared" si="23"/>
        <v>8043.7058823529414</v>
      </c>
      <c r="P235">
        <f t="shared" si="24"/>
        <v>37.335526315789473</v>
      </c>
      <c r="Q235" t="str">
        <f t="shared" si="25"/>
        <v>Old (12+ years)</v>
      </c>
      <c r="R235" t="str">
        <f t="shared" si="26"/>
        <v>Excellent</v>
      </c>
      <c r="S235" t="str">
        <f t="shared" si="27"/>
        <v>Medium</v>
      </c>
    </row>
    <row r="236" spans="1:19" x14ac:dyDescent="0.3">
      <c r="A236">
        <v>235</v>
      </c>
      <c r="B236" t="s">
        <v>21</v>
      </c>
      <c r="C236">
        <v>2022</v>
      </c>
      <c r="D236">
        <v>5163</v>
      </c>
      <c r="E236" t="s">
        <v>13</v>
      </c>
      <c r="F236" t="s">
        <v>14</v>
      </c>
      <c r="G236" t="s">
        <v>20</v>
      </c>
      <c r="H236">
        <v>4766</v>
      </c>
      <c r="I236">
        <v>213.4</v>
      </c>
      <c r="J236" s="2">
        <v>19.489999999999998</v>
      </c>
      <c r="K236">
        <v>7</v>
      </c>
      <c r="L236" s="1">
        <v>33713.51</v>
      </c>
      <c r="M236">
        <f t="shared" si="21"/>
        <v>2</v>
      </c>
      <c r="N236">
        <f t="shared" si="22"/>
        <v>16856.755000000001</v>
      </c>
      <c r="O236">
        <f t="shared" si="23"/>
        <v>2581.5</v>
      </c>
      <c r="P236">
        <f t="shared" si="24"/>
        <v>44.775493075954678</v>
      </c>
      <c r="Q236" t="str">
        <f t="shared" si="25"/>
        <v>New (0-3 years)</v>
      </c>
      <c r="R236" t="str">
        <f t="shared" si="26"/>
        <v>Average</v>
      </c>
      <c r="S236" t="str">
        <f t="shared" si="27"/>
        <v>Very High</v>
      </c>
    </row>
    <row r="237" spans="1:19" x14ac:dyDescent="0.3">
      <c r="A237">
        <v>236</v>
      </c>
      <c r="B237" t="s">
        <v>21</v>
      </c>
      <c r="C237">
        <v>2009</v>
      </c>
      <c r="D237">
        <v>46424</v>
      </c>
      <c r="E237" t="s">
        <v>17</v>
      </c>
      <c r="F237" t="s">
        <v>14</v>
      </c>
      <c r="G237" t="s">
        <v>20</v>
      </c>
      <c r="H237">
        <v>2905</v>
      </c>
      <c r="I237">
        <v>153</v>
      </c>
      <c r="J237" s="2">
        <v>18.510000000000002</v>
      </c>
      <c r="K237">
        <v>6</v>
      </c>
      <c r="L237" s="1">
        <v>17261.04</v>
      </c>
      <c r="M237">
        <f t="shared" si="21"/>
        <v>15</v>
      </c>
      <c r="N237">
        <f t="shared" si="22"/>
        <v>1150.7360000000001</v>
      </c>
      <c r="O237">
        <f t="shared" si="23"/>
        <v>3094.9333333333334</v>
      </c>
      <c r="P237">
        <f t="shared" si="24"/>
        <v>52.667814113597252</v>
      </c>
      <c r="Q237" t="str">
        <f t="shared" si="25"/>
        <v>Old (12+ years)</v>
      </c>
      <c r="R237" t="str">
        <f t="shared" si="26"/>
        <v>Average</v>
      </c>
      <c r="S237" t="str">
        <f t="shared" si="27"/>
        <v>High</v>
      </c>
    </row>
    <row r="238" spans="1:19" x14ac:dyDescent="0.3">
      <c r="A238">
        <v>237</v>
      </c>
      <c r="B238" t="s">
        <v>12</v>
      </c>
      <c r="C238">
        <v>2016</v>
      </c>
      <c r="D238">
        <v>189816</v>
      </c>
      <c r="E238" t="s">
        <v>22</v>
      </c>
      <c r="F238" t="s">
        <v>18</v>
      </c>
      <c r="G238" t="s">
        <v>20</v>
      </c>
      <c r="H238">
        <v>928</v>
      </c>
      <c r="I238">
        <v>548.9</v>
      </c>
      <c r="J238" s="2">
        <v>6.26</v>
      </c>
      <c r="K238">
        <v>7</v>
      </c>
      <c r="L238" s="1">
        <v>62641.58</v>
      </c>
      <c r="M238">
        <f t="shared" si="21"/>
        <v>8</v>
      </c>
      <c r="N238">
        <f t="shared" si="22"/>
        <v>7830.1975000000002</v>
      </c>
      <c r="O238">
        <f t="shared" si="23"/>
        <v>23727</v>
      </c>
      <c r="P238">
        <f t="shared" si="24"/>
        <v>591.48706896551721</v>
      </c>
      <c r="Q238" t="str">
        <f t="shared" si="25"/>
        <v>Mature (8-12 years)</v>
      </c>
      <c r="R238" t="str">
        <f t="shared" si="26"/>
        <v>Low</v>
      </c>
      <c r="S238" t="str">
        <f t="shared" si="27"/>
        <v>Very High</v>
      </c>
    </row>
    <row r="239" spans="1:19" x14ac:dyDescent="0.3">
      <c r="A239">
        <v>238</v>
      </c>
      <c r="B239" t="s">
        <v>30</v>
      </c>
      <c r="C239">
        <v>2016</v>
      </c>
      <c r="D239">
        <v>146706</v>
      </c>
      <c r="E239" t="s">
        <v>13</v>
      </c>
      <c r="F239" t="s">
        <v>18</v>
      </c>
      <c r="G239" t="s">
        <v>15</v>
      </c>
      <c r="H239">
        <v>4796</v>
      </c>
      <c r="I239">
        <v>465.8</v>
      </c>
      <c r="J239" s="2">
        <v>6.57</v>
      </c>
      <c r="K239">
        <v>5</v>
      </c>
      <c r="L239" s="1">
        <v>71475.520000000004</v>
      </c>
      <c r="M239">
        <f t="shared" si="21"/>
        <v>8</v>
      </c>
      <c r="N239">
        <f t="shared" si="22"/>
        <v>8934.44</v>
      </c>
      <c r="O239">
        <f t="shared" si="23"/>
        <v>18338.25</v>
      </c>
      <c r="P239">
        <f t="shared" si="24"/>
        <v>97.122602168473719</v>
      </c>
      <c r="Q239" t="str">
        <f t="shared" si="25"/>
        <v>Mature (8-12 years)</v>
      </c>
      <c r="R239" t="str">
        <f t="shared" si="26"/>
        <v>Low</v>
      </c>
      <c r="S239" t="str">
        <f t="shared" si="27"/>
        <v>Very High</v>
      </c>
    </row>
    <row r="240" spans="1:19" x14ac:dyDescent="0.3">
      <c r="A240">
        <v>239</v>
      </c>
      <c r="B240" t="s">
        <v>30</v>
      </c>
      <c r="C240">
        <v>2023</v>
      </c>
      <c r="D240">
        <v>140870</v>
      </c>
      <c r="E240" t="s">
        <v>26</v>
      </c>
      <c r="F240" t="s">
        <v>14</v>
      </c>
      <c r="G240" t="s">
        <v>20</v>
      </c>
      <c r="H240">
        <v>1651</v>
      </c>
      <c r="I240">
        <v>418.8</v>
      </c>
      <c r="J240" s="2">
        <v>9.68</v>
      </c>
      <c r="K240">
        <v>4</v>
      </c>
      <c r="L240" s="1">
        <v>45042.66</v>
      </c>
      <c r="M240">
        <f t="shared" si="21"/>
        <v>1</v>
      </c>
      <c r="N240">
        <f t="shared" si="22"/>
        <v>45042.66</v>
      </c>
      <c r="O240">
        <f t="shared" si="23"/>
        <v>140870</v>
      </c>
      <c r="P240">
        <f t="shared" si="24"/>
        <v>253.66444579043005</v>
      </c>
      <c r="Q240" t="str">
        <f t="shared" si="25"/>
        <v>New (0-3 years)</v>
      </c>
      <c r="R240" t="str">
        <f t="shared" si="26"/>
        <v>Low</v>
      </c>
      <c r="S240" t="str">
        <f t="shared" si="27"/>
        <v>Very High</v>
      </c>
    </row>
    <row r="241" spans="1:19" x14ac:dyDescent="0.3">
      <c r="A241">
        <v>240</v>
      </c>
      <c r="B241" t="s">
        <v>25</v>
      </c>
      <c r="C241">
        <v>2010</v>
      </c>
      <c r="D241">
        <v>27420</v>
      </c>
      <c r="E241" t="s">
        <v>13</v>
      </c>
      <c r="F241" t="s">
        <v>14</v>
      </c>
      <c r="G241" t="s">
        <v>23</v>
      </c>
      <c r="H241">
        <v>4903</v>
      </c>
      <c r="I241">
        <v>208.5</v>
      </c>
      <c r="J241" s="2">
        <v>5.81</v>
      </c>
      <c r="K241">
        <v>5</v>
      </c>
      <c r="L241" s="1">
        <v>58617.01</v>
      </c>
      <c r="M241">
        <f t="shared" si="21"/>
        <v>14</v>
      </c>
      <c r="N241">
        <f t="shared" si="22"/>
        <v>4186.9292857142855</v>
      </c>
      <c r="O241">
        <f t="shared" si="23"/>
        <v>1958.5714285714287</v>
      </c>
      <c r="P241">
        <f t="shared" si="24"/>
        <v>42.524984703242914</v>
      </c>
      <c r="Q241" t="str">
        <f t="shared" si="25"/>
        <v>Old (12+ years)</v>
      </c>
      <c r="R241" t="str">
        <f t="shared" si="26"/>
        <v>Low</v>
      </c>
      <c r="S241" t="str">
        <f t="shared" si="27"/>
        <v>Very High</v>
      </c>
    </row>
    <row r="242" spans="1:19" x14ac:dyDescent="0.3">
      <c r="A242">
        <v>241</v>
      </c>
      <c r="B242" t="s">
        <v>25</v>
      </c>
      <c r="C242">
        <v>2006</v>
      </c>
      <c r="D242">
        <v>125575</v>
      </c>
      <c r="E242" t="s">
        <v>17</v>
      </c>
      <c r="F242" t="s">
        <v>18</v>
      </c>
      <c r="G242" t="s">
        <v>20</v>
      </c>
      <c r="H242">
        <v>2876</v>
      </c>
      <c r="I242">
        <v>143.1</v>
      </c>
      <c r="J242" s="2">
        <v>23.58</v>
      </c>
      <c r="K242">
        <v>7</v>
      </c>
      <c r="L242" s="1">
        <v>45531.19</v>
      </c>
      <c r="M242">
        <f t="shared" si="21"/>
        <v>18</v>
      </c>
      <c r="N242">
        <f t="shared" si="22"/>
        <v>2529.5105555555556</v>
      </c>
      <c r="O242">
        <f t="shared" si="23"/>
        <v>6976.3888888888887</v>
      </c>
      <c r="P242">
        <f t="shared" si="24"/>
        <v>49.756606397774689</v>
      </c>
      <c r="Q242" t="str">
        <f t="shared" si="25"/>
        <v>Old (12+ years)</v>
      </c>
      <c r="R242" t="str">
        <f t="shared" si="26"/>
        <v>Good</v>
      </c>
      <c r="S242" t="str">
        <f t="shared" si="27"/>
        <v>Medium</v>
      </c>
    </row>
    <row r="243" spans="1:19" x14ac:dyDescent="0.3">
      <c r="A243">
        <v>242</v>
      </c>
      <c r="B243" t="s">
        <v>25</v>
      </c>
      <c r="C243">
        <v>2016</v>
      </c>
      <c r="D243">
        <v>34300</v>
      </c>
      <c r="E243" t="s">
        <v>26</v>
      </c>
      <c r="F243" t="s">
        <v>18</v>
      </c>
      <c r="G243" t="s">
        <v>23</v>
      </c>
      <c r="H243">
        <v>3794</v>
      </c>
      <c r="I243">
        <v>463.6</v>
      </c>
      <c r="J243" s="2">
        <v>23.08</v>
      </c>
      <c r="K243">
        <v>6</v>
      </c>
      <c r="L243" s="1">
        <v>77997.710000000006</v>
      </c>
      <c r="M243">
        <f t="shared" si="21"/>
        <v>8</v>
      </c>
      <c r="N243">
        <f t="shared" si="22"/>
        <v>9749.7137500000008</v>
      </c>
      <c r="O243">
        <f t="shared" si="23"/>
        <v>4287.5</v>
      </c>
      <c r="P243">
        <f t="shared" si="24"/>
        <v>122.19293621507644</v>
      </c>
      <c r="Q243" t="str">
        <f t="shared" si="25"/>
        <v>Mature (8-12 years)</v>
      </c>
      <c r="R243" t="str">
        <f t="shared" si="26"/>
        <v>Good</v>
      </c>
      <c r="S243" t="str">
        <f t="shared" si="27"/>
        <v>Very High</v>
      </c>
    </row>
    <row r="244" spans="1:19" x14ac:dyDescent="0.3">
      <c r="A244">
        <v>243</v>
      </c>
      <c r="B244" t="s">
        <v>16</v>
      </c>
      <c r="C244">
        <v>2023</v>
      </c>
      <c r="D244">
        <v>94881</v>
      </c>
      <c r="E244" t="s">
        <v>22</v>
      </c>
      <c r="F244" t="s">
        <v>14</v>
      </c>
      <c r="G244" t="s">
        <v>20</v>
      </c>
      <c r="H244">
        <v>4544</v>
      </c>
      <c r="I244">
        <v>305.5</v>
      </c>
      <c r="J244" s="2">
        <v>8.4</v>
      </c>
      <c r="K244">
        <v>7</v>
      </c>
      <c r="L244" s="1">
        <v>108447.33</v>
      </c>
      <c r="M244">
        <f t="shared" si="21"/>
        <v>1</v>
      </c>
      <c r="N244">
        <f t="shared" si="22"/>
        <v>108447.33</v>
      </c>
      <c r="O244">
        <f t="shared" si="23"/>
        <v>94881</v>
      </c>
      <c r="P244">
        <f t="shared" si="24"/>
        <v>67.231514084507054</v>
      </c>
      <c r="Q244" t="str">
        <f t="shared" si="25"/>
        <v>New (0-3 years)</v>
      </c>
      <c r="R244" t="str">
        <f t="shared" si="26"/>
        <v>Low</v>
      </c>
      <c r="S244" t="str">
        <f t="shared" si="27"/>
        <v>Very High</v>
      </c>
    </row>
    <row r="245" spans="1:19" x14ac:dyDescent="0.3">
      <c r="A245">
        <v>244</v>
      </c>
      <c r="B245" t="s">
        <v>19</v>
      </c>
      <c r="C245">
        <v>2009</v>
      </c>
      <c r="D245">
        <v>15749</v>
      </c>
      <c r="E245" t="s">
        <v>26</v>
      </c>
      <c r="F245" t="s">
        <v>18</v>
      </c>
      <c r="G245" t="s">
        <v>15</v>
      </c>
      <c r="H245">
        <v>3556</v>
      </c>
      <c r="I245">
        <v>166.4</v>
      </c>
      <c r="J245" s="2">
        <v>25.9</v>
      </c>
      <c r="K245">
        <v>6</v>
      </c>
      <c r="L245" s="1">
        <v>22178.67</v>
      </c>
      <c r="M245">
        <f t="shared" si="21"/>
        <v>15</v>
      </c>
      <c r="N245">
        <f t="shared" si="22"/>
        <v>1478.578</v>
      </c>
      <c r="O245">
        <f t="shared" si="23"/>
        <v>1049.9333333333334</v>
      </c>
      <c r="P245">
        <f t="shared" si="24"/>
        <v>46.794150731158609</v>
      </c>
      <c r="Q245" t="str">
        <f t="shared" si="25"/>
        <v>Old (12+ years)</v>
      </c>
      <c r="R245" t="str">
        <f t="shared" si="26"/>
        <v>Excellent</v>
      </c>
      <c r="S245" t="str">
        <f t="shared" si="27"/>
        <v>High</v>
      </c>
    </row>
    <row r="246" spans="1:19" x14ac:dyDescent="0.3">
      <c r="A246">
        <v>245</v>
      </c>
      <c r="B246" t="s">
        <v>27</v>
      </c>
      <c r="C246">
        <v>2016</v>
      </c>
      <c r="D246">
        <v>109131</v>
      </c>
      <c r="E246" t="s">
        <v>22</v>
      </c>
      <c r="F246" t="s">
        <v>18</v>
      </c>
      <c r="G246" t="s">
        <v>20</v>
      </c>
      <c r="H246">
        <v>2444</v>
      </c>
      <c r="I246">
        <v>385.3</v>
      </c>
      <c r="J246" s="2">
        <v>8.8699999999999992</v>
      </c>
      <c r="K246">
        <v>6</v>
      </c>
      <c r="L246" s="1">
        <v>47624.83</v>
      </c>
      <c r="M246">
        <f t="shared" si="21"/>
        <v>8</v>
      </c>
      <c r="N246">
        <f t="shared" si="22"/>
        <v>5953.1037500000002</v>
      </c>
      <c r="O246">
        <f t="shared" si="23"/>
        <v>13641.375</v>
      </c>
      <c r="P246">
        <f t="shared" si="24"/>
        <v>157.65139116202946</v>
      </c>
      <c r="Q246" t="str">
        <f t="shared" si="25"/>
        <v>Mature (8-12 years)</v>
      </c>
      <c r="R246" t="str">
        <f t="shared" si="26"/>
        <v>Low</v>
      </c>
      <c r="S246" t="str">
        <f t="shared" si="27"/>
        <v>Very High</v>
      </c>
    </row>
    <row r="247" spans="1:19" x14ac:dyDescent="0.3">
      <c r="A247">
        <v>246</v>
      </c>
      <c r="B247" t="s">
        <v>19</v>
      </c>
      <c r="C247">
        <v>2021</v>
      </c>
      <c r="D247">
        <v>161193</v>
      </c>
      <c r="E247" t="s">
        <v>22</v>
      </c>
      <c r="F247" t="s">
        <v>14</v>
      </c>
      <c r="G247" t="s">
        <v>23</v>
      </c>
      <c r="H247">
        <v>3944</v>
      </c>
      <c r="I247">
        <v>62.6</v>
      </c>
      <c r="J247" s="2">
        <v>12.53</v>
      </c>
      <c r="K247">
        <v>2</v>
      </c>
      <c r="L247" s="1">
        <v>19481.63</v>
      </c>
      <c r="M247">
        <f t="shared" si="21"/>
        <v>3</v>
      </c>
      <c r="N247">
        <f t="shared" si="22"/>
        <v>6493.876666666667</v>
      </c>
      <c r="O247">
        <f t="shared" si="23"/>
        <v>53731</v>
      </c>
      <c r="P247">
        <f t="shared" si="24"/>
        <v>15.872210953346856</v>
      </c>
      <c r="Q247" t="str">
        <f t="shared" si="25"/>
        <v>New (0-3 years)</v>
      </c>
      <c r="R247" t="str">
        <f t="shared" si="26"/>
        <v>Low</v>
      </c>
      <c r="S247" t="str">
        <f t="shared" si="27"/>
        <v>Low</v>
      </c>
    </row>
    <row r="248" spans="1:19" x14ac:dyDescent="0.3">
      <c r="A248">
        <v>247</v>
      </c>
      <c r="B248" t="s">
        <v>29</v>
      </c>
      <c r="C248">
        <v>2021</v>
      </c>
      <c r="D248">
        <v>133563</v>
      </c>
      <c r="E248" t="s">
        <v>13</v>
      </c>
      <c r="F248" t="s">
        <v>18</v>
      </c>
      <c r="G248" t="s">
        <v>23</v>
      </c>
      <c r="H248">
        <v>1042</v>
      </c>
      <c r="I248">
        <v>222.7</v>
      </c>
      <c r="J248" s="2">
        <v>11.22</v>
      </c>
      <c r="K248">
        <v>4</v>
      </c>
      <c r="L248" s="1">
        <v>76118.42</v>
      </c>
      <c r="M248">
        <f t="shared" si="21"/>
        <v>3</v>
      </c>
      <c r="N248">
        <f t="shared" si="22"/>
        <v>25372.806666666667</v>
      </c>
      <c r="O248">
        <f t="shared" si="23"/>
        <v>44521</v>
      </c>
      <c r="P248">
        <f t="shared" si="24"/>
        <v>213.72360844529749</v>
      </c>
      <c r="Q248" t="str">
        <f t="shared" si="25"/>
        <v>New (0-3 years)</v>
      </c>
      <c r="R248" t="str">
        <f t="shared" si="26"/>
        <v>Low</v>
      </c>
      <c r="S248" t="str">
        <f t="shared" si="27"/>
        <v>Very High</v>
      </c>
    </row>
    <row r="249" spans="1:19" x14ac:dyDescent="0.3">
      <c r="A249">
        <v>248</v>
      </c>
      <c r="B249" t="s">
        <v>19</v>
      </c>
      <c r="C249">
        <v>2014</v>
      </c>
      <c r="D249">
        <v>42487</v>
      </c>
      <c r="E249" t="s">
        <v>13</v>
      </c>
      <c r="F249" t="s">
        <v>18</v>
      </c>
      <c r="G249" t="s">
        <v>20</v>
      </c>
      <c r="H249">
        <v>4885</v>
      </c>
      <c r="I249">
        <v>302.39999999999998</v>
      </c>
      <c r="J249" s="2">
        <v>14.31</v>
      </c>
      <c r="K249">
        <v>7</v>
      </c>
      <c r="L249" s="1">
        <v>88277.85</v>
      </c>
      <c r="M249">
        <f t="shared" si="21"/>
        <v>10</v>
      </c>
      <c r="N249">
        <f t="shared" si="22"/>
        <v>8827.7849999999999</v>
      </c>
      <c r="O249">
        <f t="shared" si="23"/>
        <v>4248.7</v>
      </c>
      <c r="P249">
        <f t="shared" si="24"/>
        <v>61.903787103377688</v>
      </c>
      <c r="Q249" t="str">
        <f t="shared" si="25"/>
        <v>Mature (8-12 years)</v>
      </c>
      <c r="R249" t="str">
        <f t="shared" si="26"/>
        <v>Low</v>
      </c>
      <c r="S249" t="str">
        <f t="shared" si="27"/>
        <v>Very High</v>
      </c>
    </row>
    <row r="250" spans="1:19" x14ac:dyDescent="0.3">
      <c r="A250">
        <v>249</v>
      </c>
      <c r="B250" t="s">
        <v>16</v>
      </c>
      <c r="C250">
        <v>2021</v>
      </c>
      <c r="D250">
        <v>169433</v>
      </c>
      <c r="E250" t="s">
        <v>13</v>
      </c>
      <c r="F250" t="s">
        <v>14</v>
      </c>
      <c r="G250" t="s">
        <v>23</v>
      </c>
      <c r="H250">
        <v>970</v>
      </c>
      <c r="I250">
        <v>122.9</v>
      </c>
      <c r="J250" s="2">
        <v>11.37</v>
      </c>
      <c r="K250">
        <v>6</v>
      </c>
      <c r="L250" s="1">
        <v>112033.79</v>
      </c>
      <c r="M250">
        <f t="shared" si="21"/>
        <v>3</v>
      </c>
      <c r="N250">
        <f t="shared" si="22"/>
        <v>37344.596666666665</v>
      </c>
      <c r="O250">
        <f t="shared" si="23"/>
        <v>56477.666666666664</v>
      </c>
      <c r="P250">
        <f t="shared" si="24"/>
        <v>126.70103092783506</v>
      </c>
      <c r="Q250" t="str">
        <f t="shared" si="25"/>
        <v>New (0-3 years)</v>
      </c>
      <c r="R250" t="str">
        <f t="shared" si="26"/>
        <v>Low</v>
      </c>
      <c r="S250" t="str">
        <f t="shared" si="27"/>
        <v>Medium</v>
      </c>
    </row>
    <row r="251" spans="1:19" x14ac:dyDescent="0.3">
      <c r="A251">
        <v>250</v>
      </c>
      <c r="B251" t="s">
        <v>29</v>
      </c>
      <c r="C251">
        <v>2019</v>
      </c>
      <c r="D251">
        <v>26223</v>
      </c>
      <c r="E251" t="s">
        <v>17</v>
      </c>
      <c r="F251" t="s">
        <v>14</v>
      </c>
      <c r="G251" t="s">
        <v>23</v>
      </c>
      <c r="H251">
        <v>1452</v>
      </c>
      <c r="I251">
        <v>591.4</v>
      </c>
      <c r="J251" s="2">
        <v>17.22</v>
      </c>
      <c r="K251">
        <v>7</v>
      </c>
      <c r="L251" s="1">
        <v>35628.019999999997</v>
      </c>
      <c r="M251">
        <f t="shared" si="21"/>
        <v>5</v>
      </c>
      <c r="N251">
        <f t="shared" si="22"/>
        <v>7125.6039999999994</v>
      </c>
      <c r="O251">
        <f t="shared" si="23"/>
        <v>5244.6</v>
      </c>
      <c r="P251">
        <f t="shared" si="24"/>
        <v>407.30027548209364</v>
      </c>
      <c r="Q251" t="str">
        <f t="shared" si="25"/>
        <v>Recent (4-7 years)</v>
      </c>
      <c r="R251" t="str">
        <f t="shared" si="26"/>
        <v>Average</v>
      </c>
      <c r="S251" t="str">
        <f t="shared" si="27"/>
        <v>Very High</v>
      </c>
    </row>
    <row r="252" spans="1:19" x14ac:dyDescent="0.3">
      <c r="A252">
        <v>251</v>
      </c>
      <c r="B252" t="s">
        <v>19</v>
      </c>
      <c r="C252">
        <v>2016</v>
      </c>
      <c r="D252">
        <v>77930</v>
      </c>
      <c r="E252" t="s">
        <v>17</v>
      </c>
      <c r="F252" t="s">
        <v>18</v>
      </c>
      <c r="G252" t="s">
        <v>15</v>
      </c>
      <c r="H252">
        <v>4312</v>
      </c>
      <c r="I252">
        <v>157.1</v>
      </c>
      <c r="J252" s="2">
        <v>15.19</v>
      </c>
      <c r="K252">
        <v>7</v>
      </c>
      <c r="L252" s="1">
        <v>114174.71</v>
      </c>
      <c r="M252">
        <f t="shared" si="21"/>
        <v>8</v>
      </c>
      <c r="N252">
        <f t="shared" si="22"/>
        <v>14271.838750000001</v>
      </c>
      <c r="O252">
        <f t="shared" si="23"/>
        <v>9741.25</v>
      </c>
      <c r="P252">
        <f t="shared" si="24"/>
        <v>36.43320964749536</v>
      </c>
      <c r="Q252" t="str">
        <f t="shared" si="25"/>
        <v>Mature (8-12 years)</v>
      </c>
      <c r="R252" t="str">
        <f t="shared" si="26"/>
        <v>Average</v>
      </c>
      <c r="S252" t="str">
        <f t="shared" si="27"/>
        <v>High</v>
      </c>
    </row>
    <row r="253" spans="1:19" x14ac:dyDescent="0.3">
      <c r="A253">
        <v>252</v>
      </c>
      <c r="B253" t="s">
        <v>16</v>
      </c>
      <c r="C253">
        <v>2020</v>
      </c>
      <c r="D253">
        <v>150128</v>
      </c>
      <c r="E253" t="s">
        <v>13</v>
      </c>
      <c r="F253" t="s">
        <v>14</v>
      </c>
      <c r="G253" t="s">
        <v>20</v>
      </c>
      <c r="H253">
        <v>2299</v>
      </c>
      <c r="I253">
        <v>113</v>
      </c>
      <c r="J253" s="2">
        <v>29.66</v>
      </c>
      <c r="K253">
        <v>6</v>
      </c>
      <c r="L253" s="1">
        <v>10401.73</v>
      </c>
      <c r="M253">
        <f t="shared" si="21"/>
        <v>4</v>
      </c>
      <c r="N253">
        <f t="shared" si="22"/>
        <v>2600.4324999999999</v>
      </c>
      <c r="O253">
        <f t="shared" si="23"/>
        <v>37532</v>
      </c>
      <c r="P253">
        <f t="shared" si="24"/>
        <v>49.151805132666375</v>
      </c>
      <c r="Q253" t="str">
        <f t="shared" si="25"/>
        <v>Recent (4-7 years)</v>
      </c>
      <c r="R253" t="str">
        <f t="shared" si="26"/>
        <v>Excellent</v>
      </c>
      <c r="S253" t="str">
        <f t="shared" si="27"/>
        <v>Medium</v>
      </c>
    </row>
    <row r="254" spans="1:19" x14ac:dyDescent="0.3">
      <c r="A254">
        <v>253</v>
      </c>
      <c r="B254" t="s">
        <v>27</v>
      </c>
      <c r="C254">
        <v>2023</v>
      </c>
      <c r="D254">
        <v>33380</v>
      </c>
      <c r="E254" t="s">
        <v>17</v>
      </c>
      <c r="F254" t="s">
        <v>18</v>
      </c>
      <c r="G254" t="s">
        <v>20</v>
      </c>
      <c r="H254">
        <v>2899</v>
      </c>
      <c r="I254">
        <v>154</v>
      </c>
      <c r="J254" s="2">
        <v>6.4</v>
      </c>
      <c r="K254">
        <v>5</v>
      </c>
      <c r="L254" s="1">
        <v>73552.62</v>
      </c>
      <c r="M254">
        <f t="shared" si="21"/>
        <v>1</v>
      </c>
      <c r="N254">
        <f t="shared" si="22"/>
        <v>73552.62</v>
      </c>
      <c r="O254">
        <f t="shared" si="23"/>
        <v>33380</v>
      </c>
      <c r="P254">
        <f t="shared" si="24"/>
        <v>53.121766126250428</v>
      </c>
      <c r="Q254" t="str">
        <f t="shared" si="25"/>
        <v>New (0-3 years)</v>
      </c>
      <c r="R254" t="str">
        <f t="shared" si="26"/>
        <v>Low</v>
      </c>
      <c r="S254" t="str">
        <f t="shared" si="27"/>
        <v>High</v>
      </c>
    </row>
    <row r="255" spans="1:19" x14ac:dyDescent="0.3">
      <c r="A255">
        <v>254</v>
      </c>
      <c r="B255" t="s">
        <v>19</v>
      </c>
      <c r="C255">
        <v>2012</v>
      </c>
      <c r="D255">
        <v>31035</v>
      </c>
      <c r="E255" t="s">
        <v>26</v>
      </c>
      <c r="F255" t="s">
        <v>14</v>
      </c>
      <c r="G255" t="s">
        <v>20</v>
      </c>
      <c r="H255">
        <v>2958</v>
      </c>
      <c r="I255">
        <v>470.7</v>
      </c>
      <c r="J255" s="2">
        <v>8.5500000000000007</v>
      </c>
      <c r="K255">
        <v>4</v>
      </c>
      <c r="L255" s="1">
        <v>9684.5300000000007</v>
      </c>
      <c r="M255">
        <f t="shared" si="21"/>
        <v>12</v>
      </c>
      <c r="N255">
        <f t="shared" si="22"/>
        <v>807.04416666666668</v>
      </c>
      <c r="O255">
        <f t="shared" si="23"/>
        <v>2586.25</v>
      </c>
      <c r="P255">
        <f t="shared" si="24"/>
        <v>159.12778904665313</v>
      </c>
      <c r="Q255" t="str">
        <f t="shared" si="25"/>
        <v>Mature (8-12 years)</v>
      </c>
      <c r="R255" t="str">
        <f t="shared" si="26"/>
        <v>Low</v>
      </c>
      <c r="S255" t="str">
        <f t="shared" si="27"/>
        <v>Very High</v>
      </c>
    </row>
    <row r="256" spans="1:19" x14ac:dyDescent="0.3">
      <c r="A256">
        <v>255</v>
      </c>
      <c r="B256" t="s">
        <v>16</v>
      </c>
      <c r="C256">
        <v>2021</v>
      </c>
      <c r="D256">
        <v>35620</v>
      </c>
      <c r="E256" t="s">
        <v>26</v>
      </c>
      <c r="F256" t="s">
        <v>18</v>
      </c>
      <c r="G256" t="s">
        <v>23</v>
      </c>
      <c r="H256">
        <v>2772</v>
      </c>
      <c r="I256">
        <v>278.3</v>
      </c>
      <c r="J256" s="2">
        <v>6.32</v>
      </c>
      <c r="K256">
        <v>4</v>
      </c>
      <c r="L256" s="1">
        <v>107571.58</v>
      </c>
      <c r="M256">
        <f t="shared" si="21"/>
        <v>3</v>
      </c>
      <c r="N256">
        <f t="shared" si="22"/>
        <v>35857.193333333336</v>
      </c>
      <c r="O256">
        <f t="shared" si="23"/>
        <v>11873.333333333334</v>
      </c>
      <c r="P256">
        <f t="shared" si="24"/>
        <v>100.39682539682541</v>
      </c>
      <c r="Q256" t="str">
        <f t="shared" si="25"/>
        <v>New (0-3 years)</v>
      </c>
      <c r="R256" t="str">
        <f t="shared" si="26"/>
        <v>Low</v>
      </c>
      <c r="S256" t="str">
        <f t="shared" si="27"/>
        <v>Very High</v>
      </c>
    </row>
    <row r="257" spans="1:19" x14ac:dyDescent="0.3">
      <c r="A257">
        <v>256</v>
      </c>
      <c r="B257" t="s">
        <v>25</v>
      </c>
      <c r="C257">
        <v>2009</v>
      </c>
      <c r="D257">
        <v>155949</v>
      </c>
      <c r="E257" t="s">
        <v>17</v>
      </c>
      <c r="F257" t="s">
        <v>14</v>
      </c>
      <c r="G257" t="s">
        <v>20</v>
      </c>
      <c r="H257">
        <v>4725</v>
      </c>
      <c r="I257">
        <v>356.6</v>
      </c>
      <c r="J257" s="2">
        <v>20.65</v>
      </c>
      <c r="K257">
        <v>2</v>
      </c>
      <c r="L257" s="1">
        <v>64987.66</v>
      </c>
      <c r="M257">
        <f t="shared" si="21"/>
        <v>15</v>
      </c>
      <c r="N257">
        <f t="shared" si="22"/>
        <v>4332.510666666667</v>
      </c>
      <c r="O257">
        <f t="shared" si="23"/>
        <v>10396.6</v>
      </c>
      <c r="P257">
        <f t="shared" si="24"/>
        <v>75.470899470899482</v>
      </c>
      <c r="Q257" t="str">
        <f t="shared" si="25"/>
        <v>Old (12+ years)</v>
      </c>
      <c r="R257" t="str">
        <f t="shared" si="26"/>
        <v>Good</v>
      </c>
      <c r="S257" t="str">
        <f t="shared" si="27"/>
        <v>Very High</v>
      </c>
    </row>
    <row r="258" spans="1:19" x14ac:dyDescent="0.3">
      <c r="A258">
        <v>257</v>
      </c>
      <c r="B258" t="s">
        <v>30</v>
      </c>
      <c r="C258">
        <v>2020</v>
      </c>
      <c r="D258">
        <v>191388</v>
      </c>
      <c r="E258" t="s">
        <v>17</v>
      </c>
      <c r="F258" t="s">
        <v>18</v>
      </c>
      <c r="G258" t="s">
        <v>20</v>
      </c>
      <c r="H258">
        <v>3058</v>
      </c>
      <c r="I258">
        <v>51.8</v>
      </c>
      <c r="J258" s="2">
        <v>6.36</v>
      </c>
      <c r="K258">
        <v>2</v>
      </c>
      <c r="L258" s="1">
        <v>81313.759999999995</v>
      </c>
      <c r="M258">
        <f t="shared" si="21"/>
        <v>4</v>
      </c>
      <c r="N258">
        <f t="shared" si="22"/>
        <v>20328.439999999999</v>
      </c>
      <c r="O258">
        <f t="shared" si="23"/>
        <v>47847</v>
      </c>
      <c r="P258">
        <f t="shared" si="24"/>
        <v>16.939175931981687</v>
      </c>
      <c r="Q258" t="str">
        <f t="shared" si="25"/>
        <v>Recent (4-7 years)</v>
      </c>
      <c r="R258" t="str">
        <f t="shared" si="26"/>
        <v>Low</v>
      </c>
      <c r="S258" t="str">
        <f t="shared" si="27"/>
        <v>Low</v>
      </c>
    </row>
    <row r="259" spans="1:19" x14ac:dyDescent="0.3">
      <c r="A259">
        <v>258</v>
      </c>
      <c r="B259" t="s">
        <v>25</v>
      </c>
      <c r="C259">
        <v>2010</v>
      </c>
      <c r="D259">
        <v>122360</v>
      </c>
      <c r="E259" t="s">
        <v>26</v>
      </c>
      <c r="F259" t="s">
        <v>18</v>
      </c>
      <c r="G259" t="s">
        <v>15</v>
      </c>
      <c r="H259">
        <v>4839</v>
      </c>
      <c r="I259">
        <v>59.3</v>
      </c>
      <c r="J259" s="2">
        <v>25.91</v>
      </c>
      <c r="K259">
        <v>2</v>
      </c>
      <c r="L259" s="1">
        <v>100294.15</v>
      </c>
      <c r="M259">
        <f t="shared" ref="M259:M322" si="28">2024-C259</f>
        <v>14</v>
      </c>
      <c r="N259">
        <f t="shared" ref="N259:N322" si="29">IF(M259&gt;0, L259/M259, L259)</f>
        <v>7163.8678571428563</v>
      </c>
      <c r="O259">
        <f t="shared" ref="O259:O322" si="30">IF(M259&gt;0, D259/M259, D259)</f>
        <v>8740</v>
      </c>
      <c r="P259">
        <f t="shared" ref="P259:P322" si="31">IF(H259&gt;0, I259/(H259/1000), 0)</f>
        <v>12.254598057449885</v>
      </c>
      <c r="Q259" t="str">
        <f t="shared" ref="Q259:Q322" si="32">IF(M259&lt;=3, "New (0-3 years)",
   IF(M259&lt;=7, "Recent (4-7 years)",
   IF(M259&lt;=12, "Mature (8-12 years)",
   "Old (12+ years)")))</f>
        <v>Old (12+ years)</v>
      </c>
      <c r="R259" t="str">
        <f t="shared" ref="R259:R322" si="33">IF(J259&gt;=25, "Excellent",
   IF(J259&gt;=20, "Good",
   IF(J259&gt;=15, "Average",
   "Low")))</f>
        <v>Excellent</v>
      </c>
      <c r="S259" t="str">
        <f t="shared" ref="S259:S322" si="34">IF(I259&gt;=200, "Very High",
   IF(I259&gt;=150, "High",
   IF(I259&gt;=100, "Medium",
   "Low")))</f>
        <v>Low</v>
      </c>
    </row>
    <row r="260" spans="1:19" x14ac:dyDescent="0.3">
      <c r="A260">
        <v>259</v>
      </c>
      <c r="B260" t="s">
        <v>30</v>
      </c>
      <c r="C260">
        <v>2012</v>
      </c>
      <c r="D260">
        <v>58352</v>
      </c>
      <c r="E260" t="s">
        <v>22</v>
      </c>
      <c r="F260" t="s">
        <v>18</v>
      </c>
      <c r="G260" t="s">
        <v>15</v>
      </c>
      <c r="H260">
        <v>2835</v>
      </c>
      <c r="I260">
        <v>289.7</v>
      </c>
      <c r="J260" s="2">
        <v>17.8</v>
      </c>
      <c r="K260">
        <v>4</v>
      </c>
      <c r="L260" s="1">
        <v>20586.34</v>
      </c>
      <c r="M260">
        <f t="shared" si="28"/>
        <v>12</v>
      </c>
      <c r="N260">
        <f t="shared" si="29"/>
        <v>1715.5283333333334</v>
      </c>
      <c r="O260">
        <f t="shared" si="30"/>
        <v>4862.666666666667</v>
      </c>
      <c r="P260">
        <f t="shared" si="31"/>
        <v>102.18694885361552</v>
      </c>
      <c r="Q260" t="str">
        <f t="shared" si="32"/>
        <v>Mature (8-12 years)</v>
      </c>
      <c r="R260" t="str">
        <f t="shared" si="33"/>
        <v>Average</v>
      </c>
      <c r="S260" t="str">
        <f t="shared" si="34"/>
        <v>Very High</v>
      </c>
    </row>
    <row r="261" spans="1:19" x14ac:dyDescent="0.3">
      <c r="A261">
        <v>260</v>
      </c>
      <c r="B261" t="s">
        <v>28</v>
      </c>
      <c r="C261">
        <v>2022</v>
      </c>
      <c r="D261">
        <v>166983</v>
      </c>
      <c r="E261" t="s">
        <v>26</v>
      </c>
      <c r="F261" t="s">
        <v>14</v>
      </c>
      <c r="G261" t="s">
        <v>15</v>
      </c>
      <c r="H261">
        <v>4071</v>
      </c>
      <c r="I261">
        <v>497.3</v>
      </c>
      <c r="J261" s="2">
        <v>18.18</v>
      </c>
      <c r="K261">
        <v>5</v>
      </c>
      <c r="L261" s="1">
        <v>7515.21</v>
      </c>
      <c r="M261">
        <f t="shared" si="28"/>
        <v>2</v>
      </c>
      <c r="N261">
        <f t="shared" si="29"/>
        <v>3757.605</v>
      </c>
      <c r="O261">
        <f t="shared" si="30"/>
        <v>83491.5</v>
      </c>
      <c r="P261">
        <f t="shared" si="31"/>
        <v>122.15671825104398</v>
      </c>
      <c r="Q261" t="str">
        <f t="shared" si="32"/>
        <v>New (0-3 years)</v>
      </c>
      <c r="R261" t="str">
        <f t="shared" si="33"/>
        <v>Average</v>
      </c>
      <c r="S261" t="str">
        <f t="shared" si="34"/>
        <v>Very High</v>
      </c>
    </row>
    <row r="262" spans="1:19" x14ac:dyDescent="0.3">
      <c r="A262">
        <v>261</v>
      </c>
      <c r="B262" t="s">
        <v>28</v>
      </c>
      <c r="C262">
        <v>2016</v>
      </c>
      <c r="D262">
        <v>168856</v>
      </c>
      <c r="E262" t="s">
        <v>26</v>
      </c>
      <c r="F262" t="s">
        <v>14</v>
      </c>
      <c r="G262" t="s">
        <v>23</v>
      </c>
      <c r="H262">
        <v>1657</v>
      </c>
      <c r="I262">
        <v>535.70000000000005</v>
      </c>
      <c r="J262" s="2">
        <v>19.04</v>
      </c>
      <c r="K262">
        <v>4</v>
      </c>
      <c r="L262" s="1">
        <v>105829.09</v>
      </c>
      <c r="M262">
        <f t="shared" si="28"/>
        <v>8</v>
      </c>
      <c r="N262">
        <f t="shared" si="29"/>
        <v>13228.63625</v>
      </c>
      <c r="O262">
        <f t="shared" si="30"/>
        <v>21107</v>
      </c>
      <c r="P262">
        <f t="shared" si="31"/>
        <v>323.29511164755587</v>
      </c>
      <c r="Q262" t="str">
        <f t="shared" si="32"/>
        <v>Mature (8-12 years)</v>
      </c>
      <c r="R262" t="str">
        <f t="shared" si="33"/>
        <v>Average</v>
      </c>
      <c r="S262" t="str">
        <f t="shared" si="34"/>
        <v>Very High</v>
      </c>
    </row>
    <row r="263" spans="1:19" x14ac:dyDescent="0.3">
      <c r="A263">
        <v>262</v>
      </c>
      <c r="B263" t="s">
        <v>28</v>
      </c>
      <c r="C263">
        <v>2019</v>
      </c>
      <c r="D263">
        <v>8191</v>
      </c>
      <c r="E263" t="s">
        <v>17</v>
      </c>
      <c r="F263" t="s">
        <v>18</v>
      </c>
      <c r="G263" t="s">
        <v>20</v>
      </c>
      <c r="H263">
        <v>4623</v>
      </c>
      <c r="I263">
        <v>88.6</v>
      </c>
      <c r="J263" s="2">
        <v>9.27</v>
      </c>
      <c r="K263">
        <v>4</v>
      </c>
      <c r="L263" s="1">
        <v>39847.19</v>
      </c>
      <c r="M263">
        <f t="shared" si="28"/>
        <v>5</v>
      </c>
      <c r="N263">
        <f t="shared" si="29"/>
        <v>7969.4380000000001</v>
      </c>
      <c r="O263">
        <f t="shared" si="30"/>
        <v>1638.2</v>
      </c>
      <c r="P263">
        <f t="shared" si="31"/>
        <v>19.16504434349989</v>
      </c>
      <c r="Q263" t="str">
        <f t="shared" si="32"/>
        <v>Recent (4-7 years)</v>
      </c>
      <c r="R263" t="str">
        <f t="shared" si="33"/>
        <v>Low</v>
      </c>
      <c r="S263" t="str">
        <f t="shared" si="34"/>
        <v>Low</v>
      </c>
    </row>
    <row r="264" spans="1:19" x14ac:dyDescent="0.3">
      <c r="A264">
        <v>263</v>
      </c>
      <c r="B264" t="s">
        <v>27</v>
      </c>
      <c r="C264">
        <v>2013</v>
      </c>
      <c r="D264">
        <v>169232</v>
      </c>
      <c r="E264" t="s">
        <v>26</v>
      </c>
      <c r="F264" t="s">
        <v>18</v>
      </c>
      <c r="G264" t="s">
        <v>15</v>
      </c>
      <c r="H264">
        <v>1849</v>
      </c>
      <c r="I264">
        <v>341.5</v>
      </c>
      <c r="J264" s="2">
        <v>9.94</v>
      </c>
      <c r="K264">
        <v>4</v>
      </c>
      <c r="L264" s="1">
        <v>18090.53</v>
      </c>
      <c r="M264">
        <f t="shared" si="28"/>
        <v>11</v>
      </c>
      <c r="N264">
        <f t="shared" si="29"/>
        <v>1644.5936363636363</v>
      </c>
      <c r="O264">
        <f t="shared" si="30"/>
        <v>15384.727272727272</v>
      </c>
      <c r="P264">
        <f t="shared" si="31"/>
        <v>184.69442942130883</v>
      </c>
      <c r="Q264" t="str">
        <f t="shared" si="32"/>
        <v>Mature (8-12 years)</v>
      </c>
      <c r="R264" t="str">
        <f t="shared" si="33"/>
        <v>Low</v>
      </c>
      <c r="S264" t="str">
        <f t="shared" si="34"/>
        <v>Very High</v>
      </c>
    </row>
    <row r="265" spans="1:19" x14ac:dyDescent="0.3">
      <c r="A265">
        <v>264</v>
      </c>
      <c r="B265" t="s">
        <v>25</v>
      </c>
      <c r="C265">
        <v>2017</v>
      </c>
      <c r="D265">
        <v>95536</v>
      </c>
      <c r="E265" t="s">
        <v>17</v>
      </c>
      <c r="F265" t="s">
        <v>14</v>
      </c>
      <c r="G265" t="s">
        <v>15</v>
      </c>
      <c r="H265">
        <v>4790</v>
      </c>
      <c r="I265">
        <v>551.4</v>
      </c>
      <c r="J265" s="2">
        <v>12.97</v>
      </c>
      <c r="K265">
        <v>4</v>
      </c>
      <c r="L265" s="1">
        <v>57809.96</v>
      </c>
      <c r="M265">
        <f t="shared" si="28"/>
        <v>7</v>
      </c>
      <c r="N265">
        <f t="shared" si="29"/>
        <v>8258.5657142857144</v>
      </c>
      <c r="O265">
        <f t="shared" si="30"/>
        <v>13648</v>
      </c>
      <c r="P265">
        <f t="shared" si="31"/>
        <v>115.11482254697286</v>
      </c>
      <c r="Q265" t="str">
        <f t="shared" si="32"/>
        <v>Recent (4-7 years)</v>
      </c>
      <c r="R265" t="str">
        <f t="shared" si="33"/>
        <v>Low</v>
      </c>
      <c r="S265" t="str">
        <f t="shared" si="34"/>
        <v>Very High</v>
      </c>
    </row>
    <row r="266" spans="1:19" x14ac:dyDescent="0.3">
      <c r="A266">
        <v>265</v>
      </c>
      <c r="B266" t="s">
        <v>30</v>
      </c>
      <c r="C266">
        <v>2019</v>
      </c>
      <c r="D266">
        <v>109576</v>
      </c>
      <c r="E266" t="s">
        <v>17</v>
      </c>
      <c r="F266" t="s">
        <v>14</v>
      </c>
      <c r="G266" t="s">
        <v>15</v>
      </c>
      <c r="H266">
        <v>1098</v>
      </c>
      <c r="I266">
        <v>257.3</v>
      </c>
      <c r="J266" s="2">
        <v>19.84</v>
      </c>
      <c r="K266">
        <v>5</v>
      </c>
      <c r="L266" s="1">
        <v>73001.81</v>
      </c>
      <c r="M266">
        <f t="shared" si="28"/>
        <v>5</v>
      </c>
      <c r="N266">
        <f t="shared" si="29"/>
        <v>14600.361999999999</v>
      </c>
      <c r="O266">
        <f t="shared" si="30"/>
        <v>21915.200000000001</v>
      </c>
      <c r="P266">
        <f t="shared" si="31"/>
        <v>234.3351548269581</v>
      </c>
      <c r="Q266" t="str">
        <f t="shared" si="32"/>
        <v>Recent (4-7 years)</v>
      </c>
      <c r="R266" t="str">
        <f t="shared" si="33"/>
        <v>Average</v>
      </c>
      <c r="S266" t="str">
        <f t="shared" si="34"/>
        <v>Very High</v>
      </c>
    </row>
    <row r="267" spans="1:19" x14ac:dyDescent="0.3">
      <c r="A267">
        <v>266</v>
      </c>
      <c r="B267" t="s">
        <v>16</v>
      </c>
      <c r="C267">
        <v>2014</v>
      </c>
      <c r="D267">
        <v>185795</v>
      </c>
      <c r="E267" t="s">
        <v>13</v>
      </c>
      <c r="F267" t="s">
        <v>14</v>
      </c>
      <c r="G267" t="s">
        <v>20</v>
      </c>
      <c r="H267">
        <v>1723</v>
      </c>
      <c r="I267">
        <v>504.6</v>
      </c>
      <c r="J267" s="2">
        <v>10.25</v>
      </c>
      <c r="K267">
        <v>2</v>
      </c>
      <c r="L267" s="1">
        <v>6623.56</v>
      </c>
      <c r="M267">
        <f t="shared" si="28"/>
        <v>10</v>
      </c>
      <c r="N267">
        <f t="shared" si="29"/>
        <v>662.35599999999999</v>
      </c>
      <c r="O267">
        <f t="shared" si="30"/>
        <v>18579.5</v>
      </c>
      <c r="P267">
        <f t="shared" si="31"/>
        <v>292.86128845037723</v>
      </c>
      <c r="Q267" t="str">
        <f t="shared" si="32"/>
        <v>Mature (8-12 years)</v>
      </c>
      <c r="R267" t="str">
        <f t="shared" si="33"/>
        <v>Low</v>
      </c>
      <c r="S267" t="str">
        <f t="shared" si="34"/>
        <v>Very High</v>
      </c>
    </row>
    <row r="268" spans="1:19" x14ac:dyDescent="0.3">
      <c r="A268">
        <v>267</v>
      </c>
      <c r="B268" t="s">
        <v>29</v>
      </c>
      <c r="C268">
        <v>2020</v>
      </c>
      <c r="D268">
        <v>8631</v>
      </c>
      <c r="E268" t="s">
        <v>26</v>
      </c>
      <c r="F268" t="s">
        <v>14</v>
      </c>
      <c r="G268" t="s">
        <v>20</v>
      </c>
      <c r="H268">
        <v>3599</v>
      </c>
      <c r="I268">
        <v>114.9</v>
      </c>
      <c r="J268" s="2">
        <v>7.91</v>
      </c>
      <c r="K268">
        <v>7</v>
      </c>
      <c r="L268" s="1">
        <v>35162.79</v>
      </c>
      <c r="M268">
        <f t="shared" si="28"/>
        <v>4</v>
      </c>
      <c r="N268">
        <f t="shared" si="29"/>
        <v>8790.6975000000002</v>
      </c>
      <c r="O268">
        <f t="shared" si="30"/>
        <v>2157.75</v>
      </c>
      <c r="P268">
        <f t="shared" si="31"/>
        <v>31.925534870797442</v>
      </c>
      <c r="Q268" t="str">
        <f t="shared" si="32"/>
        <v>Recent (4-7 years)</v>
      </c>
      <c r="R268" t="str">
        <f t="shared" si="33"/>
        <v>Low</v>
      </c>
      <c r="S268" t="str">
        <f t="shared" si="34"/>
        <v>Medium</v>
      </c>
    </row>
    <row r="269" spans="1:19" x14ac:dyDescent="0.3">
      <c r="A269">
        <v>268</v>
      </c>
      <c r="B269" t="s">
        <v>16</v>
      </c>
      <c r="C269">
        <v>2011</v>
      </c>
      <c r="D269">
        <v>142244</v>
      </c>
      <c r="E269" t="s">
        <v>22</v>
      </c>
      <c r="F269" t="s">
        <v>14</v>
      </c>
      <c r="G269" t="s">
        <v>20</v>
      </c>
      <c r="H269">
        <v>4862</v>
      </c>
      <c r="I269">
        <v>563.79999999999995</v>
      </c>
      <c r="J269" s="2">
        <v>29.25</v>
      </c>
      <c r="K269">
        <v>2</v>
      </c>
      <c r="L269" s="1">
        <v>6837.59</v>
      </c>
      <c r="M269">
        <f t="shared" si="28"/>
        <v>13</v>
      </c>
      <c r="N269">
        <f t="shared" si="29"/>
        <v>525.9684615384615</v>
      </c>
      <c r="O269">
        <f t="shared" si="30"/>
        <v>10941.846153846154</v>
      </c>
      <c r="P269">
        <f t="shared" si="31"/>
        <v>115.96051007815713</v>
      </c>
      <c r="Q269" t="str">
        <f t="shared" si="32"/>
        <v>Old (12+ years)</v>
      </c>
      <c r="R269" t="str">
        <f t="shared" si="33"/>
        <v>Excellent</v>
      </c>
      <c r="S269" t="str">
        <f t="shared" si="34"/>
        <v>Very High</v>
      </c>
    </row>
    <row r="270" spans="1:19" x14ac:dyDescent="0.3">
      <c r="A270">
        <v>269</v>
      </c>
      <c r="B270" t="s">
        <v>29</v>
      </c>
      <c r="C270">
        <v>2021</v>
      </c>
      <c r="D270">
        <v>47080</v>
      </c>
      <c r="E270" t="s">
        <v>13</v>
      </c>
      <c r="F270" t="s">
        <v>14</v>
      </c>
      <c r="G270" t="s">
        <v>23</v>
      </c>
      <c r="H270">
        <v>4845</v>
      </c>
      <c r="I270">
        <v>460.8</v>
      </c>
      <c r="J270" s="2">
        <v>5.55</v>
      </c>
      <c r="K270">
        <v>2</v>
      </c>
      <c r="L270" s="1">
        <v>52179.24</v>
      </c>
      <c r="M270">
        <f t="shared" si="28"/>
        <v>3</v>
      </c>
      <c r="N270">
        <f t="shared" si="29"/>
        <v>17393.079999999998</v>
      </c>
      <c r="O270">
        <f t="shared" si="30"/>
        <v>15693.333333333334</v>
      </c>
      <c r="P270">
        <f t="shared" si="31"/>
        <v>95.108359133126939</v>
      </c>
      <c r="Q270" t="str">
        <f t="shared" si="32"/>
        <v>New (0-3 years)</v>
      </c>
      <c r="R270" t="str">
        <f t="shared" si="33"/>
        <v>Low</v>
      </c>
      <c r="S270" t="str">
        <f t="shared" si="34"/>
        <v>Very High</v>
      </c>
    </row>
    <row r="271" spans="1:19" x14ac:dyDescent="0.3">
      <c r="A271">
        <v>270</v>
      </c>
      <c r="B271" t="s">
        <v>21</v>
      </c>
      <c r="C271">
        <v>2011</v>
      </c>
      <c r="D271">
        <v>95353</v>
      </c>
      <c r="E271" t="s">
        <v>17</v>
      </c>
      <c r="F271" t="s">
        <v>18</v>
      </c>
      <c r="G271" t="s">
        <v>23</v>
      </c>
      <c r="H271">
        <v>2602</v>
      </c>
      <c r="I271">
        <v>567.1</v>
      </c>
      <c r="J271" s="2">
        <v>25.07</v>
      </c>
      <c r="K271">
        <v>7</v>
      </c>
      <c r="L271" s="1">
        <v>107726.7</v>
      </c>
      <c r="M271">
        <f t="shared" si="28"/>
        <v>13</v>
      </c>
      <c r="N271">
        <f t="shared" si="29"/>
        <v>8286.6692307692301</v>
      </c>
      <c r="O271">
        <f t="shared" si="30"/>
        <v>7334.8461538461543</v>
      </c>
      <c r="P271">
        <f t="shared" si="31"/>
        <v>217.9477325134512</v>
      </c>
      <c r="Q271" t="str">
        <f t="shared" si="32"/>
        <v>Old (12+ years)</v>
      </c>
      <c r="R271" t="str">
        <f t="shared" si="33"/>
        <v>Excellent</v>
      </c>
      <c r="S271" t="str">
        <f t="shared" si="34"/>
        <v>Very High</v>
      </c>
    </row>
    <row r="272" spans="1:19" x14ac:dyDescent="0.3">
      <c r="A272">
        <v>271</v>
      </c>
      <c r="B272" t="s">
        <v>16</v>
      </c>
      <c r="C272">
        <v>2018</v>
      </c>
      <c r="D272">
        <v>156353</v>
      </c>
      <c r="E272" t="s">
        <v>17</v>
      </c>
      <c r="F272" t="s">
        <v>14</v>
      </c>
      <c r="G272" t="s">
        <v>15</v>
      </c>
      <c r="H272">
        <v>3513</v>
      </c>
      <c r="I272">
        <v>418.9</v>
      </c>
      <c r="J272" s="2">
        <v>24.7</v>
      </c>
      <c r="K272">
        <v>4</v>
      </c>
      <c r="L272" s="1">
        <v>117970.33</v>
      </c>
      <c r="M272">
        <f t="shared" si="28"/>
        <v>6</v>
      </c>
      <c r="N272">
        <f t="shared" si="29"/>
        <v>19661.721666666668</v>
      </c>
      <c r="O272">
        <f t="shared" si="30"/>
        <v>26058.833333333332</v>
      </c>
      <c r="P272">
        <f t="shared" si="31"/>
        <v>119.24281241104468</v>
      </c>
      <c r="Q272" t="str">
        <f t="shared" si="32"/>
        <v>Recent (4-7 years)</v>
      </c>
      <c r="R272" t="str">
        <f t="shared" si="33"/>
        <v>Good</v>
      </c>
      <c r="S272" t="str">
        <f t="shared" si="34"/>
        <v>Very High</v>
      </c>
    </row>
    <row r="273" spans="1:19" x14ac:dyDescent="0.3">
      <c r="A273">
        <v>272</v>
      </c>
      <c r="B273" t="s">
        <v>19</v>
      </c>
      <c r="C273">
        <v>2019</v>
      </c>
      <c r="D273">
        <v>33671</v>
      </c>
      <c r="E273" t="s">
        <v>22</v>
      </c>
      <c r="F273" t="s">
        <v>18</v>
      </c>
      <c r="G273" t="s">
        <v>20</v>
      </c>
      <c r="H273">
        <v>3653</v>
      </c>
      <c r="I273">
        <v>243.5</v>
      </c>
      <c r="J273" s="2">
        <v>12.43</v>
      </c>
      <c r="K273">
        <v>5</v>
      </c>
      <c r="L273" s="1">
        <v>77534.559999999998</v>
      </c>
      <c r="M273">
        <f t="shared" si="28"/>
        <v>5</v>
      </c>
      <c r="N273">
        <f t="shared" si="29"/>
        <v>15506.912</v>
      </c>
      <c r="O273">
        <f t="shared" si="30"/>
        <v>6734.2</v>
      </c>
      <c r="P273">
        <f t="shared" si="31"/>
        <v>66.657541746509722</v>
      </c>
      <c r="Q273" t="str">
        <f t="shared" si="32"/>
        <v>Recent (4-7 years)</v>
      </c>
      <c r="R273" t="str">
        <f t="shared" si="33"/>
        <v>Low</v>
      </c>
      <c r="S273" t="str">
        <f t="shared" si="34"/>
        <v>Very High</v>
      </c>
    </row>
    <row r="274" spans="1:19" x14ac:dyDescent="0.3">
      <c r="A274">
        <v>273</v>
      </c>
      <c r="B274" t="s">
        <v>19</v>
      </c>
      <c r="C274">
        <v>2011</v>
      </c>
      <c r="D274">
        <v>127811</v>
      </c>
      <c r="E274" t="s">
        <v>17</v>
      </c>
      <c r="F274" t="s">
        <v>14</v>
      </c>
      <c r="G274" t="s">
        <v>15</v>
      </c>
      <c r="H274">
        <v>3457</v>
      </c>
      <c r="I274">
        <v>565.4</v>
      </c>
      <c r="J274" s="2">
        <v>8.39</v>
      </c>
      <c r="K274">
        <v>5</v>
      </c>
      <c r="L274" s="1">
        <v>21911.61</v>
      </c>
      <c r="M274">
        <f t="shared" si="28"/>
        <v>13</v>
      </c>
      <c r="N274">
        <f t="shared" si="29"/>
        <v>1685.5084615384617</v>
      </c>
      <c r="O274">
        <f t="shared" si="30"/>
        <v>9831.6153846153848</v>
      </c>
      <c r="P274">
        <f t="shared" si="31"/>
        <v>163.55221290135955</v>
      </c>
      <c r="Q274" t="str">
        <f t="shared" si="32"/>
        <v>Old (12+ years)</v>
      </c>
      <c r="R274" t="str">
        <f t="shared" si="33"/>
        <v>Low</v>
      </c>
      <c r="S274" t="str">
        <f t="shared" si="34"/>
        <v>Very High</v>
      </c>
    </row>
    <row r="275" spans="1:19" x14ac:dyDescent="0.3">
      <c r="A275">
        <v>274</v>
      </c>
      <c r="B275" t="s">
        <v>12</v>
      </c>
      <c r="C275">
        <v>2013</v>
      </c>
      <c r="D275">
        <v>187503</v>
      </c>
      <c r="E275" t="s">
        <v>26</v>
      </c>
      <c r="F275" t="s">
        <v>14</v>
      </c>
      <c r="G275" t="s">
        <v>20</v>
      </c>
      <c r="H275">
        <v>4146</v>
      </c>
      <c r="I275">
        <v>194.3</v>
      </c>
      <c r="J275" s="2">
        <v>8.64</v>
      </c>
      <c r="K275">
        <v>2</v>
      </c>
      <c r="L275" s="1">
        <v>108984.38</v>
      </c>
      <c r="M275">
        <f t="shared" si="28"/>
        <v>11</v>
      </c>
      <c r="N275">
        <f t="shared" si="29"/>
        <v>9907.6709090909098</v>
      </c>
      <c r="O275">
        <f t="shared" si="30"/>
        <v>17045.727272727272</v>
      </c>
      <c r="P275">
        <f t="shared" si="31"/>
        <v>46.864447660395562</v>
      </c>
      <c r="Q275" t="str">
        <f t="shared" si="32"/>
        <v>Mature (8-12 years)</v>
      </c>
      <c r="R275" t="str">
        <f t="shared" si="33"/>
        <v>Low</v>
      </c>
      <c r="S275" t="str">
        <f t="shared" si="34"/>
        <v>High</v>
      </c>
    </row>
    <row r="276" spans="1:19" x14ac:dyDescent="0.3">
      <c r="A276">
        <v>275</v>
      </c>
      <c r="B276" t="s">
        <v>25</v>
      </c>
      <c r="C276">
        <v>2023</v>
      </c>
      <c r="D276">
        <v>132734</v>
      </c>
      <c r="E276" t="s">
        <v>13</v>
      </c>
      <c r="F276" t="s">
        <v>18</v>
      </c>
      <c r="G276" t="s">
        <v>20</v>
      </c>
      <c r="H276">
        <v>2271</v>
      </c>
      <c r="I276">
        <v>226</v>
      </c>
      <c r="J276" s="2">
        <v>22.44</v>
      </c>
      <c r="K276">
        <v>7</v>
      </c>
      <c r="L276" s="1">
        <v>63401</v>
      </c>
      <c r="M276">
        <f t="shared" si="28"/>
        <v>1</v>
      </c>
      <c r="N276">
        <f t="shared" si="29"/>
        <v>63401</v>
      </c>
      <c r="O276">
        <f t="shared" si="30"/>
        <v>132734</v>
      </c>
      <c r="P276">
        <f t="shared" si="31"/>
        <v>99.51563188022898</v>
      </c>
      <c r="Q276" t="str">
        <f t="shared" si="32"/>
        <v>New (0-3 years)</v>
      </c>
      <c r="R276" t="str">
        <f t="shared" si="33"/>
        <v>Good</v>
      </c>
      <c r="S276" t="str">
        <f t="shared" si="34"/>
        <v>Very High</v>
      </c>
    </row>
    <row r="277" spans="1:19" x14ac:dyDescent="0.3">
      <c r="A277">
        <v>276</v>
      </c>
      <c r="B277" t="s">
        <v>29</v>
      </c>
      <c r="C277">
        <v>2020</v>
      </c>
      <c r="D277">
        <v>164674</v>
      </c>
      <c r="E277" t="s">
        <v>17</v>
      </c>
      <c r="F277" t="s">
        <v>18</v>
      </c>
      <c r="G277" t="s">
        <v>20</v>
      </c>
      <c r="H277">
        <v>3749</v>
      </c>
      <c r="I277">
        <v>432.5</v>
      </c>
      <c r="J277" s="2">
        <v>21.07</v>
      </c>
      <c r="K277">
        <v>6</v>
      </c>
      <c r="L277" s="1">
        <v>20988.67</v>
      </c>
      <c r="M277">
        <f t="shared" si="28"/>
        <v>4</v>
      </c>
      <c r="N277">
        <f t="shared" si="29"/>
        <v>5247.1674999999996</v>
      </c>
      <c r="O277">
        <f t="shared" si="30"/>
        <v>41168.5</v>
      </c>
      <c r="P277">
        <f t="shared" si="31"/>
        <v>115.36409709255801</v>
      </c>
      <c r="Q277" t="str">
        <f t="shared" si="32"/>
        <v>Recent (4-7 years)</v>
      </c>
      <c r="R277" t="str">
        <f t="shared" si="33"/>
        <v>Good</v>
      </c>
      <c r="S277" t="str">
        <f t="shared" si="34"/>
        <v>Very High</v>
      </c>
    </row>
    <row r="278" spans="1:19" x14ac:dyDescent="0.3">
      <c r="A278">
        <v>277</v>
      </c>
      <c r="B278" t="s">
        <v>29</v>
      </c>
      <c r="C278">
        <v>2012</v>
      </c>
      <c r="D278">
        <v>56399</v>
      </c>
      <c r="E278" t="s">
        <v>17</v>
      </c>
      <c r="F278" t="s">
        <v>14</v>
      </c>
      <c r="G278" t="s">
        <v>23</v>
      </c>
      <c r="H278">
        <v>1741</v>
      </c>
      <c r="I278">
        <v>468.6</v>
      </c>
      <c r="J278" s="2">
        <v>24.57</v>
      </c>
      <c r="K278">
        <v>4</v>
      </c>
      <c r="L278" s="1">
        <v>110842.02</v>
      </c>
      <c r="M278">
        <f t="shared" si="28"/>
        <v>12</v>
      </c>
      <c r="N278">
        <f t="shared" si="29"/>
        <v>9236.8350000000009</v>
      </c>
      <c r="O278">
        <f t="shared" si="30"/>
        <v>4699.916666666667</v>
      </c>
      <c r="P278">
        <f t="shared" si="31"/>
        <v>269.15565766800688</v>
      </c>
      <c r="Q278" t="str">
        <f t="shared" si="32"/>
        <v>Mature (8-12 years)</v>
      </c>
      <c r="R278" t="str">
        <f t="shared" si="33"/>
        <v>Good</v>
      </c>
      <c r="S278" t="str">
        <f t="shared" si="34"/>
        <v>Very High</v>
      </c>
    </row>
    <row r="279" spans="1:19" x14ac:dyDescent="0.3">
      <c r="A279">
        <v>278</v>
      </c>
      <c r="B279" t="s">
        <v>25</v>
      </c>
      <c r="C279">
        <v>2022</v>
      </c>
      <c r="D279">
        <v>159544</v>
      </c>
      <c r="E279" t="s">
        <v>22</v>
      </c>
      <c r="F279" t="s">
        <v>18</v>
      </c>
      <c r="G279" t="s">
        <v>23</v>
      </c>
      <c r="H279">
        <v>2707</v>
      </c>
      <c r="I279">
        <v>560.5</v>
      </c>
      <c r="J279" s="2">
        <v>28.44</v>
      </c>
      <c r="K279">
        <v>2</v>
      </c>
      <c r="L279" s="1">
        <v>91623.88</v>
      </c>
      <c r="M279">
        <f t="shared" si="28"/>
        <v>2</v>
      </c>
      <c r="N279">
        <f t="shared" si="29"/>
        <v>45811.94</v>
      </c>
      <c r="O279">
        <f t="shared" si="30"/>
        <v>79772</v>
      </c>
      <c r="P279">
        <f t="shared" si="31"/>
        <v>207.05578130772074</v>
      </c>
      <c r="Q279" t="str">
        <f t="shared" si="32"/>
        <v>New (0-3 years)</v>
      </c>
      <c r="R279" t="str">
        <f t="shared" si="33"/>
        <v>Excellent</v>
      </c>
      <c r="S279" t="str">
        <f t="shared" si="34"/>
        <v>Very High</v>
      </c>
    </row>
    <row r="280" spans="1:19" x14ac:dyDescent="0.3">
      <c r="A280">
        <v>279</v>
      </c>
      <c r="B280" t="s">
        <v>27</v>
      </c>
      <c r="C280">
        <v>2022</v>
      </c>
      <c r="D280">
        <v>185302</v>
      </c>
      <c r="E280" t="s">
        <v>26</v>
      </c>
      <c r="F280" t="s">
        <v>18</v>
      </c>
      <c r="G280" t="s">
        <v>20</v>
      </c>
      <c r="H280">
        <v>2043</v>
      </c>
      <c r="I280">
        <v>154.69999999999999</v>
      </c>
      <c r="J280" s="2">
        <v>22.3</v>
      </c>
      <c r="K280">
        <v>5</v>
      </c>
      <c r="L280" s="1">
        <v>88609.52</v>
      </c>
      <c r="M280">
        <f t="shared" si="28"/>
        <v>2</v>
      </c>
      <c r="N280">
        <f t="shared" si="29"/>
        <v>44304.76</v>
      </c>
      <c r="O280">
        <f t="shared" si="30"/>
        <v>92651</v>
      </c>
      <c r="P280">
        <f t="shared" si="31"/>
        <v>75.721977484092008</v>
      </c>
      <c r="Q280" t="str">
        <f t="shared" si="32"/>
        <v>New (0-3 years)</v>
      </c>
      <c r="R280" t="str">
        <f t="shared" si="33"/>
        <v>Good</v>
      </c>
      <c r="S280" t="str">
        <f t="shared" si="34"/>
        <v>High</v>
      </c>
    </row>
    <row r="281" spans="1:19" x14ac:dyDescent="0.3">
      <c r="A281">
        <v>280</v>
      </c>
      <c r="B281" t="s">
        <v>12</v>
      </c>
      <c r="C281">
        <v>2024</v>
      </c>
      <c r="D281">
        <v>12099</v>
      </c>
      <c r="E281" t="s">
        <v>17</v>
      </c>
      <c r="F281" t="s">
        <v>18</v>
      </c>
      <c r="G281" t="s">
        <v>15</v>
      </c>
      <c r="H281">
        <v>2266</v>
      </c>
      <c r="I281">
        <v>486.9</v>
      </c>
      <c r="J281" s="2">
        <v>8.9</v>
      </c>
      <c r="K281">
        <v>7</v>
      </c>
      <c r="L281" s="1">
        <v>85974.14</v>
      </c>
      <c r="M281">
        <f t="shared" si="28"/>
        <v>0</v>
      </c>
      <c r="N281">
        <f t="shared" si="29"/>
        <v>85974.14</v>
      </c>
      <c r="O281">
        <f t="shared" si="30"/>
        <v>12099</v>
      </c>
      <c r="P281">
        <f t="shared" si="31"/>
        <v>214.87202118270079</v>
      </c>
      <c r="Q281" t="str">
        <f t="shared" si="32"/>
        <v>New (0-3 years)</v>
      </c>
      <c r="R281" t="str">
        <f t="shared" si="33"/>
        <v>Low</v>
      </c>
      <c r="S281" t="str">
        <f t="shared" si="34"/>
        <v>Very High</v>
      </c>
    </row>
    <row r="282" spans="1:19" x14ac:dyDescent="0.3">
      <c r="A282">
        <v>281</v>
      </c>
      <c r="B282" t="s">
        <v>27</v>
      </c>
      <c r="C282">
        <v>2011</v>
      </c>
      <c r="D282">
        <v>161503</v>
      </c>
      <c r="E282" t="s">
        <v>22</v>
      </c>
      <c r="F282" t="s">
        <v>18</v>
      </c>
      <c r="G282" t="s">
        <v>20</v>
      </c>
      <c r="H282">
        <v>4757</v>
      </c>
      <c r="I282">
        <v>453.6</v>
      </c>
      <c r="J282" s="2">
        <v>11.09</v>
      </c>
      <c r="K282">
        <v>7</v>
      </c>
      <c r="L282" s="1">
        <v>26439.759999999998</v>
      </c>
      <c r="M282">
        <f t="shared" si="28"/>
        <v>13</v>
      </c>
      <c r="N282">
        <f t="shared" si="29"/>
        <v>2033.8276923076921</v>
      </c>
      <c r="O282">
        <f t="shared" si="30"/>
        <v>12423.307692307691</v>
      </c>
      <c r="P282">
        <f t="shared" si="31"/>
        <v>95.354214841286534</v>
      </c>
      <c r="Q282" t="str">
        <f t="shared" si="32"/>
        <v>Old (12+ years)</v>
      </c>
      <c r="R282" t="str">
        <f t="shared" si="33"/>
        <v>Low</v>
      </c>
      <c r="S282" t="str">
        <f t="shared" si="34"/>
        <v>Very High</v>
      </c>
    </row>
    <row r="283" spans="1:19" x14ac:dyDescent="0.3">
      <c r="A283">
        <v>282</v>
      </c>
      <c r="B283" t="s">
        <v>27</v>
      </c>
      <c r="C283">
        <v>2007</v>
      </c>
      <c r="D283">
        <v>61492</v>
      </c>
      <c r="E283" t="s">
        <v>17</v>
      </c>
      <c r="F283" t="s">
        <v>14</v>
      </c>
      <c r="G283" t="s">
        <v>20</v>
      </c>
      <c r="H283">
        <v>2766</v>
      </c>
      <c r="I283">
        <v>75.7</v>
      </c>
      <c r="J283" s="2">
        <v>26.05</v>
      </c>
      <c r="K283">
        <v>2</v>
      </c>
      <c r="L283" s="1">
        <v>27687.78</v>
      </c>
      <c r="M283">
        <f t="shared" si="28"/>
        <v>17</v>
      </c>
      <c r="N283">
        <f t="shared" si="29"/>
        <v>1628.6929411764704</v>
      </c>
      <c r="O283">
        <f t="shared" si="30"/>
        <v>3617.1764705882351</v>
      </c>
      <c r="P283">
        <f t="shared" si="31"/>
        <v>27.368040491684745</v>
      </c>
      <c r="Q283" t="str">
        <f t="shared" si="32"/>
        <v>Old (12+ years)</v>
      </c>
      <c r="R283" t="str">
        <f t="shared" si="33"/>
        <v>Excellent</v>
      </c>
      <c r="S283" t="str">
        <f t="shared" si="34"/>
        <v>Low</v>
      </c>
    </row>
    <row r="284" spans="1:19" x14ac:dyDescent="0.3">
      <c r="A284">
        <v>283</v>
      </c>
      <c r="B284" t="s">
        <v>27</v>
      </c>
      <c r="C284">
        <v>2022</v>
      </c>
      <c r="D284">
        <v>101722</v>
      </c>
      <c r="E284" t="s">
        <v>22</v>
      </c>
      <c r="F284" t="s">
        <v>18</v>
      </c>
      <c r="G284" t="s">
        <v>15</v>
      </c>
      <c r="H284">
        <v>1175</v>
      </c>
      <c r="I284">
        <v>256.8</v>
      </c>
      <c r="J284" s="2">
        <v>10.23</v>
      </c>
      <c r="K284">
        <v>6</v>
      </c>
      <c r="L284" s="1">
        <v>83530.28</v>
      </c>
      <c r="M284">
        <f t="shared" si="28"/>
        <v>2</v>
      </c>
      <c r="N284">
        <f t="shared" si="29"/>
        <v>41765.14</v>
      </c>
      <c r="O284">
        <f t="shared" si="30"/>
        <v>50861</v>
      </c>
      <c r="P284">
        <f t="shared" si="31"/>
        <v>218.55319148936169</v>
      </c>
      <c r="Q284" t="str">
        <f t="shared" si="32"/>
        <v>New (0-3 years)</v>
      </c>
      <c r="R284" t="str">
        <f t="shared" si="33"/>
        <v>Low</v>
      </c>
      <c r="S284" t="str">
        <f t="shared" si="34"/>
        <v>Very High</v>
      </c>
    </row>
    <row r="285" spans="1:19" x14ac:dyDescent="0.3">
      <c r="A285">
        <v>284</v>
      </c>
      <c r="B285" t="s">
        <v>25</v>
      </c>
      <c r="C285">
        <v>2014</v>
      </c>
      <c r="D285">
        <v>183756</v>
      </c>
      <c r="E285" t="s">
        <v>22</v>
      </c>
      <c r="F285" t="s">
        <v>14</v>
      </c>
      <c r="G285" t="s">
        <v>20</v>
      </c>
      <c r="H285">
        <v>1062</v>
      </c>
      <c r="I285">
        <v>198.3</v>
      </c>
      <c r="J285" s="2">
        <v>6.81</v>
      </c>
      <c r="K285">
        <v>5</v>
      </c>
      <c r="L285" s="1">
        <v>28707.56</v>
      </c>
      <c r="M285">
        <f t="shared" si="28"/>
        <v>10</v>
      </c>
      <c r="N285">
        <f t="shared" si="29"/>
        <v>2870.7560000000003</v>
      </c>
      <c r="O285">
        <f t="shared" si="30"/>
        <v>18375.599999999999</v>
      </c>
      <c r="P285">
        <f t="shared" si="31"/>
        <v>186.72316384180792</v>
      </c>
      <c r="Q285" t="str">
        <f t="shared" si="32"/>
        <v>Mature (8-12 years)</v>
      </c>
      <c r="R285" t="str">
        <f t="shared" si="33"/>
        <v>Low</v>
      </c>
      <c r="S285" t="str">
        <f t="shared" si="34"/>
        <v>High</v>
      </c>
    </row>
    <row r="286" spans="1:19" x14ac:dyDescent="0.3">
      <c r="A286">
        <v>285</v>
      </c>
      <c r="B286" t="s">
        <v>27</v>
      </c>
      <c r="C286">
        <v>2011</v>
      </c>
      <c r="D286">
        <v>35111</v>
      </c>
      <c r="E286" t="s">
        <v>26</v>
      </c>
      <c r="F286" t="s">
        <v>14</v>
      </c>
      <c r="G286" t="s">
        <v>15</v>
      </c>
      <c r="H286">
        <v>4188</v>
      </c>
      <c r="I286">
        <v>210.5</v>
      </c>
      <c r="J286" s="2">
        <v>22.58</v>
      </c>
      <c r="K286">
        <v>2</v>
      </c>
      <c r="L286" s="1">
        <v>54324.59</v>
      </c>
      <c r="M286">
        <f t="shared" si="28"/>
        <v>13</v>
      </c>
      <c r="N286">
        <f t="shared" si="29"/>
        <v>4178.8146153846155</v>
      </c>
      <c r="O286">
        <f t="shared" si="30"/>
        <v>2700.8461538461538</v>
      </c>
      <c r="P286">
        <f t="shared" si="31"/>
        <v>50.262655205348615</v>
      </c>
      <c r="Q286" t="str">
        <f t="shared" si="32"/>
        <v>Old (12+ years)</v>
      </c>
      <c r="R286" t="str">
        <f t="shared" si="33"/>
        <v>Good</v>
      </c>
      <c r="S286" t="str">
        <f t="shared" si="34"/>
        <v>Very High</v>
      </c>
    </row>
    <row r="287" spans="1:19" x14ac:dyDescent="0.3">
      <c r="A287">
        <v>286</v>
      </c>
      <c r="B287" t="s">
        <v>19</v>
      </c>
      <c r="C287">
        <v>2021</v>
      </c>
      <c r="D287">
        <v>68936</v>
      </c>
      <c r="E287" t="s">
        <v>17</v>
      </c>
      <c r="F287" t="s">
        <v>14</v>
      </c>
      <c r="G287" t="s">
        <v>23</v>
      </c>
      <c r="H287">
        <v>4195</v>
      </c>
      <c r="I287">
        <v>590.5</v>
      </c>
      <c r="J287" s="2">
        <v>15.06</v>
      </c>
      <c r="K287">
        <v>6</v>
      </c>
      <c r="L287" s="1">
        <v>94494.21</v>
      </c>
      <c r="M287">
        <f t="shared" si="28"/>
        <v>3</v>
      </c>
      <c r="N287">
        <f t="shared" si="29"/>
        <v>31498.070000000003</v>
      </c>
      <c r="O287">
        <f t="shared" si="30"/>
        <v>22978.666666666668</v>
      </c>
      <c r="P287">
        <f t="shared" si="31"/>
        <v>140.76281287246721</v>
      </c>
      <c r="Q287" t="str">
        <f t="shared" si="32"/>
        <v>New (0-3 years)</v>
      </c>
      <c r="R287" t="str">
        <f t="shared" si="33"/>
        <v>Average</v>
      </c>
      <c r="S287" t="str">
        <f t="shared" si="34"/>
        <v>Very High</v>
      </c>
    </row>
    <row r="288" spans="1:19" x14ac:dyDescent="0.3">
      <c r="A288">
        <v>287</v>
      </c>
      <c r="B288" t="s">
        <v>28</v>
      </c>
      <c r="C288">
        <v>2018</v>
      </c>
      <c r="D288">
        <v>158686</v>
      </c>
      <c r="E288" t="s">
        <v>26</v>
      </c>
      <c r="F288" t="s">
        <v>14</v>
      </c>
      <c r="G288" t="s">
        <v>23</v>
      </c>
      <c r="H288">
        <v>2744</v>
      </c>
      <c r="I288">
        <v>400</v>
      </c>
      <c r="J288" s="2">
        <v>28</v>
      </c>
      <c r="K288">
        <v>7</v>
      </c>
      <c r="L288" s="1">
        <v>94722.44</v>
      </c>
      <c r="M288">
        <f t="shared" si="28"/>
        <v>6</v>
      </c>
      <c r="N288">
        <f t="shared" si="29"/>
        <v>15787.073333333334</v>
      </c>
      <c r="O288">
        <f t="shared" si="30"/>
        <v>26447.666666666668</v>
      </c>
      <c r="P288">
        <f t="shared" si="31"/>
        <v>145.77259475218656</v>
      </c>
      <c r="Q288" t="str">
        <f t="shared" si="32"/>
        <v>Recent (4-7 years)</v>
      </c>
      <c r="R288" t="str">
        <f t="shared" si="33"/>
        <v>Excellent</v>
      </c>
      <c r="S288" t="str">
        <f t="shared" si="34"/>
        <v>Very High</v>
      </c>
    </row>
    <row r="289" spans="1:19" x14ac:dyDescent="0.3">
      <c r="A289">
        <v>288</v>
      </c>
      <c r="B289" t="s">
        <v>21</v>
      </c>
      <c r="C289">
        <v>2007</v>
      </c>
      <c r="D289">
        <v>178063</v>
      </c>
      <c r="E289" t="s">
        <v>22</v>
      </c>
      <c r="F289" t="s">
        <v>18</v>
      </c>
      <c r="G289" t="s">
        <v>15</v>
      </c>
      <c r="H289">
        <v>2693</v>
      </c>
      <c r="I289">
        <v>441.9</v>
      </c>
      <c r="J289" s="2">
        <v>21.26</v>
      </c>
      <c r="K289">
        <v>4</v>
      </c>
      <c r="L289" s="1">
        <v>56031.63</v>
      </c>
      <c r="M289">
        <f t="shared" si="28"/>
        <v>17</v>
      </c>
      <c r="N289">
        <f t="shared" si="29"/>
        <v>3295.9782352941174</v>
      </c>
      <c r="O289">
        <f t="shared" si="30"/>
        <v>10474.294117647059</v>
      </c>
      <c r="P289">
        <f t="shared" si="31"/>
        <v>164.09209060527292</v>
      </c>
      <c r="Q289" t="str">
        <f t="shared" si="32"/>
        <v>Old (12+ years)</v>
      </c>
      <c r="R289" t="str">
        <f t="shared" si="33"/>
        <v>Good</v>
      </c>
      <c r="S289" t="str">
        <f t="shared" si="34"/>
        <v>Very High</v>
      </c>
    </row>
    <row r="290" spans="1:19" x14ac:dyDescent="0.3">
      <c r="A290">
        <v>289</v>
      </c>
      <c r="B290" t="s">
        <v>29</v>
      </c>
      <c r="C290">
        <v>2016</v>
      </c>
      <c r="D290">
        <v>65920</v>
      </c>
      <c r="E290" t="s">
        <v>13</v>
      </c>
      <c r="F290" t="s">
        <v>18</v>
      </c>
      <c r="G290" t="s">
        <v>23</v>
      </c>
      <c r="H290">
        <v>4434</v>
      </c>
      <c r="I290">
        <v>586.9</v>
      </c>
      <c r="J290" s="2">
        <v>7.26</v>
      </c>
      <c r="K290">
        <v>5</v>
      </c>
      <c r="L290" s="1">
        <v>95686.22</v>
      </c>
      <c r="M290">
        <f t="shared" si="28"/>
        <v>8</v>
      </c>
      <c r="N290">
        <f t="shared" si="29"/>
        <v>11960.7775</v>
      </c>
      <c r="O290">
        <f t="shared" si="30"/>
        <v>8240</v>
      </c>
      <c r="P290">
        <f t="shared" si="31"/>
        <v>132.3635543527289</v>
      </c>
      <c r="Q290" t="str">
        <f t="shared" si="32"/>
        <v>Mature (8-12 years)</v>
      </c>
      <c r="R290" t="str">
        <f t="shared" si="33"/>
        <v>Low</v>
      </c>
      <c r="S290" t="str">
        <f t="shared" si="34"/>
        <v>Very High</v>
      </c>
    </row>
    <row r="291" spans="1:19" x14ac:dyDescent="0.3">
      <c r="A291">
        <v>290</v>
      </c>
      <c r="B291" t="s">
        <v>29</v>
      </c>
      <c r="C291">
        <v>2017</v>
      </c>
      <c r="D291">
        <v>68530</v>
      </c>
      <c r="E291" t="s">
        <v>17</v>
      </c>
      <c r="F291" t="s">
        <v>14</v>
      </c>
      <c r="G291" t="s">
        <v>23</v>
      </c>
      <c r="H291">
        <v>2452</v>
      </c>
      <c r="I291">
        <v>251.2</v>
      </c>
      <c r="J291" s="2">
        <v>28.7</v>
      </c>
      <c r="K291">
        <v>5</v>
      </c>
      <c r="L291" s="1">
        <v>101118.75</v>
      </c>
      <c r="M291">
        <f t="shared" si="28"/>
        <v>7</v>
      </c>
      <c r="N291">
        <f t="shared" si="29"/>
        <v>14445.535714285714</v>
      </c>
      <c r="O291">
        <f t="shared" si="30"/>
        <v>9790</v>
      </c>
      <c r="P291">
        <f t="shared" si="31"/>
        <v>102.44698205546493</v>
      </c>
      <c r="Q291" t="str">
        <f t="shared" si="32"/>
        <v>Recent (4-7 years)</v>
      </c>
      <c r="R291" t="str">
        <f t="shared" si="33"/>
        <v>Excellent</v>
      </c>
      <c r="S291" t="str">
        <f t="shared" si="34"/>
        <v>Very High</v>
      </c>
    </row>
    <row r="292" spans="1:19" x14ac:dyDescent="0.3">
      <c r="A292">
        <v>291</v>
      </c>
      <c r="B292" t="s">
        <v>21</v>
      </c>
      <c r="C292">
        <v>2006</v>
      </c>
      <c r="D292">
        <v>172296</v>
      </c>
      <c r="E292" t="s">
        <v>13</v>
      </c>
      <c r="F292" t="s">
        <v>14</v>
      </c>
      <c r="G292" t="s">
        <v>15</v>
      </c>
      <c r="H292">
        <v>4941</v>
      </c>
      <c r="I292">
        <v>489</v>
      </c>
      <c r="J292" s="2">
        <v>11.46</v>
      </c>
      <c r="K292">
        <v>6</v>
      </c>
      <c r="L292" s="1">
        <v>79608.759999999995</v>
      </c>
      <c r="M292">
        <f t="shared" si="28"/>
        <v>18</v>
      </c>
      <c r="N292">
        <f t="shared" si="29"/>
        <v>4422.7088888888884</v>
      </c>
      <c r="O292">
        <f t="shared" si="30"/>
        <v>9572</v>
      </c>
      <c r="P292">
        <f t="shared" si="31"/>
        <v>98.967820279295694</v>
      </c>
      <c r="Q292" t="str">
        <f t="shared" si="32"/>
        <v>Old (12+ years)</v>
      </c>
      <c r="R292" t="str">
        <f t="shared" si="33"/>
        <v>Low</v>
      </c>
      <c r="S292" t="str">
        <f t="shared" si="34"/>
        <v>Very High</v>
      </c>
    </row>
    <row r="293" spans="1:19" x14ac:dyDescent="0.3">
      <c r="A293">
        <v>292</v>
      </c>
      <c r="B293" t="s">
        <v>25</v>
      </c>
      <c r="C293">
        <v>2007</v>
      </c>
      <c r="D293">
        <v>12788</v>
      </c>
      <c r="E293" t="s">
        <v>17</v>
      </c>
      <c r="F293" t="s">
        <v>14</v>
      </c>
      <c r="G293" t="s">
        <v>23</v>
      </c>
      <c r="H293">
        <v>4692</v>
      </c>
      <c r="I293">
        <v>283.3</v>
      </c>
      <c r="J293" s="2">
        <v>13.43</v>
      </c>
      <c r="K293">
        <v>2</v>
      </c>
      <c r="L293" s="1">
        <v>29725.82</v>
      </c>
      <c r="M293">
        <f t="shared" si="28"/>
        <v>17</v>
      </c>
      <c r="N293">
        <f t="shared" si="29"/>
        <v>1748.5776470588235</v>
      </c>
      <c r="O293">
        <f t="shared" si="30"/>
        <v>752.23529411764707</v>
      </c>
      <c r="P293">
        <f t="shared" si="31"/>
        <v>60.37936913895993</v>
      </c>
      <c r="Q293" t="str">
        <f t="shared" si="32"/>
        <v>Old (12+ years)</v>
      </c>
      <c r="R293" t="str">
        <f t="shared" si="33"/>
        <v>Low</v>
      </c>
      <c r="S293" t="str">
        <f t="shared" si="34"/>
        <v>Very High</v>
      </c>
    </row>
    <row r="294" spans="1:19" x14ac:dyDescent="0.3">
      <c r="A294">
        <v>293</v>
      </c>
      <c r="B294" t="s">
        <v>16</v>
      </c>
      <c r="C294">
        <v>2009</v>
      </c>
      <c r="D294">
        <v>33082</v>
      </c>
      <c r="E294" t="s">
        <v>26</v>
      </c>
      <c r="F294" t="s">
        <v>14</v>
      </c>
      <c r="G294" t="s">
        <v>20</v>
      </c>
      <c r="H294">
        <v>1399</v>
      </c>
      <c r="I294">
        <v>526.9</v>
      </c>
      <c r="J294" s="2">
        <v>15.06</v>
      </c>
      <c r="K294">
        <v>7</v>
      </c>
      <c r="L294" s="1">
        <v>35059.379999999997</v>
      </c>
      <c r="M294">
        <f t="shared" si="28"/>
        <v>15</v>
      </c>
      <c r="N294">
        <f t="shared" si="29"/>
        <v>2337.2919999999999</v>
      </c>
      <c r="O294">
        <f t="shared" si="30"/>
        <v>2205.4666666666667</v>
      </c>
      <c r="P294">
        <f t="shared" si="31"/>
        <v>376.62616154395994</v>
      </c>
      <c r="Q294" t="str">
        <f t="shared" si="32"/>
        <v>Old (12+ years)</v>
      </c>
      <c r="R294" t="str">
        <f t="shared" si="33"/>
        <v>Average</v>
      </c>
      <c r="S294" t="str">
        <f t="shared" si="34"/>
        <v>Very High</v>
      </c>
    </row>
    <row r="295" spans="1:19" x14ac:dyDescent="0.3">
      <c r="A295">
        <v>294</v>
      </c>
      <c r="B295" t="s">
        <v>25</v>
      </c>
      <c r="C295">
        <v>2015</v>
      </c>
      <c r="D295">
        <v>128287</v>
      </c>
      <c r="E295" t="s">
        <v>26</v>
      </c>
      <c r="F295" t="s">
        <v>18</v>
      </c>
      <c r="G295" t="s">
        <v>20</v>
      </c>
      <c r="H295">
        <v>2712</v>
      </c>
      <c r="I295">
        <v>141.19999999999999</v>
      </c>
      <c r="J295" s="2">
        <v>6.28</v>
      </c>
      <c r="K295">
        <v>6</v>
      </c>
      <c r="L295" s="1">
        <v>39836.42</v>
      </c>
      <c r="M295">
        <f t="shared" si="28"/>
        <v>9</v>
      </c>
      <c r="N295">
        <f t="shared" si="29"/>
        <v>4426.2688888888888</v>
      </c>
      <c r="O295">
        <f t="shared" si="30"/>
        <v>14254.111111111111</v>
      </c>
      <c r="P295">
        <f t="shared" si="31"/>
        <v>52.064896755162231</v>
      </c>
      <c r="Q295" t="str">
        <f t="shared" si="32"/>
        <v>Mature (8-12 years)</v>
      </c>
      <c r="R295" t="str">
        <f t="shared" si="33"/>
        <v>Low</v>
      </c>
      <c r="S295" t="str">
        <f t="shared" si="34"/>
        <v>Medium</v>
      </c>
    </row>
    <row r="296" spans="1:19" x14ac:dyDescent="0.3">
      <c r="A296">
        <v>295</v>
      </c>
      <c r="B296" t="s">
        <v>29</v>
      </c>
      <c r="C296">
        <v>2012</v>
      </c>
      <c r="D296">
        <v>94570</v>
      </c>
      <c r="E296" t="s">
        <v>26</v>
      </c>
      <c r="F296" t="s">
        <v>14</v>
      </c>
      <c r="G296" t="s">
        <v>15</v>
      </c>
      <c r="H296">
        <v>2092</v>
      </c>
      <c r="I296">
        <v>570.70000000000005</v>
      </c>
      <c r="J296" s="2">
        <v>17.41</v>
      </c>
      <c r="K296">
        <v>4</v>
      </c>
      <c r="L296" s="1">
        <v>16666.080000000002</v>
      </c>
      <c r="M296">
        <f t="shared" si="28"/>
        <v>12</v>
      </c>
      <c r="N296">
        <f t="shared" si="29"/>
        <v>1388.8400000000001</v>
      </c>
      <c r="O296">
        <f t="shared" si="30"/>
        <v>7880.833333333333</v>
      </c>
      <c r="P296">
        <f t="shared" si="31"/>
        <v>272.80114722753348</v>
      </c>
      <c r="Q296" t="str">
        <f t="shared" si="32"/>
        <v>Mature (8-12 years)</v>
      </c>
      <c r="R296" t="str">
        <f t="shared" si="33"/>
        <v>Average</v>
      </c>
      <c r="S296" t="str">
        <f t="shared" si="34"/>
        <v>Very High</v>
      </c>
    </row>
    <row r="297" spans="1:19" x14ac:dyDescent="0.3">
      <c r="A297">
        <v>296</v>
      </c>
      <c r="B297" t="s">
        <v>29</v>
      </c>
      <c r="C297">
        <v>2016</v>
      </c>
      <c r="D297">
        <v>106015</v>
      </c>
      <c r="E297" t="s">
        <v>26</v>
      </c>
      <c r="F297" t="s">
        <v>18</v>
      </c>
      <c r="G297" t="s">
        <v>23</v>
      </c>
      <c r="H297">
        <v>1400</v>
      </c>
      <c r="I297">
        <v>162.5</v>
      </c>
      <c r="J297" s="2">
        <v>8.08</v>
      </c>
      <c r="K297">
        <v>4</v>
      </c>
      <c r="L297" s="1">
        <v>34959.68</v>
      </c>
      <c r="M297">
        <f t="shared" si="28"/>
        <v>8</v>
      </c>
      <c r="N297">
        <f t="shared" si="29"/>
        <v>4369.96</v>
      </c>
      <c r="O297">
        <f t="shared" si="30"/>
        <v>13251.875</v>
      </c>
      <c r="P297">
        <f t="shared" si="31"/>
        <v>116.07142857142858</v>
      </c>
      <c r="Q297" t="str">
        <f t="shared" si="32"/>
        <v>Mature (8-12 years)</v>
      </c>
      <c r="R297" t="str">
        <f t="shared" si="33"/>
        <v>Low</v>
      </c>
      <c r="S297" t="str">
        <f t="shared" si="34"/>
        <v>High</v>
      </c>
    </row>
    <row r="298" spans="1:19" x14ac:dyDescent="0.3">
      <c r="A298">
        <v>297</v>
      </c>
      <c r="B298" t="s">
        <v>21</v>
      </c>
      <c r="C298">
        <v>2011</v>
      </c>
      <c r="D298">
        <v>88588</v>
      </c>
      <c r="E298" t="s">
        <v>26</v>
      </c>
      <c r="F298" t="s">
        <v>14</v>
      </c>
      <c r="G298" t="s">
        <v>20</v>
      </c>
      <c r="H298">
        <v>1180</v>
      </c>
      <c r="I298">
        <v>222.7</v>
      </c>
      <c r="J298" s="2">
        <v>15.02</v>
      </c>
      <c r="K298">
        <v>4</v>
      </c>
      <c r="L298" s="1">
        <v>27513.75</v>
      </c>
      <c r="M298">
        <f t="shared" si="28"/>
        <v>13</v>
      </c>
      <c r="N298">
        <f t="shared" si="29"/>
        <v>2116.4423076923076</v>
      </c>
      <c r="O298">
        <f t="shared" si="30"/>
        <v>6814.4615384615381</v>
      </c>
      <c r="P298">
        <f t="shared" si="31"/>
        <v>188.72881355932202</v>
      </c>
      <c r="Q298" t="str">
        <f t="shared" si="32"/>
        <v>Old (12+ years)</v>
      </c>
      <c r="R298" t="str">
        <f t="shared" si="33"/>
        <v>Average</v>
      </c>
      <c r="S298" t="str">
        <f t="shared" si="34"/>
        <v>Very High</v>
      </c>
    </row>
    <row r="299" spans="1:19" x14ac:dyDescent="0.3">
      <c r="A299">
        <v>298</v>
      </c>
      <c r="B299" t="s">
        <v>27</v>
      </c>
      <c r="C299">
        <v>2019</v>
      </c>
      <c r="D299">
        <v>152603</v>
      </c>
      <c r="E299" t="s">
        <v>13</v>
      </c>
      <c r="F299" t="s">
        <v>14</v>
      </c>
      <c r="G299" t="s">
        <v>20</v>
      </c>
      <c r="H299">
        <v>4437</v>
      </c>
      <c r="I299">
        <v>463.5</v>
      </c>
      <c r="J299" s="2">
        <v>13.77</v>
      </c>
      <c r="K299">
        <v>6</v>
      </c>
      <c r="L299" s="1">
        <v>56273.46</v>
      </c>
      <c r="M299">
        <f t="shared" si="28"/>
        <v>5</v>
      </c>
      <c r="N299">
        <f t="shared" si="29"/>
        <v>11254.691999999999</v>
      </c>
      <c r="O299">
        <f t="shared" si="30"/>
        <v>30520.6</v>
      </c>
      <c r="P299">
        <f t="shared" si="31"/>
        <v>104.46247464503043</v>
      </c>
      <c r="Q299" t="str">
        <f t="shared" si="32"/>
        <v>Recent (4-7 years)</v>
      </c>
      <c r="R299" t="str">
        <f t="shared" si="33"/>
        <v>Low</v>
      </c>
      <c r="S299" t="str">
        <f t="shared" si="34"/>
        <v>Very High</v>
      </c>
    </row>
    <row r="300" spans="1:19" x14ac:dyDescent="0.3">
      <c r="A300">
        <v>299</v>
      </c>
      <c r="B300" t="s">
        <v>25</v>
      </c>
      <c r="C300">
        <v>2021</v>
      </c>
      <c r="D300">
        <v>93340</v>
      </c>
      <c r="E300" t="s">
        <v>26</v>
      </c>
      <c r="F300" t="s">
        <v>14</v>
      </c>
      <c r="G300" t="s">
        <v>23</v>
      </c>
      <c r="H300">
        <v>2963</v>
      </c>
      <c r="I300">
        <v>260.5</v>
      </c>
      <c r="J300" s="2">
        <v>24.32</v>
      </c>
      <c r="K300">
        <v>7</v>
      </c>
      <c r="L300" s="1">
        <v>109287.19</v>
      </c>
      <c r="M300">
        <f t="shared" si="28"/>
        <v>3</v>
      </c>
      <c r="N300">
        <f t="shared" si="29"/>
        <v>36429.063333333332</v>
      </c>
      <c r="O300">
        <f t="shared" si="30"/>
        <v>31113.333333333332</v>
      </c>
      <c r="P300">
        <f t="shared" si="31"/>
        <v>87.917651029362133</v>
      </c>
      <c r="Q300" t="str">
        <f t="shared" si="32"/>
        <v>New (0-3 years)</v>
      </c>
      <c r="R300" t="str">
        <f t="shared" si="33"/>
        <v>Good</v>
      </c>
      <c r="S300" t="str">
        <f t="shared" si="34"/>
        <v>Very High</v>
      </c>
    </row>
    <row r="301" spans="1:19" x14ac:dyDescent="0.3">
      <c r="A301">
        <v>300</v>
      </c>
      <c r="B301" t="s">
        <v>30</v>
      </c>
      <c r="C301">
        <v>2008</v>
      </c>
      <c r="D301">
        <v>99439</v>
      </c>
      <c r="E301" t="s">
        <v>22</v>
      </c>
      <c r="F301" t="s">
        <v>14</v>
      </c>
      <c r="G301" t="s">
        <v>23</v>
      </c>
      <c r="H301">
        <v>1898</v>
      </c>
      <c r="I301">
        <v>380.6</v>
      </c>
      <c r="J301" s="2">
        <v>25.08</v>
      </c>
      <c r="K301">
        <v>5</v>
      </c>
      <c r="L301" s="1">
        <v>15224.2</v>
      </c>
      <c r="M301">
        <f t="shared" si="28"/>
        <v>16</v>
      </c>
      <c r="N301">
        <f t="shared" si="29"/>
        <v>951.51250000000005</v>
      </c>
      <c r="O301">
        <f t="shared" si="30"/>
        <v>6214.9375</v>
      </c>
      <c r="P301">
        <f t="shared" si="31"/>
        <v>200.52687038988412</v>
      </c>
      <c r="Q301" t="str">
        <f t="shared" si="32"/>
        <v>Old (12+ years)</v>
      </c>
      <c r="R301" t="str">
        <f t="shared" si="33"/>
        <v>Excellent</v>
      </c>
      <c r="S301" t="str">
        <f t="shared" si="34"/>
        <v>Very High</v>
      </c>
    </row>
    <row r="302" spans="1:19" x14ac:dyDescent="0.3">
      <c r="A302">
        <v>301</v>
      </c>
      <c r="B302" t="s">
        <v>21</v>
      </c>
      <c r="C302">
        <v>2017</v>
      </c>
      <c r="D302">
        <v>180929</v>
      </c>
      <c r="E302" t="s">
        <v>22</v>
      </c>
      <c r="F302" t="s">
        <v>18</v>
      </c>
      <c r="G302" t="s">
        <v>20</v>
      </c>
      <c r="H302">
        <v>1165</v>
      </c>
      <c r="I302">
        <v>289</v>
      </c>
      <c r="J302" s="2">
        <v>8.84</v>
      </c>
      <c r="K302">
        <v>2</v>
      </c>
      <c r="L302" s="1">
        <v>87271.35</v>
      </c>
      <c r="M302">
        <f t="shared" si="28"/>
        <v>7</v>
      </c>
      <c r="N302">
        <f t="shared" si="29"/>
        <v>12467.335714285715</v>
      </c>
      <c r="O302">
        <f t="shared" si="30"/>
        <v>25847</v>
      </c>
      <c r="P302">
        <f t="shared" si="31"/>
        <v>248.06866952789699</v>
      </c>
      <c r="Q302" t="str">
        <f t="shared" si="32"/>
        <v>Recent (4-7 years)</v>
      </c>
      <c r="R302" t="str">
        <f t="shared" si="33"/>
        <v>Low</v>
      </c>
      <c r="S302" t="str">
        <f t="shared" si="34"/>
        <v>Very High</v>
      </c>
    </row>
    <row r="303" spans="1:19" x14ac:dyDescent="0.3">
      <c r="A303">
        <v>302</v>
      </c>
      <c r="B303" t="s">
        <v>19</v>
      </c>
      <c r="C303">
        <v>2022</v>
      </c>
      <c r="D303">
        <v>146214</v>
      </c>
      <c r="E303" t="s">
        <v>13</v>
      </c>
      <c r="F303" t="s">
        <v>18</v>
      </c>
      <c r="G303" t="s">
        <v>20</v>
      </c>
      <c r="H303">
        <v>3370</v>
      </c>
      <c r="I303">
        <v>455.7</v>
      </c>
      <c r="J303" s="2">
        <v>14.16</v>
      </c>
      <c r="K303">
        <v>5</v>
      </c>
      <c r="L303" s="1">
        <v>83412.11</v>
      </c>
      <c r="M303">
        <f t="shared" si="28"/>
        <v>2</v>
      </c>
      <c r="N303">
        <f t="shared" si="29"/>
        <v>41706.055</v>
      </c>
      <c r="O303">
        <f t="shared" si="30"/>
        <v>73107</v>
      </c>
      <c r="P303">
        <f t="shared" si="31"/>
        <v>135.22255192878339</v>
      </c>
      <c r="Q303" t="str">
        <f t="shared" si="32"/>
        <v>New (0-3 years)</v>
      </c>
      <c r="R303" t="str">
        <f t="shared" si="33"/>
        <v>Low</v>
      </c>
      <c r="S303" t="str">
        <f t="shared" si="34"/>
        <v>Very High</v>
      </c>
    </row>
    <row r="304" spans="1:19" x14ac:dyDescent="0.3">
      <c r="A304">
        <v>303</v>
      </c>
      <c r="B304" t="s">
        <v>29</v>
      </c>
      <c r="C304">
        <v>2005</v>
      </c>
      <c r="D304">
        <v>120053</v>
      </c>
      <c r="E304" t="s">
        <v>17</v>
      </c>
      <c r="F304" t="s">
        <v>18</v>
      </c>
      <c r="G304" t="s">
        <v>15</v>
      </c>
      <c r="H304">
        <v>4219</v>
      </c>
      <c r="I304">
        <v>167.9</v>
      </c>
      <c r="J304" s="2">
        <v>14.33</v>
      </c>
      <c r="K304">
        <v>7</v>
      </c>
      <c r="L304" s="1">
        <v>14203.24</v>
      </c>
      <c r="M304">
        <f t="shared" si="28"/>
        <v>19</v>
      </c>
      <c r="N304">
        <f t="shared" si="29"/>
        <v>747.53894736842108</v>
      </c>
      <c r="O304">
        <f t="shared" si="30"/>
        <v>6318.5789473684208</v>
      </c>
      <c r="P304">
        <f t="shared" si="31"/>
        <v>39.796160227542067</v>
      </c>
      <c r="Q304" t="str">
        <f t="shared" si="32"/>
        <v>Old (12+ years)</v>
      </c>
      <c r="R304" t="str">
        <f t="shared" si="33"/>
        <v>Low</v>
      </c>
      <c r="S304" t="str">
        <f t="shared" si="34"/>
        <v>High</v>
      </c>
    </row>
    <row r="305" spans="1:19" x14ac:dyDescent="0.3">
      <c r="A305">
        <v>304</v>
      </c>
      <c r="B305" t="s">
        <v>21</v>
      </c>
      <c r="C305">
        <v>2020</v>
      </c>
      <c r="D305">
        <v>53355</v>
      </c>
      <c r="E305" t="s">
        <v>22</v>
      </c>
      <c r="F305" t="s">
        <v>14</v>
      </c>
      <c r="G305" t="s">
        <v>15</v>
      </c>
      <c r="H305">
        <v>3276</v>
      </c>
      <c r="I305">
        <v>72.7</v>
      </c>
      <c r="J305" s="2">
        <v>8.7899999999999991</v>
      </c>
      <c r="K305">
        <v>5</v>
      </c>
      <c r="L305" s="1">
        <v>110940.97</v>
      </c>
      <c r="M305">
        <f t="shared" si="28"/>
        <v>4</v>
      </c>
      <c r="N305">
        <f t="shared" si="29"/>
        <v>27735.2425</v>
      </c>
      <c r="O305">
        <f t="shared" si="30"/>
        <v>13338.75</v>
      </c>
      <c r="P305">
        <f t="shared" si="31"/>
        <v>22.191697191697195</v>
      </c>
      <c r="Q305" t="str">
        <f t="shared" si="32"/>
        <v>Recent (4-7 years)</v>
      </c>
      <c r="R305" t="str">
        <f t="shared" si="33"/>
        <v>Low</v>
      </c>
      <c r="S305" t="str">
        <f t="shared" si="34"/>
        <v>Low</v>
      </c>
    </row>
    <row r="306" spans="1:19" x14ac:dyDescent="0.3">
      <c r="A306">
        <v>305</v>
      </c>
      <c r="B306" t="s">
        <v>25</v>
      </c>
      <c r="C306">
        <v>2017</v>
      </c>
      <c r="D306">
        <v>145938</v>
      </c>
      <c r="E306" t="s">
        <v>17</v>
      </c>
      <c r="F306" t="s">
        <v>14</v>
      </c>
      <c r="G306" t="s">
        <v>20</v>
      </c>
      <c r="H306">
        <v>1590</v>
      </c>
      <c r="I306">
        <v>208</v>
      </c>
      <c r="J306" s="2">
        <v>24.96</v>
      </c>
      <c r="K306">
        <v>6</v>
      </c>
      <c r="L306" s="1">
        <v>69511.25</v>
      </c>
      <c r="M306">
        <f t="shared" si="28"/>
        <v>7</v>
      </c>
      <c r="N306">
        <f t="shared" si="29"/>
        <v>9930.1785714285706</v>
      </c>
      <c r="O306">
        <f t="shared" si="30"/>
        <v>20848.285714285714</v>
      </c>
      <c r="P306">
        <f t="shared" si="31"/>
        <v>130.81761006289307</v>
      </c>
      <c r="Q306" t="str">
        <f t="shared" si="32"/>
        <v>Recent (4-7 years)</v>
      </c>
      <c r="R306" t="str">
        <f t="shared" si="33"/>
        <v>Good</v>
      </c>
      <c r="S306" t="str">
        <f t="shared" si="34"/>
        <v>Very High</v>
      </c>
    </row>
    <row r="307" spans="1:19" x14ac:dyDescent="0.3">
      <c r="A307">
        <v>306</v>
      </c>
      <c r="B307" t="s">
        <v>29</v>
      </c>
      <c r="C307">
        <v>2014</v>
      </c>
      <c r="D307">
        <v>130426</v>
      </c>
      <c r="E307" t="s">
        <v>13</v>
      </c>
      <c r="F307" t="s">
        <v>18</v>
      </c>
      <c r="G307" t="s">
        <v>15</v>
      </c>
      <c r="H307">
        <v>4369</v>
      </c>
      <c r="I307">
        <v>305.60000000000002</v>
      </c>
      <c r="J307" s="2">
        <v>22.68</v>
      </c>
      <c r="K307">
        <v>4</v>
      </c>
      <c r="L307" s="1">
        <v>45555.89</v>
      </c>
      <c r="M307">
        <f t="shared" si="28"/>
        <v>10</v>
      </c>
      <c r="N307">
        <f t="shared" si="29"/>
        <v>4555.5889999999999</v>
      </c>
      <c r="O307">
        <f t="shared" si="30"/>
        <v>13042.6</v>
      </c>
      <c r="P307">
        <f t="shared" si="31"/>
        <v>69.947356374456405</v>
      </c>
      <c r="Q307" t="str">
        <f t="shared" si="32"/>
        <v>Mature (8-12 years)</v>
      </c>
      <c r="R307" t="str">
        <f t="shared" si="33"/>
        <v>Good</v>
      </c>
      <c r="S307" t="str">
        <f t="shared" si="34"/>
        <v>Very High</v>
      </c>
    </row>
    <row r="308" spans="1:19" x14ac:dyDescent="0.3">
      <c r="A308">
        <v>307</v>
      </c>
      <c r="B308" t="s">
        <v>16</v>
      </c>
      <c r="C308">
        <v>2016</v>
      </c>
      <c r="D308">
        <v>69027</v>
      </c>
      <c r="E308" t="s">
        <v>17</v>
      </c>
      <c r="F308" t="s">
        <v>18</v>
      </c>
      <c r="G308" t="s">
        <v>20</v>
      </c>
      <c r="H308">
        <v>1546</v>
      </c>
      <c r="I308">
        <v>134.1</v>
      </c>
      <c r="J308" s="2">
        <v>9.76</v>
      </c>
      <c r="K308">
        <v>7</v>
      </c>
      <c r="L308" s="1">
        <v>91515.01</v>
      </c>
      <c r="M308">
        <f t="shared" si="28"/>
        <v>8</v>
      </c>
      <c r="N308">
        <f t="shared" si="29"/>
        <v>11439.376249999999</v>
      </c>
      <c r="O308">
        <f t="shared" si="30"/>
        <v>8628.375</v>
      </c>
      <c r="P308">
        <f t="shared" si="31"/>
        <v>86.739974126778776</v>
      </c>
      <c r="Q308" t="str">
        <f t="shared" si="32"/>
        <v>Mature (8-12 years)</v>
      </c>
      <c r="R308" t="str">
        <f t="shared" si="33"/>
        <v>Low</v>
      </c>
      <c r="S308" t="str">
        <f t="shared" si="34"/>
        <v>Medium</v>
      </c>
    </row>
    <row r="309" spans="1:19" x14ac:dyDescent="0.3">
      <c r="A309">
        <v>308</v>
      </c>
      <c r="B309" t="s">
        <v>21</v>
      </c>
      <c r="C309">
        <v>2006</v>
      </c>
      <c r="D309">
        <v>193978</v>
      </c>
      <c r="E309" t="s">
        <v>17</v>
      </c>
      <c r="F309" t="s">
        <v>14</v>
      </c>
      <c r="G309" t="s">
        <v>20</v>
      </c>
      <c r="H309">
        <v>1112</v>
      </c>
      <c r="I309">
        <v>238.7</v>
      </c>
      <c r="J309" s="2">
        <v>14.17</v>
      </c>
      <c r="K309">
        <v>7</v>
      </c>
      <c r="L309" s="1">
        <v>33111.760000000002</v>
      </c>
      <c r="M309">
        <f t="shared" si="28"/>
        <v>18</v>
      </c>
      <c r="N309">
        <f t="shared" si="29"/>
        <v>1839.5422222222223</v>
      </c>
      <c r="O309">
        <f t="shared" si="30"/>
        <v>10776.555555555555</v>
      </c>
      <c r="P309">
        <f t="shared" si="31"/>
        <v>214.65827338129495</v>
      </c>
      <c r="Q309" t="str">
        <f t="shared" si="32"/>
        <v>Old (12+ years)</v>
      </c>
      <c r="R309" t="str">
        <f t="shared" si="33"/>
        <v>Low</v>
      </c>
      <c r="S309" t="str">
        <f t="shared" si="34"/>
        <v>Very High</v>
      </c>
    </row>
    <row r="310" spans="1:19" x14ac:dyDescent="0.3">
      <c r="A310">
        <v>309</v>
      </c>
      <c r="B310" t="s">
        <v>12</v>
      </c>
      <c r="C310">
        <v>2007</v>
      </c>
      <c r="D310">
        <v>164210</v>
      </c>
      <c r="E310" t="s">
        <v>17</v>
      </c>
      <c r="F310" t="s">
        <v>14</v>
      </c>
      <c r="G310" t="s">
        <v>15</v>
      </c>
      <c r="H310">
        <v>1720</v>
      </c>
      <c r="I310">
        <v>264</v>
      </c>
      <c r="J310" s="2">
        <v>7.65</v>
      </c>
      <c r="K310">
        <v>5</v>
      </c>
      <c r="L310" s="1">
        <v>84140.65</v>
      </c>
      <c r="M310">
        <f t="shared" si="28"/>
        <v>17</v>
      </c>
      <c r="N310">
        <f t="shared" si="29"/>
        <v>4949.45</v>
      </c>
      <c r="O310">
        <f t="shared" si="30"/>
        <v>9659.4117647058829</v>
      </c>
      <c r="P310">
        <f t="shared" si="31"/>
        <v>153.48837209302326</v>
      </c>
      <c r="Q310" t="str">
        <f t="shared" si="32"/>
        <v>Old (12+ years)</v>
      </c>
      <c r="R310" t="str">
        <f t="shared" si="33"/>
        <v>Low</v>
      </c>
      <c r="S310" t="str">
        <f t="shared" si="34"/>
        <v>Very High</v>
      </c>
    </row>
    <row r="311" spans="1:19" x14ac:dyDescent="0.3">
      <c r="A311">
        <v>310</v>
      </c>
      <c r="B311" t="s">
        <v>29</v>
      </c>
      <c r="C311">
        <v>2014</v>
      </c>
      <c r="D311">
        <v>97601</v>
      </c>
      <c r="E311" t="s">
        <v>17</v>
      </c>
      <c r="F311" t="s">
        <v>18</v>
      </c>
      <c r="G311" t="s">
        <v>15</v>
      </c>
      <c r="H311">
        <v>1877</v>
      </c>
      <c r="I311">
        <v>72.099999999999994</v>
      </c>
      <c r="J311" s="2">
        <v>20.71</v>
      </c>
      <c r="K311">
        <v>6</v>
      </c>
      <c r="L311" s="1">
        <v>7646.21</v>
      </c>
      <c r="M311">
        <f t="shared" si="28"/>
        <v>10</v>
      </c>
      <c r="N311">
        <f t="shared" si="29"/>
        <v>764.62099999999998</v>
      </c>
      <c r="O311">
        <f t="shared" si="30"/>
        <v>9760.1</v>
      </c>
      <c r="P311">
        <f t="shared" si="31"/>
        <v>38.412360149174212</v>
      </c>
      <c r="Q311" t="str">
        <f t="shared" si="32"/>
        <v>Mature (8-12 years)</v>
      </c>
      <c r="R311" t="str">
        <f t="shared" si="33"/>
        <v>Good</v>
      </c>
      <c r="S311" t="str">
        <f t="shared" si="34"/>
        <v>Low</v>
      </c>
    </row>
    <row r="312" spans="1:19" x14ac:dyDescent="0.3">
      <c r="A312">
        <v>311</v>
      </c>
      <c r="B312" t="s">
        <v>25</v>
      </c>
      <c r="C312">
        <v>2006</v>
      </c>
      <c r="D312">
        <v>34956</v>
      </c>
      <c r="E312" t="s">
        <v>13</v>
      </c>
      <c r="F312" t="s">
        <v>14</v>
      </c>
      <c r="G312" t="s">
        <v>23</v>
      </c>
      <c r="H312">
        <v>3629</v>
      </c>
      <c r="I312">
        <v>366.7</v>
      </c>
      <c r="J312" s="2">
        <v>8.0299999999999994</v>
      </c>
      <c r="K312">
        <v>5</v>
      </c>
      <c r="L312" s="1">
        <v>101210.74</v>
      </c>
      <c r="M312">
        <f t="shared" si="28"/>
        <v>18</v>
      </c>
      <c r="N312">
        <f t="shared" si="29"/>
        <v>5622.818888888889</v>
      </c>
      <c r="O312">
        <f t="shared" si="30"/>
        <v>1942</v>
      </c>
      <c r="P312">
        <f t="shared" si="31"/>
        <v>101.04712041884817</v>
      </c>
      <c r="Q312" t="str">
        <f t="shared" si="32"/>
        <v>Old (12+ years)</v>
      </c>
      <c r="R312" t="str">
        <f t="shared" si="33"/>
        <v>Low</v>
      </c>
      <c r="S312" t="str">
        <f t="shared" si="34"/>
        <v>Very High</v>
      </c>
    </row>
    <row r="313" spans="1:19" x14ac:dyDescent="0.3">
      <c r="A313">
        <v>312</v>
      </c>
      <c r="B313" t="s">
        <v>28</v>
      </c>
      <c r="C313">
        <v>2017</v>
      </c>
      <c r="D313">
        <v>109797</v>
      </c>
      <c r="E313" t="s">
        <v>22</v>
      </c>
      <c r="F313" t="s">
        <v>14</v>
      </c>
      <c r="G313" t="s">
        <v>23</v>
      </c>
      <c r="H313">
        <v>3181</v>
      </c>
      <c r="I313">
        <v>535.20000000000005</v>
      </c>
      <c r="J313" s="2">
        <v>29.65</v>
      </c>
      <c r="K313">
        <v>5</v>
      </c>
      <c r="L313" s="1">
        <v>55435.99</v>
      </c>
      <c r="M313">
        <f t="shared" si="28"/>
        <v>7</v>
      </c>
      <c r="N313">
        <f t="shared" si="29"/>
        <v>7919.4271428571428</v>
      </c>
      <c r="O313">
        <f t="shared" si="30"/>
        <v>15685.285714285714</v>
      </c>
      <c r="P313">
        <f t="shared" si="31"/>
        <v>168.24897830870796</v>
      </c>
      <c r="Q313" t="str">
        <f t="shared" si="32"/>
        <v>Recent (4-7 years)</v>
      </c>
      <c r="R313" t="str">
        <f t="shared" si="33"/>
        <v>Excellent</v>
      </c>
      <c r="S313" t="str">
        <f t="shared" si="34"/>
        <v>Very High</v>
      </c>
    </row>
    <row r="314" spans="1:19" x14ac:dyDescent="0.3">
      <c r="A314">
        <v>313</v>
      </c>
      <c r="B314" t="s">
        <v>30</v>
      </c>
      <c r="C314">
        <v>2017</v>
      </c>
      <c r="D314">
        <v>129917</v>
      </c>
      <c r="E314" t="s">
        <v>26</v>
      </c>
      <c r="F314" t="s">
        <v>18</v>
      </c>
      <c r="G314" t="s">
        <v>23</v>
      </c>
      <c r="H314">
        <v>4418</v>
      </c>
      <c r="I314">
        <v>125</v>
      </c>
      <c r="J314" s="2">
        <v>24.52</v>
      </c>
      <c r="K314">
        <v>7</v>
      </c>
      <c r="L314" s="1">
        <v>77493.070000000007</v>
      </c>
      <c r="M314">
        <f t="shared" si="28"/>
        <v>7</v>
      </c>
      <c r="N314">
        <f t="shared" si="29"/>
        <v>11070.438571428573</v>
      </c>
      <c r="O314">
        <f t="shared" si="30"/>
        <v>18559.571428571428</v>
      </c>
      <c r="P314">
        <f t="shared" si="31"/>
        <v>28.293345405160704</v>
      </c>
      <c r="Q314" t="str">
        <f t="shared" si="32"/>
        <v>Recent (4-7 years)</v>
      </c>
      <c r="R314" t="str">
        <f t="shared" si="33"/>
        <v>Good</v>
      </c>
      <c r="S314" t="str">
        <f t="shared" si="34"/>
        <v>Medium</v>
      </c>
    </row>
    <row r="315" spans="1:19" x14ac:dyDescent="0.3">
      <c r="A315">
        <v>314</v>
      </c>
      <c r="B315" t="s">
        <v>24</v>
      </c>
      <c r="C315">
        <v>2022</v>
      </c>
      <c r="D315">
        <v>131303</v>
      </c>
      <c r="E315" t="s">
        <v>17</v>
      </c>
      <c r="F315" t="s">
        <v>14</v>
      </c>
      <c r="G315" t="s">
        <v>20</v>
      </c>
      <c r="H315">
        <v>1597</v>
      </c>
      <c r="I315">
        <v>374.8</v>
      </c>
      <c r="J315" s="2">
        <v>14.76</v>
      </c>
      <c r="K315">
        <v>5</v>
      </c>
      <c r="L315" s="1">
        <v>28884.82</v>
      </c>
      <c r="M315">
        <f t="shared" si="28"/>
        <v>2</v>
      </c>
      <c r="N315">
        <f t="shared" si="29"/>
        <v>14442.41</v>
      </c>
      <c r="O315">
        <f t="shared" si="30"/>
        <v>65651.5</v>
      </c>
      <c r="P315">
        <f t="shared" si="31"/>
        <v>234.69004383218535</v>
      </c>
      <c r="Q315" t="str">
        <f t="shared" si="32"/>
        <v>New (0-3 years)</v>
      </c>
      <c r="R315" t="str">
        <f t="shared" si="33"/>
        <v>Low</v>
      </c>
      <c r="S315" t="str">
        <f t="shared" si="34"/>
        <v>Very High</v>
      </c>
    </row>
    <row r="316" spans="1:19" x14ac:dyDescent="0.3">
      <c r="A316">
        <v>315</v>
      </c>
      <c r="B316" t="s">
        <v>27</v>
      </c>
      <c r="C316">
        <v>2007</v>
      </c>
      <c r="D316">
        <v>141511</v>
      </c>
      <c r="E316" t="s">
        <v>22</v>
      </c>
      <c r="F316" t="s">
        <v>18</v>
      </c>
      <c r="G316" t="s">
        <v>15</v>
      </c>
      <c r="H316">
        <v>1072</v>
      </c>
      <c r="I316">
        <v>412.3</v>
      </c>
      <c r="J316" s="2">
        <v>19.46</v>
      </c>
      <c r="K316">
        <v>4</v>
      </c>
      <c r="L316" s="1">
        <v>82217.62</v>
      </c>
      <c r="M316">
        <f t="shared" si="28"/>
        <v>17</v>
      </c>
      <c r="N316">
        <f t="shared" si="29"/>
        <v>4836.3305882352943</v>
      </c>
      <c r="O316">
        <f t="shared" si="30"/>
        <v>8324.176470588236</v>
      </c>
      <c r="P316">
        <f t="shared" si="31"/>
        <v>384.60820895522386</v>
      </c>
      <c r="Q316" t="str">
        <f t="shared" si="32"/>
        <v>Old (12+ years)</v>
      </c>
      <c r="R316" t="str">
        <f t="shared" si="33"/>
        <v>Average</v>
      </c>
      <c r="S316" t="str">
        <f t="shared" si="34"/>
        <v>Very High</v>
      </c>
    </row>
    <row r="317" spans="1:19" x14ac:dyDescent="0.3">
      <c r="A317">
        <v>316</v>
      </c>
      <c r="B317" t="s">
        <v>24</v>
      </c>
      <c r="C317">
        <v>2011</v>
      </c>
      <c r="D317">
        <v>183313</v>
      </c>
      <c r="E317" t="s">
        <v>22</v>
      </c>
      <c r="F317" t="s">
        <v>14</v>
      </c>
      <c r="G317" t="s">
        <v>20</v>
      </c>
      <c r="H317">
        <v>3810</v>
      </c>
      <c r="I317">
        <v>274.8</v>
      </c>
      <c r="J317" s="2">
        <v>27.78</v>
      </c>
      <c r="K317">
        <v>5</v>
      </c>
      <c r="L317" s="1">
        <v>93352.11</v>
      </c>
      <c r="M317">
        <f t="shared" si="28"/>
        <v>13</v>
      </c>
      <c r="N317">
        <f t="shared" si="29"/>
        <v>7180.9315384615384</v>
      </c>
      <c r="O317">
        <f t="shared" si="30"/>
        <v>14101</v>
      </c>
      <c r="P317">
        <f t="shared" si="31"/>
        <v>72.125984251968504</v>
      </c>
      <c r="Q317" t="str">
        <f t="shared" si="32"/>
        <v>Old (12+ years)</v>
      </c>
      <c r="R317" t="str">
        <f t="shared" si="33"/>
        <v>Excellent</v>
      </c>
      <c r="S317" t="str">
        <f t="shared" si="34"/>
        <v>Very High</v>
      </c>
    </row>
    <row r="318" spans="1:19" x14ac:dyDescent="0.3">
      <c r="A318">
        <v>317</v>
      </c>
      <c r="B318" t="s">
        <v>25</v>
      </c>
      <c r="C318">
        <v>2018</v>
      </c>
      <c r="D318">
        <v>47533</v>
      </c>
      <c r="E318" t="s">
        <v>13</v>
      </c>
      <c r="F318" t="s">
        <v>18</v>
      </c>
      <c r="G318" t="s">
        <v>15</v>
      </c>
      <c r="H318">
        <v>2573</v>
      </c>
      <c r="I318">
        <v>432.6</v>
      </c>
      <c r="J318" s="2">
        <v>18.850000000000001</v>
      </c>
      <c r="K318">
        <v>4</v>
      </c>
      <c r="L318" s="1">
        <v>58365.94</v>
      </c>
      <c r="M318">
        <f t="shared" si="28"/>
        <v>6</v>
      </c>
      <c r="N318">
        <f t="shared" si="29"/>
        <v>9727.6566666666677</v>
      </c>
      <c r="O318">
        <f t="shared" si="30"/>
        <v>7922.166666666667</v>
      </c>
      <c r="P318">
        <f t="shared" si="31"/>
        <v>168.13058686358337</v>
      </c>
      <c r="Q318" t="str">
        <f t="shared" si="32"/>
        <v>Recent (4-7 years)</v>
      </c>
      <c r="R318" t="str">
        <f t="shared" si="33"/>
        <v>Average</v>
      </c>
      <c r="S318" t="str">
        <f t="shared" si="34"/>
        <v>Very High</v>
      </c>
    </row>
    <row r="319" spans="1:19" x14ac:dyDescent="0.3">
      <c r="A319">
        <v>318</v>
      </c>
      <c r="B319" t="s">
        <v>19</v>
      </c>
      <c r="C319">
        <v>2024</v>
      </c>
      <c r="D319">
        <v>164342</v>
      </c>
      <c r="E319" t="s">
        <v>22</v>
      </c>
      <c r="F319" t="s">
        <v>14</v>
      </c>
      <c r="G319" t="s">
        <v>20</v>
      </c>
      <c r="H319">
        <v>3347</v>
      </c>
      <c r="I319">
        <v>270</v>
      </c>
      <c r="J319" s="2">
        <v>9.36</v>
      </c>
      <c r="K319">
        <v>7</v>
      </c>
      <c r="L319" s="1">
        <v>75274.05</v>
      </c>
      <c r="M319">
        <f t="shared" si="28"/>
        <v>0</v>
      </c>
      <c r="N319">
        <f t="shared" si="29"/>
        <v>75274.05</v>
      </c>
      <c r="O319">
        <f t="shared" si="30"/>
        <v>164342</v>
      </c>
      <c r="P319">
        <f t="shared" si="31"/>
        <v>80.669256050194207</v>
      </c>
      <c r="Q319" t="str">
        <f t="shared" si="32"/>
        <v>New (0-3 years)</v>
      </c>
      <c r="R319" t="str">
        <f t="shared" si="33"/>
        <v>Low</v>
      </c>
      <c r="S319" t="str">
        <f t="shared" si="34"/>
        <v>Very High</v>
      </c>
    </row>
    <row r="320" spans="1:19" x14ac:dyDescent="0.3">
      <c r="A320">
        <v>319</v>
      </c>
      <c r="B320" t="s">
        <v>19</v>
      </c>
      <c r="C320">
        <v>2021</v>
      </c>
      <c r="D320">
        <v>83815</v>
      </c>
      <c r="E320" t="s">
        <v>13</v>
      </c>
      <c r="F320" t="s">
        <v>18</v>
      </c>
      <c r="G320" t="s">
        <v>23</v>
      </c>
      <c r="H320">
        <v>3964</v>
      </c>
      <c r="I320">
        <v>322.60000000000002</v>
      </c>
      <c r="J320" s="2">
        <v>14.47</v>
      </c>
      <c r="K320">
        <v>6</v>
      </c>
      <c r="L320" s="1">
        <v>56390.13</v>
      </c>
      <c r="M320">
        <f t="shared" si="28"/>
        <v>3</v>
      </c>
      <c r="N320">
        <f t="shared" si="29"/>
        <v>18796.71</v>
      </c>
      <c r="O320">
        <f t="shared" si="30"/>
        <v>27938.333333333332</v>
      </c>
      <c r="P320">
        <f t="shared" si="31"/>
        <v>81.382441977800212</v>
      </c>
      <c r="Q320" t="str">
        <f t="shared" si="32"/>
        <v>New (0-3 years)</v>
      </c>
      <c r="R320" t="str">
        <f t="shared" si="33"/>
        <v>Low</v>
      </c>
      <c r="S320" t="str">
        <f t="shared" si="34"/>
        <v>Very High</v>
      </c>
    </row>
    <row r="321" spans="1:19" x14ac:dyDescent="0.3">
      <c r="A321">
        <v>320</v>
      </c>
      <c r="B321" t="s">
        <v>28</v>
      </c>
      <c r="C321">
        <v>2016</v>
      </c>
      <c r="D321">
        <v>44279</v>
      </c>
      <c r="E321" t="s">
        <v>17</v>
      </c>
      <c r="F321" t="s">
        <v>18</v>
      </c>
      <c r="G321" t="s">
        <v>23</v>
      </c>
      <c r="H321">
        <v>1746</v>
      </c>
      <c r="I321">
        <v>44.1</v>
      </c>
      <c r="J321" s="2">
        <v>26.08</v>
      </c>
      <c r="K321">
        <v>4</v>
      </c>
      <c r="L321" s="1">
        <v>107608.69</v>
      </c>
      <c r="M321">
        <f t="shared" si="28"/>
        <v>8</v>
      </c>
      <c r="N321">
        <f t="shared" si="29"/>
        <v>13451.08625</v>
      </c>
      <c r="O321">
        <f t="shared" si="30"/>
        <v>5534.875</v>
      </c>
      <c r="P321">
        <f t="shared" si="31"/>
        <v>25.257731958762889</v>
      </c>
      <c r="Q321" t="str">
        <f t="shared" si="32"/>
        <v>Mature (8-12 years)</v>
      </c>
      <c r="R321" t="str">
        <f t="shared" si="33"/>
        <v>Excellent</v>
      </c>
      <c r="S321" t="str">
        <f t="shared" si="34"/>
        <v>Low</v>
      </c>
    </row>
    <row r="322" spans="1:19" x14ac:dyDescent="0.3">
      <c r="A322">
        <v>321</v>
      </c>
      <c r="B322" t="s">
        <v>27</v>
      </c>
      <c r="C322">
        <v>2020</v>
      </c>
      <c r="D322">
        <v>114787</v>
      </c>
      <c r="E322" t="s">
        <v>17</v>
      </c>
      <c r="F322" t="s">
        <v>18</v>
      </c>
      <c r="G322" t="s">
        <v>23</v>
      </c>
      <c r="H322">
        <v>3465</v>
      </c>
      <c r="I322">
        <v>427.4</v>
      </c>
      <c r="J322" s="2">
        <v>21.11</v>
      </c>
      <c r="K322">
        <v>6</v>
      </c>
      <c r="L322" s="1">
        <v>61250.69</v>
      </c>
      <c r="M322">
        <f t="shared" si="28"/>
        <v>4</v>
      </c>
      <c r="N322">
        <f t="shared" si="29"/>
        <v>15312.672500000001</v>
      </c>
      <c r="O322">
        <f t="shared" si="30"/>
        <v>28696.75</v>
      </c>
      <c r="P322">
        <f t="shared" si="31"/>
        <v>123.34776334776335</v>
      </c>
      <c r="Q322" t="str">
        <f t="shared" si="32"/>
        <v>Recent (4-7 years)</v>
      </c>
      <c r="R322" t="str">
        <f t="shared" si="33"/>
        <v>Good</v>
      </c>
      <c r="S322" t="str">
        <f t="shared" si="34"/>
        <v>Very High</v>
      </c>
    </row>
    <row r="323" spans="1:19" x14ac:dyDescent="0.3">
      <c r="A323">
        <v>322</v>
      </c>
      <c r="B323" t="s">
        <v>12</v>
      </c>
      <c r="C323">
        <v>2016</v>
      </c>
      <c r="D323">
        <v>159960</v>
      </c>
      <c r="E323" t="s">
        <v>26</v>
      </c>
      <c r="F323" t="s">
        <v>18</v>
      </c>
      <c r="G323" t="s">
        <v>20</v>
      </c>
      <c r="H323">
        <v>1306</v>
      </c>
      <c r="I323">
        <v>410.4</v>
      </c>
      <c r="J323" s="2">
        <v>21.27</v>
      </c>
      <c r="K323">
        <v>6</v>
      </c>
      <c r="L323" s="1">
        <v>101491.62</v>
      </c>
      <c r="M323">
        <f t="shared" ref="M323:M386" si="35">2024-C323</f>
        <v>8</v>
      </c>
      <c r="N323">
        <f t="shared" ref="N323:N386" si="36">IF(M323&gt;0, L323/M323, L323)</f>
        <v>12686.452499999999</v>
      </c>
      <c r="O323">
        <f t="shared" ref="O323:O386" si="37">IF(M323&gt;0, D323/M323, D323)</f>
        <v>19995</v>
      </c>
      <c r="P323">
        <f t="shared" ref="P323:P386" si="38">IF(H323&gt;0, I323/(H323/1000), 0)</f>
        <v>314.24196018376722</v>
      </c>
      <c r="Q323" t="str">
        <f t="shared" ref="Q323:Q386" si="39">IF(M323&lt;=3, "New (0-3 years)",
   IF(M323&lt;=7, "Recent (4-7 years)",
   IF(M323&lt;=12, "Mature (8-12 years)",
   "Old (12+ years)")))</f>
        <v>Mature (8-12 years)</v>
      </c>
      <c r="R323" t="str">
        <f t="shared" ref="R323:R386" si="40">IF(J323&gt;=25, "Excellent",
   IF(J323&gt;=20, "Good",
   IF(J323&gt;=15, "Average",
   "Low")))</f>
        <v>Good</v>
      </c>
      <c r="S323" t="str">
        <f t="shared" ref="S323:S386" si="41">IF(I323&gt;=200, "Very High",
   IF(I323&gt;=150, "High",
   IF(I323&gt;=100, "Medium",
   "Low")))</f>
        <v>Very High</v>
      </c>
    </row>
    <row r="324" spans="1:19" x14ac:dyDescent="0.3">
      <c r="A324">
        <v>323</v>
      </c>
      <c r="B324" t="s">
        <v>28</v>
      </c>
      <c r="C324">
        <v>2019</v>
      </c>
      <c r="D324">
        <v>153702</v>
      </c>
      <c r="E324" t="s">
        <v>26</v>
      </c>
      <c r="F324" t="s">
        <v>14</v>
      </c>
      <c r="G324" t="s">
        <v>15</v>
      </c>
      <c r="H324">
        <v>1043</v>
      </c>
      <c r="I324">
        <v>61.5</v>
      </c>
      <c r="J324" s="2">
        <v>26.67</v>
      </c>
      <c r="K324">
        <v>4</v>
      </c>
      <c r="L324" s="1">
        <v>96758.19</v>
      </c>
      <c r="M324">
        <f t="shared" si="35"/>
        <v>5</v>
      </c>
      <c r="N324">
        <f t="shared" si="36"/>
        <v>19351.637999999999</v>
      </c>
      <c r="O324">
        <f t="shared" si="37"/>
        <v>30740.400000000001</v>
      </c>
      <c r="P324">
        <f t="shared" si="38"/>
        <v>58.964525407478433</v>
      </c>
      <c r="Q324" t="str">
        <f t="shared" si="39"/>
        <v>Recent (4-7 years)</v>
      </c>
      <c r="R324" t="str">
        <f t="shared" si="40"/>
        <v>Excellent</v>
      </c>
      <c r="S324" t="str">
        <f t="shared" si="41"/>
        <v>Low</v>
      </c>
    </row>
    <row r="325" spans="1:19" x14ac:dyDescent="0.3">
      <c r="A325">
        <v>324</v>
      </c>
      <c r="B325" t="s">
        <v>24</v>
      </c>
      <c r="C325">
        <v>2014</v>
      </c>
      <c r="D325">
        <v>66063</v>
      </c>
      <c r="E325" t="s">
        <v>26</v>
      </c>
      <c r="F325" t="s">
        <v>14</v>
      </c>
      <c r="G325" t="s">
        <v>15</v>
      </c>
      <c r="H325">
        <v>1305</v>
      </c>
      <c r="I325">
        <v>246.2</v>
      </c>
      <c r="J325" s="2">
        <v>27.35</v>
      </c>
      <c r="K325">
        <v>7</v>
      </c>
      <c r="L325" s="1">
        <v>51029.06</v>
      </c>
      <c r="M325">
        <f t="shared" si="35"/>
        <v>10</v>
      </c>
      <c r="N325">
        <f t="shared" si="36"/>
        <v>5102.9059999999999</v>
      </c>
      <c r="O325">
        <f t="shared" si="37"/>
        <v>6606.3</v>
      </c>
      <c r="P325">
        <f t="shared" si="38"/>
        <v>188.65900383141764</v>
      </c>
      <c r="Q325" t="str">
        <f t="shared" si="39"/>
        <v>Mature (8-12 years)</v>
      </c>
      <c r="R325" t="str">
        <f t="shared" si="40"/>
        <v>Excellent</v>
      </c>
      <c r="S325" t="str">
        <f t="shared" si="41"/>
        <v>Very High</v>
      </c>
    </row>
    <row r="326" spans="1:19" x14ac:dyDescent="0.3">
      <c r="A326">
        <v>325</v>
      </c>
      <c r="B326" t="s">
        <v>28</v>
      </c>
      <c r="C326">
        <v>2011</v>
      </c>
      <c r="D326">
        <v>132896</v>
      </c>
      <c r="E326" t="s">
        <v>22</v>
      </c>
      <c r="F326" t="s">
        <v>18</v>
      </c>
      <c r="G326" t="s">
        <v>23</v>
      </c>
      <c r="H326">
        <v>3958</v>
      </c>
      <c r="I326">
        <v>588.29999999999995</v>
      </c>
      <c r="J326" s="2">
        <v>27.99</v>
      </c>
      <c r="K326">
        <v>2</v>
      </c>
      <c r="L326" s="1">
        <v>29919.89</v>
      </c>
      <c r="M326">
        <f t="shared" si="35"/>
        <v>13</v>
      </c>
      <c r="N326">
        <f t="shared" si="36"/>
        <v>2301.5299999999997</v>
      </c>
      <c r="O326">
        <f t="shared" si="37"/>
        <v>10222.76923076923</v>
      </c>
      <c r="P326">
        <f t="shared" si="38"/>
        <v>148.63567458312278</v>
      </c>
      <c r="Q326" t="str">
        <f t="shared" si="39"/>
        <v>Old (12+ years)</v>
      </c>
      <c r="R326" t="str">
        <f t="shared" si="40"/>
        <v>Excellent</v>
      </c>
      <c r="S326" t="str">
        <f t="shared" si="41"/>
        <v>Very High</v>
      </c>
    </row>
    <row r="327" spans="1:19" x14ac:dyDescent="0.3">
      <c r="A327">
        <v>326</v>
      </c>
      <c r="B327" t="s">
        <v>24</v>
      </c>
      <c r="C327">
        <v>2024</v>
      </c>
      <c r="D327">
        <v>171216</v>
      </c>
      <c r="E327" t="s">
        <v>17</v>
      </c>
      <c r="F327" t="s">
        <v>14</v>
      </c>
      <c r="G327" t="s">
        <v>23</v>
      </c>
      <c r="H327">
        <v>4390</v>
      </c>
      <c r="I327">
        <v>275.60000000000002</v>
      </c>
      <c r="J327" s="2">
        <v>7.37</v>
      </c>
      <c r="K327">
        <v>6</v>
      </c>
      <c r="L327" s="1">
        <v>50511.61</v>
      </c>
      <c r="M327">
        <f t="shared" si="35"/>
        <v>0</v>
      </c>
      <c r="N327">
        <f t="shared" si="36"/>
        <v>50511.61</v>
      </c>
      <c r="O327">
        <f t="shared" si="37"/>
        <v>171216</v>
      </c>
      <c r="P327">
        <f t="shared" si="38"/>
        <v>62.779043280182243</v>
      </c>
      <c r="Q327" t="str">
        <f t="shared" si="39"/>
        <v>New (0-3 years)</v>
      </c>
      <c r="R327" t="str">
        <f t="shared" si="40"/>
        <v>Low</v>
      </c>
      <c r="S327" t="str">
        <f t="shared" si="41"/>
        <v>Very High</v>
      </c>
    </row>
    <row r="328" spans="1:19" x14ac:dyDescent="0.3">
      <c r="A328">
        <v>327</v>
      </c>
      <c r="B328" t="s">
        <v>29</v>
      </c>
      <c r="C328">
        <v>2009</v>
      </c>
      <c r="D328">
        <v>188233</v>
      </c>
      <c r="E328" t="s">
        <v>13</v>
      </c>
      <c r="F328" t="s">
        <v>14</v>
      </c>
      <c r="G328" t="s">
        <v>23</v>
      </c>
      <c r="H328">
        <v>2672</v>
      </c>
      <c r="I328">
        <v>321.10000000000002</v>
      </c>
      <c r="J328" s="2">
        <v>18.600000000000001</v>
      </c>
      <c r="K328">
        <v>6</v>
      </c>
      <c r="L328" s="1">
        <v>99667.43</v>
      </c>
      <c r="M328">
        <f t="shared" si="35"/>
        <v>15</v>
      </c>
      <c r="N328">
        <f t="shared" si="36"/>
        <v>6644.4953333333333</v>
      </c>
      <c r="O328">
        <f t="shared" si="37"/>
        <v>12548.866666666667</v>
      </c>
      <c r="P328">
        <f t="shared" si="38"/>
        <v>120.17215568862275</v>
      </c>
      <c r="Q328" t="str">
        <f t="shared" si="39"/>
        <v>Old (12+ years)</v>
      </c>
      <c r="R328" t="str">
        <f t="shared" si="40"/>
        <v>Average</v>
      </c>
      <c r="S328" t="str">
        <f t="shared" si="41"/>
        <v>Very High</v>
      </c>
    </row>
    <row r="329" spans="1:19" x14ac:dyDescent="0.3">
      <c r="A329">
        <v>328</v>
      </c>
      <c r="B329" t="s">
        <v>19</v>
      </c>
      <c r="C329">
        <v>2005</v>
      </c>
      <c r="D329">
        <v>187051</v>
      </c>
      <c r="E329" t="s">
        <v>26</v>
      </c>
      <c r="F329" t="s">
        <v>14</v>
      </c>
      <c r="G329" t="s">
        <v>23</v>
      </c>
      <c r="H329">
        <v>4593</v>
      </c>
      <c r="I329">
        <v>549.6</v>
      </c>
      <c r="J329" s="2">
        <v>23.51</v>
      </c>
      <c r="K329">
        <v>7</v>
      </c>
      <c r="L329" s="1">
        <v>29633.01</v>
      </c>
      <c r="M329">
        <f t="shared" si="35"/>
        <v>19</v>
      </c>
      <c r="N329">
        <f t="shared" si="36"/>
        <v>1559.6321052631579</v>
      </c>
      <c r="O329">
        <f t="shared" si="37"/>
        <v>9844.78947368421</v>
      </c>
      <c r="P329">
        <f t="shared" si="38"/>
        <v>119.66035271064665</v>
      </c>
      <c r="Q329" t="str">
        <f t="shared" si="39"/>
        <v>Old (12+ years)</v>
      </c>
      <c r="R329" t="str">
        <f t="shared" si="40"/>
        <v>Good</v>
      </c>
      <c r="S329" t="str">
        <f t="shared" si="41"/>
        <v>Very High</v>
      </c>
    </row>
    <row r="330" spans="1:19" x14ac:dyDescent="0.3">
      <c r="A330">
        <v>329</v>
      </c>
      <c r="B330" t="s">
        <v>29</v>
      </c>
      <c r="C330">
        <v>2021</v>
      </c>
      <c r="D330">
        <v>102661</v>
      </c>
      <c r="E330" t="s">
        <v>13</v>
      </c>
      <c r="F330" t="s">
        <v>14</v>
      </c>
      <c r="G330" t="s">
        <v>15</v>
      </c>
      <c r="H330">
        <v>1992</v>
      </c>
      <c r="I330">
        <v>441.7</v>
      </c>
      <c r="J330" s="2">
        <v>23.92</v>
      </c>
      <c r="K330">
        <v>7</v>
      </c>
      <c r="L330" s="1">
        <v>64359.05</v>
      </c>
      <c r="M330">
        <f t="shared" si="35"/>
        <v>3</v>
      </c>
      <c r="N330">
        <f t="shared" si="36"/>
        <v>21453.016666666666</v>
      </c>
      <c r="O330">
        <f t="shared" si="37"/>
        <v>34220.333333333336</v>
      </c>
      <c r="P330">
        <f t="shared" si="38"/>
        <v>221.73694779116465</v>
      </c>
      <c r="Q330" t="str">
        <f t="shared" si="39"/>
        <v>New (0-3 years)</v>
      </c>
      <c r="R330" t="str">
        <f t="shared" si="40"/>
        <v>Good</v>
      </c>
      <c r="S330" t="str">
        <f t="shared" si="41"/>
        <v>Very High</v>
      </c>
    </row>
    <row r="331" spans="1:19" x14ac:dyDescent="0.3">
      <c r="A331">
        <v>330</v>
      </c>
      <c r="B331" t="s">
        <v>30</v>
      </c>
      <c r="C331">
        <v>2007</v>
      </c>
      <c r="D331">
        <v>143051</v>
      </c>
      <c r="E331" t="s">
        <v>13</v>
      </c>
      <c r="F331" t="s">
        <v>14</v>
      </c>
      <c r="G331" t="s">
        <v>20</v>
      </c>
      <c r="H331">
        <v>2264</v>
      </c>
      <c r="I331">
        <v>366</v>
      </c>
      <c r="J331" s="2">
        <v>20.170000000000002</v>
      </c>
      <c r="K331">
        <v>5</v>
      </c>
      <c r="L331" s="1">
        <v>97313.32</v>
      </c>
      <c r="M331">
        <f t="shared" si="35"/>
        <v>17</v>
      </c>
      <c r="N331">
        <f t="shared" si="36"/>
        <v>5724.3129411764712</v>
      </c>
      <c r="O331">
        <f t="shared" si="37"/>
        <v>8414.7647058823532</v>
      </c>
      <c r="P331">
        <f t="shared" si="38"/>
        <v>161.66077738515904</v>
      </c>
      <c r="Q331" t="str">
        <f t="shared" si="39"/>
        <v>Old (12+ years)</v>
      </c>
      <c r="R331" t="str">
        <f t="shared" si="40"/>
        <v>Good</v>
      </c>
      <c r="S331" t="str">
        <f t="shared" si="41"/>
        <v>Very High</v>
      </c>
    </row>
    <row r="332" spans="1:19" x14ac:dyDescent="0.3">
      <c r="A332">
        <v>331</v>
      </c>
      <c r="B332" t="s">
        <v>27</v>
      </c>
      <c r="C332">
        <v>2017</v>
      </c>
      <c r="D332">
        <v>162261</v>
      </c>
      <c r="E332" t="s">
        <v>26</v>
      </c>
      <c r="F332" t="s">
        <v>18</v>
      </c>
      <c r="G332" t="s">
        <v>20</v>
      </c>
      <c r="H332">
        <v>1190</v>
      </c>
      <c r="I332">
        <v>486.8</v>
      </c>
      <c r="J332" s="2">
        <v>9.17</v>
      </c>
      <c r="K332">
        <v>7</v>
      </c>
      <c r="L332" s="1">
        <v>44356.86</v>
      </c>
      <c r="M332">
        <f t="shared" si="35"/>
        <v>7</v>
      </c>
      <c r="N332">
        <f t="shared" si="36"/>
        <v>6336.6942857142858</v>
      </c>
      <c r="O332">
        <f t="shared" si="37"/>
        <v>23180.142857142859</v>
      </c>
      <c r="P332">
        <f t="shared" si="38"/>
        <v>409.07563025210089</v>
      </c>
      <c r="Q332" t="str">
        <f t="shared" si="39"/>
        <v>Recent (4-7 years)</v>
      </c>
      <c r="R332" t="str">
        <f t="shared" si="40"/>
        <v>Low</v>
      </c>
      <c r="S332" t="str">
        <f t="shared" si="41"/>
        <v>Very High</v>
      </c>
    </row>
    <row r="333" spans="1:19" x14ac:dyDescent="0.3">
      <c r="A333">
        <v>332</v>
      </c>
      <c r="B333" t="s">
        <v>12</v>
      </c>
      <c r="C333">
        <v>2018</v>
      </c>
      <c r="D333">
        <v>178672</v>
      </c>
      <c r="E333" t="s">
        <v>17</v>
      </c>
      <c r="F333" t="s">
        <v>18</v>
      </c>
      <c r="G333" t="s">
        <v>20</v>
      </c>
      <c r="H333">
        <v>4177</v>
      </c>
      <c r="I333">
        <v>524</v>
      </c>
      <c r="J333" s="2">
        <v>24.94</v>
      </c>
      <c r="K333">
        <v>6</v>
      </c>
      <c r="L333" s="1">
        <v>78138.53</v>
      </c>
      <c r="M333">
        <f t="shared" si="35"/>
        <v>6</v>
      </c>
      <c r="N333">
        <f t="shared" si="36"/>
        <v>13023.088333333333</v>
      </c>
      <c r="O333">
        <f t="shared" si="37"/>
        <v>29778.666666666668</v>
      </c>
      <c r="P333">
        <f t="shared" si="38"/>
        <v>125.44888676083315</v>
      </c>
      <c r="Q333" t="str">
        <f t="shared" si="39"/>
        <v>Recent (4-7 years)</v>
      </c>
      <c r="R333" t="str">
        <f t="shared" si="40"/>
        <v>Good</v>
      </c>
      <c r="S333" t="str">
        <f t="shared" si="41"/>
        <v>Very High</v>
      </c>
    </row>
    <row r="334" spans="1:19" x14ac:dyDescent="0.3">
      <c r="A334">
        <v>333</v>
      </c>
      <c r="B334" t="s">
        <v>24</v>
      </c>
      <c r="C334">
        <v>2022</v>
      </c>
      <c r="D334">
        <v>195632</v>
      </c>
      <c r="E334" t="s">
        <v>26</v>
      </c>
      <c r="F334" t="s">
        <v>18</v>
      </c>
      <c r="G334" t="s">
        <v>20</v>
      </c>
      <c r="H334">
        <v>1472</v>
      </c>
      <c r="I334">
        <v>295.89999999999998</v>
      </c>
      <c r="J334" s="2">
        <v>23</v>
      </c>
      <c r="K334">
        <v>4</v>
      </c>
      <c r="L334" s="1">
        <v>31738.89</v>
      </c>
      <c r="M334">
        <f t="shared" si="35"/>
        <v>2</v>
      </c>
      <c r="N334">
        <f t="shared" si="36"/>
        <v>15869.445</v>
      </c>
      <c r="O334">
        <f t="shared" si="37"/>
        <v>97816</v>
      </c>
      <c r="P334">
        <f t="shared" si="38"/>
        <v>201.01902173913041</v>
      </c>
      <c r="Q334" t="str">
        <f t="shared" si="39"/>
        <v>New (0-3 years)</v>
      </c>
      <c r="R334" t="str">
        <f t="shared" si="40"/>
        <v>Good</v>
      </c>
      <c r="S334" t="str">
        <f t="shared" si="41"/>
        <v>Very High</v>
      </c>
    </row>
    <row r="335" spans="1:19" x14ac:dyDescent="0.3">
      <c r="A335">
        <v>334</v>
      </c>
      <c r="B335" t="s">
        <v>12</v>
      </c>
      <c r="C335">
        <v>2008</v>
      </c>
      <c r="D335">
        <v>128257</v>
      </c>
      <c r="E335" t="s">
        <v>13</v>
      </c>
      <c r="F335" t="s">
        <v>18</v>
      </c>
      <c r="G335" t="s">
        <v>23</v>
      </c>
      <c r="H335">
        <v>3360</v>
      </c>
      <c r="I335">
        <v>306.10000000000002</v>
      </c>
      <c r="J335" s="2">
        <v>7.15</v>
      </c>
      <c r="K335">
        <v>2</v>
      </c>
      <c r="L335" s="1">
        <v>15785.7</v>
      </c>
      <c r="M335">
        <f t="shared" si="35"/>
        <v>16</v>
      </c>
      <c r="N335">
        <f t="shared" si="36"/>
        <v>986.60625000000005</v>
      </c>
      <c r="O335">
        <f t="shared" si="37"/>
        <v>8016.0625</v>
      </c>
      <c r="P335">
        <f t="shared" si="38"/>
        <v>91.101190476190482</v>
      </c>
      <c r="Q335" t="str">
        <f t="shared" si="39"/>
        <v>Old (12+ years)</v>
      </c>
      <c r="R335" t="str">
        <f t="shared" si="40"/>
        <v>Low</v>
      </c>
      <c r="S335" t="str">
        <f t="shared" si="41"/>
        <v>Very High</v>
      </c>
    </row>
    <row r="336" spans="1:19" x14ac:dyDescent="0.3">
      <c r="A336">
        <v>335</v>
      </c>
      <c r="B336" t="s">
        <v>24</v>
      </c>
      <c r="C336">
        <v>2022</v>
      </c>
      <c r="D336">
        <v>197630</v>
      </c>
      <c r="E336" t="s">
        <v>26</v>
      </c>
      <c r="F336" t="s">
        <v>14</v>
      </c>
      <c r="G336" t="s">
        <v>23</v>
      </c>
      <c r="H336">
        <v>2011</v>
      </c>
      <c r="I336">
        <v>256.2</v>
      </c>
      <c r="J336" s="2">
        <v>16.600000000000001</v>
      </c>
      <c r="K336">
        <v>5</v>
      </c>
      <c r="L336" s="1">
        <v>95942.95</v>
      </c>
      <c r="M336">
        <f t="shared" si="35"/>
        <v>2</v>
      </c>
      <c r="N336">
        <f t="shared" si="36"/>
        <v>47971.474999999999</v>
      </c>
      <c r="O336">
        <f t="shared" si="37"/>
        <v>98815</v>
      </c>
      <c r="P336">
        <f t="shared" si="38"/>
        <v>127.39930382894082</v>
      </c>
      <c r="Q336" t="str">
        <f t="shared" si="39"/>
        <v>New (0-3 years)</v>
      </c>
      <c r="R336" t="str">
        <f t="shared" si="40"/>
        <v>Average</v>
      </c>
      <c r="S336" t="str">
        <f t="shared" si="41"/>
        <v>Very High</v>
      </c>
    </row>
    <row r="337" spans="1:19" x14ac:dyDescent="0.3">
      <c r="A337">
        <v>336</v>
      </c>
      <c r="B337" t="s">
        <v>25</v>
      </c>
      <c r="C337">
        <v>2009</v>
      </c>
      <c r="D337">
        <v>91205</v>
      </c>
      <c r="E337" t="s">
        <v>13</v>
      </c>
      <c r="F337" t="s">
        <v>14</v>
      </c>
      <c r="G337" t="s">
        <v>23</v>
      </c>
      <c r="H337">
        <v>1729</v>
      </c>
      <c r="I337">
        <v>581.4</v>
      </c>
      <c r="J337" s="2">
        <v>9.35</v>
      </c>
      <c r="K337">
        <v>4</v>
      </c>
      <c r="L337" s="1">
        <v>14579.33</v>
      </c>
      <c r="M337">
        <f t="shared" si="35"/>
        <v>15</v>
      </c>
      <c r="N337">
        <f t="shared" si="36"/>
        <v>971.95533333333333</v>
      </c>
      <c r="O337">
        <f t="shared" si="37"/>
        <v>6080.333333333333</v>
      </c>
      <c r="P337">
        <f t="shared" si="38"/>
        <v>336.26373626373623</v>
      </c>
      <c r="Q337" t="str">
        <f t="shared" si="39"/>
        <v>Old (12+ years)</v>
      </c>
      <c r="R337" t="str">
        <f t="shared" si="40"/>
        <v>Low</v>
      </c>
      <c r="S337" t="str">
        <f t="shared" si="41"/>
        <v>Very High</v>
      </c>
    </row>
    <row r="338" spans="1:19" x14ac:dyDescent="0.3">
      <c r="A338">
        <v>337</v>
      </c>
      <c r="B338" t="s">
        <v>28</v>
      </c>
      <c r="C338">
        <v>2020</v>
      </c>
      <c r="D338">
        <v>11910</v>
      </c>
      <c r="E338" t="s">
        <v>13</v>
      </c>
      <c r="F338" t="s">
        <v>18</v>
      </c>
      <c r="G338" t="s">
        <v>20</v>
      </c>
      <c r="H338">
        <v>2339</v>
      </c>
      <c r="I338">
        <v>430.4</v>
      </c>
      <c r="J338" s="2">
        <v>13.44</v>
      </c>
      <c r="K338">
        <v>2</v>
      </c>
      <c r="L338" s="1">
        <v>34751.620000000003</v>
      </c>
      <c r="M338">
        <f t="shared" si="35"/>
        <v>4</v>
      </c>
      <c r="N338">
        <f t="shared" si="36"/>
        <v>8687.9050000000007</v>
      </c>
      <c r="O338">
        <f t="shared" si="37"/>
        <v>2977.5</v>
      </c>
      <c r="P338">
        <f t="shared" si="38"/>
        <v>184.01026079521162</v>
      </c>
      <c r="Q338" t="str">
        <f t="shared" si="39"/>
        <v>Recent (4-7 years)</v>
      </c>
      <c r="R338" t="str">
        <f t="shared" si="40"/>
        <v>Low</v>
      </c>
      <c r="S338" t="str">
        <f t="shared" si="41"/>
        <v>Very High</v>
      </c>
    </row>
    <row r="339" spans="1:19" x14ac:dyDescent="0.3">
      <c r="A339">
        <v>338</v>
      </c>
      <c r="B339" t="s">
        <v>30</v>
      </c>
      <c r="C339">
        <v>2005</v>
      </c>
      <c r="D339">
        <v>193785</v>
      </c>
      <c r="E339" t="s">
        <v>26</v>
      </c>
      <c r="F339" t="s">
        <v>14</v>
      </c>
      <c r="G339" t="s">
        <v>23</v>
      </c>
      <c r="H339">
        <v>1712</v>
      </c>
      <c r="I339">
        <v>86.6</v>
      </c>
      <c r="J339" s="2">
        <v>5.45</v>
      </c>
      <c r="K339">
        <v>2</v>
      </c>
      <c r="L339" s="1">
        <v>103047.8</v>
      </c>
      <c r="M339">
        <f t="shared" si="35"/>
        <v>19</v>
      </c>
      <c r="N339">
        <f t="shared" si="36"/>
        <v>5423.5684210526315</v>
      </c>
      <c r="O339">
        <f t="shared" si="37"/>
        <v>10199.21052631579</v>
      </c>
      <c r="P339">
        <f t="shared" si="38"/>
        <v>50.584112149532707</v>
      </c>
      <c r="Q339" t="str">
        <f t="shared" si="39"/>
        <v>Old (12+ years)</v>
      </c>
      <c r="R339" t="str">
        <f t="shared" si="40"/>
        <v>Low</v>
      </c>
      <c r="S339" t="str">
        <f t="shared" si="41"/>
        <v>Low</v>
      </c>
    </row>
    <row r="340" spans="1:19" x14ac:dyDescent="0.3">
      <c r="A340">
        <v>339</v>
      </c>
      <c r="B340" t="s">
        <v>19</v>
      </c>
      <c r="C340">
        <v>2018</v>
      </c>
      <c r="D340">
        <v>51857</v>
      </c>
      <c r="E340" t="s">
        <v>22</v>
      </c>
      <c r="F340" t="s">
        <v>14</v>
      </c>
      <c r="G340" t="s">
        <v>23</v>
      </c>
      <c r="H340">
        <v>1443</v>
      </c>
      <c r="I340">
        <v>523.29999999999995</v>
      </c>
      <c r="J340" s="2">
        <v>15.01</v>
      </c>
      <c r="K340">
        <v>2</v>
      </c>
      <c r="L340" s="1">
        <v>43536.91</v>
      </c>
      <c r="M340">
        <f t="shared" si="35"/>
        <v>6</v>
      </c>
      <c r="N340">
        <f t="shared" si="36"/>
        <v>7256.1516666666676</v>
      </c>
      <c r="O340">
        <f t="shared" si="37"/>
        <v>8642.8333333333339</v>
      </c>
      <c r="P340">
        <f t="shared" si="38"/>
        <v>362.64726264726261</v>
      </c>
      <c r="Q340" t="str">
        <f t="shared" si="39"/>
        <v>Recent (4-7 years)</v>
      </c>
      <c r="R340" t="str">
        <f t="shared" si="40"/>
        <v>Average</v>
      </c>
      <c r="S340" t="str">
        <f t="shared" si="41"/>
        <v>Very High</v>
      </c>
    </row>
    <row r="341" spans="1:19" x14ac:dyDescent="0.3">
      <c r="A341">
        <v>340</v>
      </c>
      <c r="B341" t="s">
        <v>24</v>
      </c>
      <c r="C341">
        <v>2019</v>
      </c>
      <c r="D341">
        <v>39964</v>
      </c>
      <c r="E341" t="s">
        <v>26</v>
      </c>
      <c r="F341" t="s">
        <v>18</v>
      </c>
      <c r="G341" t="s">
        <v>15</v>
      </c>
      <c r="H341">
        <v>1301</v>
      </c>
      <c r="I341">
        <v>309.10000000000002</v>
      </c>
      <c r="J341" s="2">
        <v>18.75</v>
      </c>
      <c r="K341">
        <v>4</v>
      </c>
      <c r="L341" s="1">
        <v>116846.31</v>
      </c>
      <c r="M341">
        <f t="shared" si="35"/>
        <v>5</v>
      </c>
      <c r="N341">
        <f t="shared" si="36"/>
        <v>23369.261999999999</v>
      </c>
      <c r="O341">
        <f t="shared" si="37"/>
        <v>7992.8</v>
      </c>
      <c r="P341">
        <f t="shared" si="38"/>
        <v>237.58647194465797</v>
      </c>
      <c r="Q341" t="str">
        <f t="shared" si="39"/>
        <v>Recent (4-7 years)</v>
      </c>
      <c r="R341" t="str">
        <f t="shared" si="40"/>
        <v>Average</v>
      </c>
      <c r="S341" t="str">
        <f t="shared" si="41"/>
        <v>Very High</v>
      </c>
    </row>
    <row r="342" spans="1:19" x14ac:dyDescent="0.3">
      <c r="A342">
        <v>341</v>
      </c>
      <c r="B342" t="s">
        <v>12</v>
      </c>
      <c r="C342">
        <v>2013</v>
      </c>
      <c r="D342">
        <v>161299</v>
      </c>
      <c r="E342" t="s">
        <v>22</v>
      </c>
      <c r="F342" t="s">
        <v>14</v>
      </c>
      <c r="G342" t="s">
        <v>15</v>
      </c>
      <c r="H342">
        <v>1529</v>
      </c>
      <c r="I342">
        <v>78.5</v>
      </c>
      <c r="J342" s="2">
        <v>20.49</v>
      </c>
      <c r="K342">
        <v>5</v>
      </c>
      <c r="L342" s="1">
        <v>117628.92</v>
      </c>
      <c r="M342">
        <f t="shared" si="35"/>
        <v>11</v>
      </c>
      <c r="N342">
        <f t="shared" si="36"/>
        <v>10693.538181818181</v>
      </c>
      <c r="O342">
        <f t="shared" si="37"/>
        <v>14663.545454545454</v>
      </c>
      <c r="P342">
        <f t="shared" si="38"/>
        <v>51.340745585349907</v>
      </c>
      <c r="Q342" t="str">
        <f t="shared" si="39"/>
        <v>Mature (8-12 years)</v>
      </c>
      <c r="R342" t="str">
        <f t="shared" si="40"/>
        <v>Good</v>
      </c>
      <c r="S342" t="str">
        <f t="shared" si="41"/>
        <v>Low</v>
      </c>
    </row>
    <row r="343" spans="1:19" x14ac:dyDescent="0.3">
      <c r="A343">
        <v>342</v>
      </c>
      <c r="B343" t="s">
        <v>30</v>
      </c>
      <c r="C343">
        <v>2019</v>
      </c>
      <c r="D343">
        <v>142050</v>
      </c>
      <c r="E343" t="s">
        <v>13</v>
      </c>
      <c r="F343" t="s">
        <v>18</v>
      </c>
      <c r="G343" t="s">
        <v>23</v>
      </c>
      <c r="H343">
        <v>2083</v>
      </c>
      <c r="I343">
        <v>347.8</v>
      </c>
      <c r="J343" s="2">
        <v>21.59</v>
      </c>
      <c r="K343">
        <v>5</v>
      </c>
      <c r="L343" s="1">
        <v>34388.29</v>
      </c>
      <c r="M343">
        <f t="shared" si="35"/>
        <v>5</v>
      </c>
      <c r="N343">
        <f t="shared" si="36"/>
        <v>6877.6580000000004</v>
      </c>
      <c r="O343">
        <f t="shared" si="37"/>
        <v>28410</v>
      </c>
      <c r="P343">
        <f t="shared" si="38"/>
        <v>166.9707153144503</v>
      </c>
      <c r="Q343" t="str">
        <f t="shared" si="39"/>
        <v>Recent (4-7 years)</v>
      </c>
      <c r="R343" t="str">
        <f t="shared" si="40"/>
        <v>Good</v>
      </c>
      <c r="S343" t="str">
        <f t="shared" si="41"/>
        <v>Very High</v>
      </c>
    </row>
    <row r="344" spans="1:19" x14ac:dyDescent="0.3">
      <c r="A344">
        <v>343</v>
      </c>
      <c r="B344" t="s">
        <v>16</v>
      </c>
      <c r="C344">
        <v>2021</v>
      </c>
      <c r="D344">
        <v>22153</v>
      </c>
      <c r="E344" t="s">
        <v>13</v>
      </c>
      <c r="F344" t="s">
        <v>18</v>
      </c>
      <c r="G344" t="s">
        <v>15</v>
      </c>
      <c r="H344">
        <v>2918</v>
      </c>
      <c r="I344">
        <v>273.60000000000002</v>
      </c>
      <c r="J344" s="2">
        <v>25.91</v>
      </c>
      <c r="K344">
        <v>2</v>
      </c>
      <c r="L344" s="1">
        <v>7794.45</v>
      </c>
      <c r="M344">
        <f t="shared" si="35"/>
        <v>3</v>
      </c>
      <c r="N344">
        <f t="shared" si="36"/>
        <v>2598.15</v>
      </c>
      <c r="O344">
        <f t="shared" si="37"/>
        <v>7384.333333333333</v>
      </c>
      <c r="P344">
        <f t="shared" si="38"/>
        <v>93.762851267991778</v>
      </c>
      <c r="Q344" t="str">
        <f t="shared" si="39"/>
        <v>New (0-3 years)</v>
      </c>
      <c r="R344" t="str">
        <f t="shared" si="40"/>
        <v>Excellent</v>
      </c>
      <c r="S344" t="str">
        <f t="shared" si="41"/>
        <v>Very High</v>
      </c>
    </row>
    <row r="345" spans="1:19" x14ac:dyDescent="0.3">
      <c r="A345">
        <v>344</v>
      </c>
      <c r="B345" t="s">
        <v>16</v>
      </c>
      <c r="C345">
        <v>2008</v>
      </c>
      <c r="D345">
        <v>64765</v>
      </c>
      <c r="E345" t="s">
        <v>22</v>
      </c>
      <c r="F345" t="s">
        <v>14</v>
      </c>
      <c r="G345" t="s">
        <v>15</v>
      </c>
      <c r="H345">
        <v>4636</v>
      </c>
      <c r="I345">
        <v>531.5</v>
      </c>
      <c r="J345" s="2">
        <v>10.39</v>
      </c>
      <c r="K345">
        <v>4</v>
      </c>
      <c r="L345" s="1">
        <v>85492.4</v>
      </c>
      <c r="M345">
        <f t="shared" si="35"/>
        <v>16</v>
      </c>
      <c r="N345">
        <f t="shared" si="36"/>
        <v>5343.2749999999996</v>
      </c>
      <c r="O345">
        <f t="shared" si="37"/>
        <v>4047.8125</v>
      </c>
      <c r="P345">
        <f t="shared" si="38"/>
        <v>114.64624676445212</v>
      </c>
      <c r="Q345" t="str">
        <f t="shared" si="39"/>
        <v>Old (12+ years)</v>
      </c>
      <c r="R345" t="str">
        <f t="shared" si="40"/>
        <v>Low</v>
      </c>
      <c r="S345" t="str">
        <f t="shared" si="41"/>
        <v>Very High</v>
      </c>
    </row>
    <row r="346" spans="1:19" x14ac:dyDescent="0.3">
      <c r="A346">
        <v>345</v>
      </c>
      <c r="B346" t="s">
        <v>29</v>
      </c>
      <c r="C346">
        <v>2016</v>
      </c>
      <c r="D346">
        <v>113212</v>
      </c>
      <c r="E346" t="s">
        <v>13</v>
      </c>
      <c r="F346" t="s">
        <v>14</v>
      </c>
      <c r="G346" t="s">
        <v>23</v>
      </c>
      <c r="H346">
        <v>1719</v>
      </c>
      <c r="I346">
        <v>154.19999999999999</v>
      </c>
      <c r="J346" s="2">
        <v>8.01</v>
      </c>
      <c r="K346">
        <v>2</v>
      </c>
      <c r="L346" s="1">
        <v>55765.42</v>
      </c>
      <c r="M346">
        <f t="shared" si="35"/>
        <v>8</v>
      </c>
      <c r="N346">
        <f t="shared" si="36"/>
        <v>6970.6774999999998</v>
      </c>
      <c r="O346">
        <f t="shared" si="37"/>
        <v>14151.5</v>
      </c>
      <c r="P346">
        <f t="shared" si="38"/>
        <v>89.703315881326347</v>
      </c>
      <c r="Q346" t="str">
        <f t="shared" si="39"/>
        <v>Mature (8-12 years)</v>
      </c>
      <c r="R346" t="str">
        <f t="shared" si="40"/>
        <v>Low</v>
      </c>
      <c r="S346" t="str">
        <f t="shared" si="41"/>
        <v>High</v>
      </c>
    </row>
    <row r="347" spans="1:19" x14ac:dyDescent="0.3">
      <c r="A347">
        <v>346</v>
      </c>
      <c r="B347" t="s">
        <v>19</v>
      </c>
      <c r="C347">
        <v>2009</v>
      </c>
      <c r="D347">
        <v>44071</v>
      </c>
      <c r="E347" t="s">
        <v>22</v>
      </c>
      <c r="F347" t="s">
        <v>18</v>
      </c>
      <c r="G347" t="s">
        <v>23</v>
      </c>
      <c r="H347">
        <v>4850</v>
      </c>
      <c r="I347">
        <v>502.8</v>
      </c>
      <c r="J347" s="2">
        <v>26.29</v>
      </c>
      <c r="K347">
        <v>7</v>
      </c>
      <c r="L347" s="1">
        <v>14788.08</v>
      </c>
      <c r="M347">
        <f t="shared" si="35"/>
        <v>15</v>
      </c>
      <c r="N347">
        <f t="shared" si="36"/>
        <v>985.87199999999996</v>
      </c>
      <c r="O347">
        <f t="shared" si="37"/>
        <v>2938.0666666666666</v>
      </c>
      <c r="P347">
        <f t="shared" si="38"/>
        <v>103.67010309278352</v>
      </c>
      <c r="Q347" t="str">
        <f t="shared" si="39"/>
        <v>Old (12+ years)</v>
      </c>
      <c r="R347" t="str">
        <f t="shared" si="40"/>
        <v>Excellent</v>
      </c>
      <c r="S347" t="str">
        <f t="shared" si="41"/>
        <v>Very High</v>
      </c>
    </row>
    <row r="348" spans="1:19" x14ac:dyDescent="0.3">
      <c r="A348">
        <v>347</v>
      </c>
      <c r="B348" t="s">
        <v>25</v>
      </c>
      <c r="C348">
        <v>2009</v>
      </c>
      <c r="D348">
        <v>117990</v>
      </c>
      <c r="E348" t="s">
        <v>22</v>
      </c>
      <c r="F348" t="s">
        <v>18</v>
      </c>
      <c r="G348" t="s">
        <v>23</v>
      </c>
      <c r="H348">
        <v>3139</v>
      </c>
      <c r="I348">
        <v>352.3</v>
      </c>
      <c r="J348" s="2">
        <v>8.92</v>
      </c>
      <c r="K348">
        <v>5</v>
      </c>
      <c r="L348" s="1">
        <v>85780.17</v>
      </c>
      <c r="M348">
        <f t="shared" si="35"/>
        <v>15</v>
      </c>
      <c r="N348">
        <f t="shared" si="36"/>
        <v>5718.6779999999999</v>
      </c>
      <c r="O348">
        <f t="shared" si="37"/>
        <v>7866</v>
      </c>
      <c r="P348">
        <f t="shared" si="38"/>
        <v>112.23319528512266</v>
      </c>
      <c r="Q348" t="str">
        <f t="shared" si="39"/>
        <v>Old (12+ years)</v>
      </c>
      <c r="R348" t="str">
        <f t="shared" si="40"/>
        <v>Low</v>
      </c>
      <c r="S348" t="str">
        <f t="shared" si="41"/>
        <v>Very High</v>
      </c>
    </row>
    <row r="349" spans="1:19" x14ac:dyDescent="0.3">
      <c r="A349">
        <v>348</v>
      </c>
      <c r="B349" t="s">
        <v>12</v>
      </c>
      <c r="C349">
        <v>2015</v>
      </c>
      <c r="D349">
        <v>74519</v>
      </c>
      <c r="E349" t="s">
        <v>13</v>
      </c>
      <c r="F349" t="s">
        <v>14</v>
      </c>
      <c r="G349" t="s">
        <v>23</v>
      </c>
      <c r="H349">
        <v>1555</v>
      </c>
      <c r="I349">
        <v>70.599999999999994</v>
      </c>
      <c r="J349" s="2">
        <v>29.37</v>
      </c>
      <c r="K349">
        <v>6</v>
      </c>
      <c r="L349" s="1">
        <v>6647.46</v>
      </c>
      <c r="M349">
        <f t="shared" si="35"/>
        <v>9</v>
      </c>
      <c r="N349">
        <f t="shared" si="36"/>
        <v>738.60666666666668</v>
      </c>
      <c r="O349">
        <f t="shared" si="37"/>
        <v>8279.8888888888887</v>
      </c>
      <c r="P349">
        <f t="shared" si="38"/>
        <v>45.40192926045016</v>
      </c>
      <c r="Q349" t="str">
        <f t="shared" si="39"/>
        <v>Mature (8-12 years)</v>
      </c>
      <c r="R349" t="str">
        <f t="shared" si="40"/>
        <v>Excellent</v>
      </c>
      <c r="S349" t="str">
        <f t="shared" si="41"/>
        <v>Low</v>
      </c>
    </row>
    <row r="350" spans="1:19" x14ac:dyDescent="0.3">
      <c r="A350">
        <v>349</v>
      </c>
      <c r="B350" t="s">
        <v>28</v>
      </c>
      <c r="C350">
        <v>2010</v>
      </c>
      <c r="D350">
        <v>14503</v>
      </c>
      <c r="E350" t="s">
        <v>17</v>
      </c>
      <c r="F350" t="s">
        <v>18</v>
      </c>
      <c r="G350" t="s">
        <v>20</v>
      </c>
      <c r="H350">
        <v>2669</v>
      </c>
      <c r="I350">
        <v>584.20000000000005</v>
      </c>
      <c r="J350" s="2">
        <v>26.06</v>
      </c>
      <c r="K350">
        <v>2</v>
      </c>
      <c r="L350" s="1">
        <v>104813.01</v>
      </c>
      <c r="M350">
        <f t="shared" si="35"/>
        <v>14</v>
      </c>
      <c r="N350">
        <f t="shared" si="36"/>
        <v>7486.6435714285708</v>
      </c>
      <c r="O350">
        <f t="shared" si="37"/>
        <v>1035.9285714285713</v>
      </c>
      <c r="P350">
        <f t="shared" si="38"/>
        <v>218.88347695766205</v>
      </c>
      <c r="Q350" t="str">
        <f t="shared" si="39"/>
        <v>Old (12+ years)</v>
      </c>
      <c r="R350" t="str">
        <f t="shared" si="40"/>
        <v>Excellent</v>
      </c>
      <c r="S350" t="str">
        <f t="shared" si="41"/>
        <v>Very High</v>
      </c>
    </row>
    <row r="351" spans="1:19" x14ac:dyDescent="0.3">
      <c r="A351">
        <v>350</v>
      </c>
      <c r="B351" t="s">
        <v>28</v>
      </c>
      <c r="C351">
        <v>2011</v>
      </c>
      <c r="D351">
        <v>196775</v>
      </c>
      <c r="E351" t="s">
        <v>22</v>
      </c>
      <c r="F351" t="s">
        <v>18</v>
      </c>
      <c r="G351" t="s">
        <v>20</v>
      </c>
      <c r="H351">
        <v>1307</v>
      </c>
      <c r="I351">
        <v>327.10000000000002</v>
      </c>
      <c r="J351" s="2">
        <v>17.52</v>
      </c>
      <c r="K351">
        <v>7</v>
      </c>
      <c r="L351" s="1">
        <v>19222.349999999999</v>
      </c>
      <c r="M351">
        <f t="shared" si="35"/>
        <v>13</v>
      </c>
      <c r="N351">
        <f t="shared" si="36"/>
        <v>1478.6423076923077</v>
      </c>
      <c r="O351">
        <f t="shared" si="37"/>
        <v>15136.538461538461</v>
      </c>
      <c r="P351">
        <f t="shared" si="38"/>
        <v>250.26778882938029</v>
      </c>
      <c r="Q351" t="str">
        <f t="shared" si="39"/>
        <v>Old (12+ years)</v>
      </c>
      <c r="R351" t="str">
        <f t="shared" si="40"/>
        <v>Average</v>
      </c>
      <c r="S351" t="str">
        <f t="shared" si="41"/>
        <v>Very High</v>
      </c>
    </row>
    <row r="352" spans="1:19" x14ac:dyDescent="0.3">
      <c r="A352">
        <v>351</v>
      </c>
      <c r="B352" t="s">
        <v>12</v>
      </c>
      <c r="C352">
        <v>2018</v>
      </c>
      <c r="D352">
        <v>100457</v>
      </c>
      <c r="E352" t="s">
        <v>26</v>
      </c>
      <c r="F352" t="s">
        <v>18</v>
      </c>
      <c r="G352" t="s">
        <v>23</v>
      </c>
      <c r="H352">
        <v>2236</v>
      </c>
      <c r="I352">
        <v>202.9</v>
      </c>
      <c r="J352" s="2">
        <v>29.54</v>
      </c>
      <c r="K352">
        <v>5</v>
      </c>
      <c r="L352" s="1">
        <v>17895.490000000002</v>
      </c>
      <c r="M352">
        <f t="shared" si="35"/>
        <v>6</v>
      </c>
      <c r="N352">
        <f t="shared" si="36"/>
        <v>2982.5816666666669</v>
      </c>
      <c r="O352">
        <f t="shared" si="37"/>
        <v>16742.833333333332</v>
      </c>
      <c r="P352">
        <f t="shared" si="38"/>
        <v>90.742397137745968</v>
      </c>
      <c r="Q352" t="str">
        <f t="shared" si="39"/>
        <v>Recent (4-7 years)</v>
      </c>
      <c r="R352" t="str">
        <f t="shared" si="40"/>
        <v>Excellent</v>
      </c>
      <c r="S352" t="str">
        <f t="shared" si="41"/>
        <v>Very High</v>
      </c>
    </row>
    <row r="353" spans="1:19" x14ac:dyDescent="0.3">
      <c r="A353">
        <v>352</v>
      </c>
      <c r="B353" t="s">
        <v>27</v>
      </c>
      <c r="C353">
        <v>2015</v>
      </c>
      <c r="D353">
        <v>193938</v>
      </c>
      <c r="E353" t="s">
        <v>26</v>
      </c>
      <c r="F353" t="s">
        <v>14</v>
      </c>
      <c r="G353" t="s">
        <v>15</v>
      </c>
      <c r="H353">
        <v>3375</v>
      </c>
      <c r="I353">
        <v>302.89999999999998</v>
      </c>
      <c r="J353" s="2">
        <v>7.43</v>
      </c>
      <c r="K353">
        <v>4</v>
      </c>
      <c r="L353" s="1">
        <v>23553.66</v>
      </c>
      <c r="M353">
        <f t="shared" si="35"/>
        <v>9</v>
      </c>
      <c r="N353">
        <f t="shared" si="36"/>
        <v>2617.0733333333333</v>
      </c>
      <c r="O353">
        <f t="shared" si="37"/>
        <v>21548.666666666668</v>
      </c>
      <c r="P353">
        <f t="shared" si="38"/>
        <v>89.748148148148147</v>
      </c>
      <c r="Q353" t="str">
        <f t="shared" si="39"/>
        <v>Mature (8-12 years)</v>
      </c>
      <c r="R353" t="str">
        <f t="shared" si="40"/>
        <v>Low</v>
      </c>
      <c r="S353" t="str">
        <f t="shared" si="41"/>
        <v>Very High</v>
      </c>
    </row>
    <row r="354" spans="1:19" x14ac:dyDescent="0.3">
      <c r="A354">
        <v>353</v>
      </c>
      <c r="B354" t="s">
        <v>25</v>
      </c>
      <c r="C354">
        <v>2017</v>
      </c>
      <c r="D354">
        <v>152977</v>
      </c>
      <c r="E354" t="s">
        <v>13</v>
      </c>
      <c r="F354" t="s">
        <v>18</v>
      </c>
      <c r="G354" t="s">
        <v>23</v>
      </c>
      <c r="H354">
        <v>4226</v>
      </c>
      <c r="I354">
        <v>520.4</v>
      </c>
      <c r="J354" s="2">
        <v>12.58</v>
      </c>
      <c r="K354">
        <v>5</v>
      </c>
      <c r="L354" s="1">
        <v>115351.16</v>
      </c>
      <c r="M354">
        <f t="shared" si="35"/>
        <v>7</v>
      </c>
      <c r="N354">
        <f t="shared" si="36"/>
        <v>16478.737142857142</v>
      </c>
      <c r="O354">
        <f t="shared" si="37"/>
        <v>21853.857142857141</v>
      </c>
      <c r="P354">
        <f t="shared" si="38"/>
        <v>123.14245149077141</v>
      </c>
      <c r="Q354" t="str">
        <f t="shared" si="39"/>
        <v>Recent (4-7 years)</v>
      </c>
      <c r="R354" t="str">
        <f t="shared" si="40"/>
        <v>Low</v>
      </c>
      <c r="S354" t="str">
        <f t="shared" si="41"/>
        <v>Very High</v>
      </c>
    </row>
    <row r="355" spans="1:19" x14ac:dyDescent="0.3">
      <c r="A355">
        <v>354</v>
      </c>
      <c r="B355" t="s">
        <v>30</v>
      </c>
      <c r="C355">
        <v>2006</v>
      </c>
      <c r="D355">
        <v>50838</v>
      </c>
      <c r="E355" t="s">
        <v>17</v>
      </c>
      <c r="F355" t="s">
        <v>14</v>
      </c>
      <c r="G355" t="s">
        <v>23</v>
      </c>
      <c r="H355">
        <v>1358</v>
      </c>
      <c r="I355">
        <v>210.7</v>
      </c>
      <c r="J355" s="2">
        <v>20.96</v>
      </c>
      <c r="K355">
        <v>4</v>
      </c>
      <c r="L355" s="1">
        <v>84100.82</v>
      </c>
      <c r="M355">
        <f t="shared" si="35"/>
        <v>18</v>
      </c>
      <c r="N355">
        <f t="shared" si="36"/>
        <v>4672.2677777777781</v>
      </c>
      <c r="O355">
        <f t="shared" si="37"/>
        <v>2824.3333333333335</v>
      </c>
      <c r="P355">
        <f t="shared" si="38"/>
        <v>155.1546391752577</v>
      </c>
      <c r="Q355" t="str">
        <f t="shared" si="39"/>
        <v>Old (12+ years)</v>
      </c>
      <c r="R355" t="str">
        <f t="shared" si="40"/>
        <v>Good</v>
      </c>
      <c r="S355" t="str">
        <f t="shared" si="41"/>
        <v>Very High</v>
      </c>
    </row>
    <row r="356" spans="1:19" x14ac:dyDescent="0.3">
      <c r="A356">
        <v>355</v>
      </c>
      <c r="B356" t="s">
        <v>24</v>
      </c>
      <c r="C356">
        <v>2011</v>
      </c>
      <c r="D356">
        <v>130200</v>
      </c>
      <c r="E356" t="s">
        <v>13</v>
      </c>
      <c r="F356" t="s">
        <v>18</v>
      </c>
      <c r="G356" t="s">
        <v>15</v>
      </c>
      <c r="H356">
        <v>3902</v>
      </c>
      <c r="I356">
        <v>147.9</v>
      </c>
      <c r="J356" s="2">
        <v>13.75</v>
      </c>
      <c r="K356">
        <v>4</v>
      </c>
      <c r="L356" s="1">
        <v>96760.47</v>
      </c>
      <c r="M356">
        <f t="shared" si="35"/>
        <v>13</v>
      </c>
      <c r="N356">
        <f t="shared" si="36"/>
        <v>7443.1130769230767</v>
      </c>
      <c r="O356">
        <f t="shared" si="37"/>
        <v>10015.384615384615</v>
      </c>
      <c r="P356">
        <f t="shared" si="38"/>
        <v>37.903639159405436</v>
      </c>
      <c r="Q356" t="str">
        <f t="shared" si="39"/>
        <v>Old (12+ years)</v>
      </c>
      <c r="R356" t="str">
        <f t="shared" si="40"/>
        <v>Low</v>
      </c>
      <c r="S356" t="str">
        <f t="shared" si="41"/>
        <v>Medium</v>
      </c>
    </row>
    <row r="357" spans="1:19" x14ac:dyDescent="0.3">
      <c r="A357">
        <v>356</v>
      </c>
      <c r="B357" t="s">
        <v>27</v>
      </c>
      <c r="C357">
        <v>2024</v>
      </c>
      <c r="D357">
        <v>194351</v>
      </c>
      <c r="E357" t="s">
        <v>17</v>
      </c>
      <c r="F357" t="s">
        <v>14</v>
      </c>
      <c r="G357" t="s">
        <v>20</v>
      </c>
      <c r="H357">
        <v>4422</v>
      </c>
      <c r="I357">
        <v>112.3</v>
      </c>
      <c r="J357" s="2">
        <v>28.21</v>
      </c>
      <c r="K357">
        <v>2</v>
      </c>
      <c r="L357" s="1">
        <v>49523.29</v>
      </c>
      <c r="M357">
        <f t="shared" si="35"/>
        <v>0</v>
      </c>
      <c r="N357">
        <f t="shared" si="36"/>
        <v>49523.29</v>
      </c>
      <c r="O357">
        <f t="shared" si="37"/>
        <v>194351</v>
      </c>
      <c r="P357">
        <f t="shared" si="38"/>
        <v>25.39574853007689</v>
      </c>
      <c r="Q357" t="str">
        <f t="shared" si="39"/>
        <v>New (0-3 years)</v>
      </c>
      <c r="R357" t="str">
        <f t="shared" si="40"/>
        <v>Excellent</v>
      </c>
      <c r="S357" t="str">
        <f t="shared" si="41"/>
        <v>Medium</v>
      </c>
    </row>
    <row r="358" spans="1:19" x14ac:dyDescent="0.3">
      <c r="A358">
        <v>357</v>
      </c>
      <c r="B358" t="s">
        <v>24</v>
      </c>
      <c r="C358">
        <v>2008</v>
      </c>
      <c r="D358">
        <v>94489</v>
      </c>
      <c r="E358" t="s">
        <v>22</v>
      </c>
      <c r="F358" t="s">
        <v>18</v>
      </c>
      <c r="G358" t="s">
        <v>23</v>
      </c>
      <c r="H358">
        <v>4857</v>
      </c>
      <c r="I358">
        <v>206.8</v>
      </c>
      <c r="J358" s="2">
        <v>6.64</v>
      </c>
      <c r="K358">
        <v>2</v>
      </c>
      <c r="L358" s="1">
        <v>42348.59</v>
      </c>
      <c r="M358">
        <f t="shared" si="35"/>
        <v>16</v>
      </c>
      <c r="N358">
        <f t="shared" si="36"/>
        <v>2646.7868749999998</v>
      </c>
      <c r="O358">
        <f t="shared" si="37"/>
        <v>5905.5625</v>
      </c>
      <c r="P358">
        <f t="shared" si="38"/>
        <v>42.57772287420218</v>
      </c>
      <c r="Q358" t="str">
        <f t="shared" si="39"/>
        <v>Old (12+ years)</v>
      </c>
      <c r="R358" t="str">
        <f t="shared" si="40"/>
        <v>Low</v>
      </c>
      <c r="S358" t="str">
        <f t="shared" si="41"/>
        <v>Very High</v>
      </c>
    </row>
    <row r="359" spans="1:19" x14ac:dyDescent="0.3">
      <c r="A359">
        <v>358</v>
      </c>
      <c r="B359" t="s">
        <v>24</v>
      </c>
      <c r="C359">
        <v>2012</v>
      </c>
      <c r="D359">
        <v>31806</v>
      </c>
      <c r="E359" t="s">
        <v>22</v>
      </c>
      <c r="F359" t="s">
        <v>14</v>
      </c>
      <c r="G359" t="s">
        <v>23</v>
      </c>
      <c r="H359">
        <v>4515</v>
      </c>
      <c r="I359">
        <v>476.8</v>
      </c>
      <c r="J359" s="2">
        <v>18.739999999999998</v>
      </c>
      <c r="K359">
        <v>5</v>
      </c>
      <c r="L359" s="1">
        <v>30434.63</v>
      </c>
      <c r="M359">
        <f t="shared" si="35"/>
        <v>12</v>
      </c>
      <c r="N359">
        <f t="shared" si="36"/>
        <v>2536.2191666666668</v>
      </c>
      <c r="O359">
        <f t="shared" si="37"/>
        <v>2650.5</v>
      </c>
      <c r="P359">
        <f t="shared" si="38"/>
        <v>105.60354374307863</v>
      </c>
      <c r="Q359" t="str">
        <f t="shared" si="39"/>
        <v>Mature (8-12 years)</v>
      </c>
      <c r="R359" t="str">
        <f t="shared" si="40"/>
        <v>Average</v>
      </c>
      <c r="S359" t="str">
        <f t="shared" si="41"/>
        <v>Very High</v>
      </c>
    </row>
    <row r="360" spans="1:19" x14ac:dyDescent="0.3">
      <c r="A360">
        <v>359</v>
      </c>
      <c r="B360" t="s">
        <v>27</v>
      </c>
      <c r="C360">
        <v>2024</v>
      </c>
      <c r="D360">
        <v>181072</v>
      </c>
      <c r="E360" t="s">
        <v>22</v>
      </c>
      <c r="F360" t="s">
        <v>14</v>
      </c>
      <c r="G360" t="s">
        <v>20</v>
      </c>
      <c r="H360">
        <v>2101</v>
      </c>
      <c r="I360">
        <v>304.10000000000002</v>
      </c>
      <c r="J360" s="2">
        <v>19.77</v>
      </c>
      <c r="K360">
        <v>7</v>
      </c>
      <c r="L360" s="1">
        <v>59235.82</v>
      </c>
      <c r="M360">
        <f t="shared" si="35"/>
        <v>0</v>
      </c>
      <c r="N360">
        <f t="shared" si="36"/>
        <v>59235.82</v>
      </c>
      <c r="O360">
        <f t="shared" si="37"/>
        <v>181072</v>
      </c>
      <c r="P360">
        <f t="shared" si="38"/>
        <v>144.74059971442171</v>
      </c>
      <c r="Q360" t="str">
        <f t="shared" si="39"/>
        <v>New (0-3 years)</v>
      </c>
      <c r="R360" t="str">
        <f t="shared" si="40"/>
        <v>Average</v>
      </c>
      <c r="S360" t="str">
        <f t="shared" si="41"/>
        <v>Very High</v>
      </c>
    </row>
    <row r="361" spans="1:19" x14ac:dyDescent="0.3">
      <c r="A361">
        <v>360</v>
      </c>
      <c r="B361" t="s">
        <v>29</v>
      </c>
      <c r="C361">
        <v>2023</v>
      </c>
      <c r="D361">
        <v>158240</v>
      </c>
      <c r="E361" t="s">
        <v>22</v>
      </c>
      <c r="F361" t="s">
        <v>14</v>
      </c>
      <c r="G361" t="s">
        <v>20</v>
      </c>
      <c r="H361">
        <v>2955</v>
      </c>
      <c r="I361">
        <v>167.4</v>
      </c>
      <c r="J361" s="2">
        <v>21.32</v>
      </c>
      <c r="K361">
        <v>5</v>
      </c>
      <c r="L361" s="1">
        <v>67563.960000000006</v>
      </c>
      <c r="M361">
        <f t="shared" si="35"/>
        <v>1</v>
      </c>
      <c r="N361">
        <f t="shared" si="36"/>
        <v>67563.960000000006</v>
      </c>
      <c r="O361">
        <f t="shared" si="37"/>
        <v>158240</v>
      </c>
      <c r="P361">
        <f t="shared" si="38"/>
        <v>56.649746192893403</v>
      </c>
      <c r="Q361" t="str">
        <f t="shared" si="39"/>
        <v>New (0-3 years)</v>
      </c>
      <c r="R361" t="str">
        <f t="shared" si="40"/>
        <v>Good</v>
      </c>
      <c r="S361" t="str">
        <f t="shared" si="41"/>
        <v>High</v>
      </c>
    </row>
    <row r="362" spans="1:19" x14ac:dyDescent="0.3">
      <c r="A362">
        <v>361</v>
      </c>
      <c r="B362" t="s">
        <v>16</v>
      </c>
      <c r="C362">
        <v>2017</v>
      </c>
      <c r="D362">
        <v>75119</v>
      </c>
      <c r="E362" t="s">
        <v>26</v>
      </c>
      <c r="F362" t="s">
        <v>18</v>
      </c>
      <c r="G362" t="s">
        <v>15</v>
      </c>
      <c r="H362">
        <v>1492</v>
      </c>
      <c r="I362">
        <v>133.1</v>
      </c>
      <c r="J362" s="2">
        <v>11.39</v>
      </c>
      <c r="K362">
        <v>6</v>
      </c>
      <c r="L362" s="1">
        <v>76917.66</v>
      </c>
      <c r="M362">
        <f t="shared" si="35"/>
        <v>7</v>
      </c>
      <c r="N362">
        <f t="shared" si="36"/>
        <v>10988.237142857144</v>
      </c>
      <c r="O362">
        <f t="shared" si="37"/>
        <v>10731.285714285714</v>
      </c>
      <c r="P362">
        <f t="shared" si="38"/>
        <v>89.20911528150134</v>
      </c>
      <c r="Q362" t="str">
        <f t="shared" si="39"/>
        <v>Recent (4-7 years)</v>
      </c>
      <c r="R362" t="str">
        <f t="shared" si="40"/>
        <v>Low</v>
      </c>
      <c r="S362" t="str">
        <f t="shared" si="41"/>
        <v>Medium</v>
      </c>
    </row>
    <row r="363" spans="1:19" x14ac:dyDescent="0.3">
      <c r="A363">
        <v>362</v>
      </c>
      <c r="B363" t="s">
        <v>24</v>
      </c>
      <c r="C363">
        <v>2018</v>
      </c>
      <c r="D363">
        <v>43714</v>
      </c>
      <c r="E363" t="s">
        <v>26</v>
      </c>
      <c r="F363" t="s">
        <v>18</v>
      </c>
      <c r="G363" t="s">
        <v>20</v>
      </c>
      <c r="H363">
        <v>2278</v>
      </c>
      <c r="I363">
        <v>226.3</v>
      </c>
      <c r="J363" s="2">
        <v>14.11</v>
      </c>
      <c r="K363">
        <v>4</v>
      </c>
      <c r="L363" s="1">
        <v>33082.86</v>
      </c>
      <c r="M363">
        <f t="shared" si="35"/>
        <v>6</v>
      </c>
      <c r="N363">
        <f t="shared" si="36"/>
        <v>5513.81</v>
      </c>
      <c r="O363">
        <f t="shared" si="37"/>
        <v>7285.666666666667</v>
      </c>
      <c r="P363">
        <f t="shared" si="38"/>
        <v>99.341527655838462</v>
      </c>
      <c r="Q363" t="str">
        <f t="shared" si="39"/>
        <v>Recent (4-7 years)</v>
      </c>
      <c r="R363" t="str">
        <f t="shared" si="40"/>
        <v>Low</v>
      </c>
      <c r="S363" t="str">
        <f t="shared" si="41"/>
        <v>Very High</v>
      </c>
    </row>
    <row r="364" spans="1:19" x14ac:dyDescent="0.3">
      <c r="A364">
        <v>363</v>
      </c>
      <c r="B364" t="s">
        <v>27</v>
      </c>
      <c r="C364">
        <v>2014</v>
      </c>
      <c r="D364">
        <v>190165</v>
      </c>
      <c r="E364" t="s">
        <v>13</v>
      </c>
      <c r="F364" t="s">
        <v>18</v>
      </c>
      <c r="G364" t="s">
        <v>20</v>
      </c>
      <c r="H364">
        <v>1056</v>
      </c>
      <c r="I364">
        <v>566.4</v>
      </c>
      <c r="J364" s="2">
        <v>26.09</v>
      </c>
      <c r="K364">
        <v>4</v>
      </c>
      <c r="L364" s="1">
        <v>113992.53</v>
      </c>
      <c r="M364">
        <f t="shared" si="35"/>
        <v>10</v>
      </c>
      <c r="N364">
        <f t="shared" si="36"/>
        <v>11399.253000000001</v>
      </c>
      <c r="O364">
        <f t="shared" si="37"/>
        <v>19016.5</v>
      </c>
      <c r="P364">
        <f t="shared" si="38"/>
        <v>536.36363636363626</v>
      </c>
      <c r="Q364" t="str">
        <f t="shared" si="39"/>
        <v>Mature (8-12 years)</v>
      </c>
      <c r="R364" t="str">
        <f t="shared" si="40"/>
        <v>Excellent</v>
      </c>
      <c r="S364" t="str">
        <f t="shared" si="41"/>
        <v>Very High</v>
      </c>
    </row>
    <row r="365" spans="1:19" x14ac:dyDescent="0.3">
      <c r="A365">
        <v>364</v>
      </c>
      <c r="B365" t="s">
        <v>27</v>
      </c>
      <c r="C365">
        <v>2015</v>
      </c>
      <c r="D365">
        <v>60419</v>
      </c>
      <c r="E365" t="s">
        <v>17</v>
      </c>
      <c r="F365" t="s">
        <v>14</v>
      </c>
      <c r="G365" t="s">
        <v>20</v>
      </c>
      <c r="H365">
        <v>3230</v>
      </c>
      <c r="I365">
        <v>232.1</v>
      </c>
      <c r="J365" s="2">
        <v>9.8699999999999992</v>
      </c>
      <c r="K365">
        <v>2</v>
      </c>
      <c r="L365" s="1">
        <v>22861.74</v>
      </c>
      <c r="M365">
        <f t="shared" si="35"/>
        <v>9</v>
      </c>
      <c r="N365">
        <f t="shared" si="36"/>
        <v>2540.1933333333336</v>
      </c>
      <c r="O365">
        <f t="shared" si="37"/>
        <v>6713.2222222222226</v>
      </c>
      <c r="P365">
        <f t="shared" si="38"/>
        <v>71.857585139318886</v>
      </c>
      <c r="Q365" t="str">
        <f t="shared" si="39"/>
        <v>Mature (8-12 years)</v>
      </c>
      <c r="R365" t="str">
        <f t="shared" si="40"/>
        <v>Low</v>
      </c>
      <c r="S365" t="str">
        <f t="shared" si="41"/>
        <v>Very High</v>
      </c>
    </row>
    <row r="366" spans="1:19" x14ac:dyDescent="0.3">
      <c r="A366">
        <v>365</v>
      </c>
      <c r="B366" t="s">
        <v>21</v>
      </c>
      <c r="C366">
        <v>2006</v>
      </c>
      <c r="D366">
        <v>185217</v>
      </c>
      <c r="E366" t="s">
        <v>22</v>
      </c>
      <c r="F366" t="s">
        <v>18</v>
      </c>
      <c r="G366" t="s">
        <v>15</v>
      </c>
      <c r="H366">
        <v>1241</v>
      </c>
      <c r="I366">
        <v>593.29999999999995</v>
      </c>
      <c r="J366" s="2">
        <v>25.67</v>
      </c>
      <c r="K366">
        <v>7</v>
      </c>
      <c r="L366" s="1">
        <v>115981.42</v>
      </c>
      <c r="M366">
        <f t="shared" si="35"/>
        <v>18</v>
      </c>
      <c r="N366">
        <f t="shared" si="36"/>
        <v>6443.4122222222222</v>
      </c>
      <c r="O366">
        <f t="shared" si="37"/>
        <v>10289.833333333334</v>
      </c>
      <c r="P366">
        <f t="shared" si="38"/>
        <v>478.08219178082186</v>
      </c>
      <c r="Q366" t="str">
        <f t="shared" si="39"/>
        <v>Old (12+ years)</v>
      </c>
      <c r="R366" t="str">
        <f t="shared" si="40"/>
        <v>Excellent</v>
      </c>
      <c r="S366" t="str">
        <f t="shared" si="41"/>
        <v>Very High</v>
      </c>
    </row>
    <row r="367" spans="1:19" x14ac:dyDescent="0.3">
      <c r="A367">
        <v>366</v>
      </c>
      <c r="B367" t="s">
        <v>29</v>
      </c>
      <c r="C367">
        <v>2013</v>
      </c>
      <c r="D367">
        <v>110432</v>
      </c>
      <c r="E367" t="s">
        <v>22</v>
      </c>
      <c r="F367" t="s">
        <v>14</v>
      </c>
      <c r="G367" t="s">
        <v>20</v>
      </c>
      <c r="H367">
        <v>2681</v>
      </c>
      <c r="I367">
        <v>311.7</v>
      </c>
      <c r="J367" s="2">
        <v>19.07</v>
      </c>
      <c r="K367">
        <v>2</v>
      </c>
      <c r="L367" s="1">
        <v>4738.17</v>
      </c>
      <c r="M367">
        <f t="shared" si="35"/>
        <v>11</v>
      </c>
      <c r="N367">
        <f t="shared" si="36"/>
        <v>430.74272727272728</v>
      </c>
      <c r="O367">
        <f t="shared" si="37"/>
        <v>10039.272727272728</v>
      </c>
      <c r="P367">
        <f t="shared" si="38"/>
        <v>116.26258858634837</v>
      </c>
      <c r="Q367" t="str">
        <f t="shared" si="39"/>
        <v>Mature (8-12 years)</v>
      </c>
      <c r="R367" t="str">
        <f t="shared" si="40"/>
        <v>Average</v>
      </c>
      <c r="S367" t="str">
        <f t="shared" si="41"/>
        <v>Very High</v>
      </c>
    </row>
    <row r="368" spans="1:19" x14ac:dyDescent="0.3">
      <c r="A368">
        <v>367</v>
      </c>
      <c r="B368" t="s">
        <v>19</v>
      </c>
      <c r="C368">
        <v>2021</v>
      </c>
      <c r="D368">
        <v>97949</v>
      </c>
      <c r="E368" t="s">
        <v>17</v>
      </c>
      <c r="F368" t="s">
        <v>18</v>
      </c>
      <c r="G368" t="s">
        <v>20</v>
      </c>
      <c r="H368">
        <v>3446</v>
      </c>
      <c r="I368">
        <v>140.30000000000001</v>
      </c>
      <c r="J368" s="2">
        <v>24.05</v>
      </c>
      <c r="K368">
        <v>6</v>
      </c>
      <c r="L368" s="1">
        <v>59291.71</v>
      </c>
      <c r="M368">
        <f t="shared" si="35"/>
        <v>3</v>
      </c>
      <c r="N368">
        <f t="shared" si="36"/>
        <v>19763.903333333332</v>
      </c>
      <c r="O368">
        <f t="shared" si="37"/>
        <v>32649.666666666668</v>
      </c>
      <c r="P368">
        <f t="shared" si="38"/>
        <v>40.713871154962277</v>
      </c>
      <c r="Q368" t="str">
        <f t="shared" si="39"/>
        <v>New (0-3 years)</v>
      </c>
      <c r="R368" t="str">
        <f t="shared" si="40"/>
        <v>Good</v>
      </c>
      <c r="S368" t="str">
        <f t="shared" si="41"/>
        <v>Medium</v>
      </c>
    </row>
    <row r="369" spans="1:19" x14ac:dyDescent="0.3">
      <c r="A369">
        <v>368</v>
      </c>
      <c r="B369" t="s">
        <v>21</v>
      </c>
      <c r="C369">
        <v>2007</v>
      </c>
      <c r="D369">
        <v>138533</v>
      </c>
      <c r="E369" t="s">
        <v>17</v>
      </c>
      <c r="F369" t="s">
        <v>14</v>
      </c>
      <c r="G369" t="s">
        <v>15</v>
      </c>
      <c r="H369">
        <v>4620</v>
      </c>
      <c r="I369">
        <v>539</v>
      </c>
      <c r="J369" s="2">
        <v>22.84</v>
      </c>
      <c r="K369">
        <v>5</v>
      </c>
      <c r="L369" s="1">
        <v>42004.04</v>
      </c>
      <c r="M369">
        <f t="shared" si="35"/>
        <v>17</v>
      </c>
      <c r="N369">
        <f t="shared" si="36"/>
        <v>2470.8258823529413</v>
      </c>
      <c r="O369">
        <f t="shared" si="37"/>
        <v>8149</v>
      </c>
      <c r="P369">
        <f t="shared" si="38"/>
        <v>116.66666666666666</v>
      </c>
      <c r="Q369" t="str">
        <f t="shared" si="39"/>
        <v>Old (12+ years)</v>
      </c>
      <c r="R369" t="str">
        <f t="shared" si="40"/>
        <v>Good</v>
      </c>
      <c r="S369" t="str">
        <f t="shared" si="41"/>
        <v>Very High</v>
      </c>
    </row>
    <row r="370" spans="1:19" x14ac:dyDescent="0.3">
      <c r="A370">
        <v>369</v>
      </c>
      <c r="B370" t="s">
        <v>21</v>
      </c>
      <c r="C370">
        <v>2010</v>
      </c>
      <c r="D370">
        <v>150363</v>
      </c>
      <c r="E370" t="s">
        <v>13</v>
      </c>
      <c r="F370" t="s">
        <v>14</v>
      </c>
      <c r="G370" t="s">
        <v>20</v>
      </c>
      <c r="H370">
        <v>2535</v>
      </c>
      <c r="I370">
        <v>297.8</v>
      </c>
      <c r="J370" s="2">
        <v>10.19</v>
      </c>
      <c r="K370">
        <v>5</v>
      </c>
      <c r="L370" s="1">
        <v>55547.44</v>
      </c>
      <c r="M370">
        <f t="shared" si="35"/>
        <v>14</v>
      </c>
      <c r="N370">
        <f t="shared" si="36"/>
        <v>3967.6742857142858</v>
      </c>
      <c r="O370">
        <f t="shared" si="37"/>
        <v>10740.214285714286</v>
      </c>
      <c r="P370">
        <f t="shared" si="38"/>
        <v>117.47534516765286</v>
      </c>
      <c r="Q370" t="str">
        <f t="shared" si="39"/>
        <v>Old (12+ years)</v>
      </c>
      <c r="R370" t="str">
        <f t="shared" si="40"/>
        <v>Low</v>
      </c>
      <c r="S370" t="str">
        <f t="shared" si="41"/>
        <v>Very High</v>
      </c>
    </row>
    <row r="371" spans="1:19" x14ac:dyDescent="0.3">
      <c r="A371">
        <v>370</v>
      </c>
      <c r="B371" t="s">
        <v>12</v>
      </c>
      <c r="C371">
        <v>2009</v>
      </c>
      <c r="D371">
        <v>182876</v>
      </c>
      <c r="E371" t="s">
        <v>17</v>
      </c>
      <c r="F371" t="s">
        <v>14</v>
      </c>
      <c r="G371" t="s">
        <v>20</v>
      </c>
      <c r="H371">
        <v>4535</v>
      </c>
      <c r="I371">
        <v>437.4</v>
      </c>
      <c r="J371" s="2">
        <v>19.22</v>
      </c>
      <c r="K371">
        <v>7</v>
      </c>
      <c r="L371" s="1">
        <v>69767.759999999995</v>
      </c>
      <c r="M371">
        <f t="shared" si="35"/>
        <v>15</v>
      </c>
      <c r="N371">
        <f t="shared" si="36"/>
        <v>4651.1839999999993</v>
      </c>
      <c r="O371">
        <f t="shared" si="37"/>
        <v>12191.733333333334</v>
      </c>
      <c r="P371">
        <f t="shared" si="38"/>
        <v>96.449834619625136</v>
      </c>
      <c r="Q371" t="str">
        <f t="shared" si="39"/>
        <v>Old (12+ years)</v>
      </c>
      <c r="R371" t="str">
        <f t="shared" si="40"/>
        <v>Average</v>
      </c>
      <c r="S371" t="str">
        <f t="shared" si="41"/>
        <v>Very High</v>
      </c>
    </row>
    <row r="372" spans="1:19" x14ac:dyDescent="0.3">
      <c r="A372">
        <v>371</v>
      </c>
      <c r="B372" t="s">
        <v>16</v>
      </c>
      <c r="C372">
        <v>2009</v>
      </c>
      <c r="D372">
        <v>81971</v>
      </c>
      <c r="E372" t="s">
        <v>22</v>
      </c>
      <c r="F372" t="s">
        <v>18</v>
      </c>
      <c r="G372" t="s">
        <v>15</v>
      </c>
      <c r="H372">
        <v>3445</v>
      </c>
      <c r="I372">
        <v>590.9</v>
      </c>
      <c r="J372" s="2">
        <v>26.69</v>
      </c>
      <c r="K372">
        <v>2</v>
      </c>
      <c r="L372" s="1">
        <v>53963.93</v>
      </c>
      <c r="M372">
        <f t="shared" si="35"/>
        <v>15</v>
      </c>
      <c r="N372">
        <f t="shared" si="36"/>
        <v>3597.5953333333332</v>
      </c>
      <c r="O372">
        <f t="shared" si="37"/>
        <v>5464.7333333333336</v>
      </c>
      <c r="P372">
        <f t="shared" si="38"/>
        <v>171.52394775036285</v>
      </c>
      <c r="Q372" t="str">
        <f t="shared" si="39"/>
        <v>Old (12+ years)</v>
      </c>
      <c r="R372" t="str">
        <f t="shared" si="40"/>
        <v>Excellent</v>
      </c>
      <c r="S372" t="str">
        <f t="shared" si="41"/>
        <v>Very High</v>
      </c>
    </row>
    <row r="373" spans="1:19" x14ac:dyDescent="0.3">
      <c r="A373">
        <v>372</v>
      </c>
      <c r="B373" t="s">
        <v>27</v>
      </c>
      <c r="C373">
        <v>2019</v>
      </c>
      <c r="D373">
        <v>98471</v>
      </c>
      <c r="E373" t="s">
        <v>22</v>
      </c>
      <c r="F373" t="s">
        <v>18</v>
      </c>
      <c r="G373" t="s">
        <v>23</v>
      </c>
      <c r="H373">
        <v>818</v>
      </c>
      <c r="I373">
        <v>68.099999999999994</v>
      </c>
      <c r="J373" s="2">
        <v>15.8</v>
      </c>
      <c r="K373">
        <v>2</v>
      </c>
      <c r="L373" s="1">
        <v>51537.08</v>
      </c>
      <c r="M373">
        <f t="shared" si="35"/>
        <v>5</v>
      </c>
      <c r="N373">
        <f t="shared" si="36"/>
        <v>10307.416000000001</v>
      </c>
      <c r="O373">
        <f t="shared" si="37"/>
        <v>19694.2</v>
      </c>
      <c r="P373">
        <f t="shared" si="38"/>
        <v>83.251833740831287</v>
      </c>
      <c r="Q373" t="str">
        <f t="shared" si="39"/>
        <v>Recent (4-7 years)</v>
      </c>
      <c r="R373" t="str">
        <f t="shared" si="40"/>
        <v>Average</v>
      </c>
      <c r="S373" t="str">
        <f t="shared" si="41"/>
        <v>Low</v>
      </c>
    </row>
    <row r="374" spans="1:19" x14ac:dyDescent="0.3">
      <c r="A374">
        <v>373</v>
      </c>
      <c r="B374" t="s">
        <v>16</v>
      </c>
      <c r="C374">
        <v>2021</v>
      </c>
      <c r="D374">
        <v>69946</v>
      </c>
      <c r="E374" t="s">
        <v>22</v>
      </c>
      <c r="F374" t="s">
        <v>18</v>
      </c>
      <c r="G374" t="s">
        <v>15</v>
      </c>
      <c r="H374">
        <v>1924</v>
      </c>
      <c r="I374">
        <v>94.1</v>
      </c>
      <c r="J374" s="2">
        <v>29.16</v>
      </c>
      <c r="K374">
        <v>6</v>
      </c>
      <c r="L374" s="1">
        <v>88728.639999999999</v>
      </c>
      <c r="M374">
        <f t="shared" si="35"/>
        <v>3</v>
      </c>
      <c r="N374">
        <f t="shared" si="36"/>
        <v>29576.213333333333</v>
      </c>
      <c r="O374">
        <f t="shared" si="37"/>
        <v>23315.333333333332</v>
      </c>
      <c r="P374">
        <f t="shared" si="38"/>
        <v>48.908523908523904</v>
      </c>
      <c r="Q374" t="str">
        <f t="shared" si="39"/>
        <v>New (0-3 years)</v>
      </c>
      <c r="R374" t="str">
        <f t="shared" si="40"/>
        <v>Excellent</v>
      </c>
      <c r="S374" t="str">
        <f t="shared" si="41"/>
        <v>Low</v>
      </c>
    </row>
    <row r="375" spans="1:19" x14ac:dyDescent="0.3">
      <c r="A375">
        <v>374</v>
      </c>
      <c r="B375" t="s">
        <v>25</v>
      </c>
      <c r="C375">
        <v>2013</v>
      </c>
      <c r="D375">
        <v>103989</v>
      </c>
      <c r="E375" t="s">
        <v>22</v>
      </c>
      <c r="F375" t="s">
        <v>14</v>
      </c>
      <c r="G375" t="s">
        <v>20</v>
      </c>
      <c r="H375">
        <v>4785</v>
      </c>
      <c r="I375">
        <v>443.5</v>
      </c>
      <c r="J375" s="2">
        <v>16.309999999999999</v>
      </c>
      <c r="K375">
        <v>5</v>
      </c>
      <c r="L375" s="1">
        <v>83247.520000000004</v>
      </c>
      <c r="M375">
        <f t="shared" si="35"/>
        <v>11</v>
      </c>
      <c r="N375">
        <f t="shared" si="36"/>
        <v>7567.9563636363637</v>
      </c>
      <c r="O375">
        <f t="shared" si="37"/>
        <v>9453.545454545454</v>
      </c>
      <c r="P375">
        <f t="shared" si="38"/>
        <v>92.685475444096127</v>
      </c>
      <c r="Q375" t="str">
        <f t="shared" si="39"/>
        <v>Mature (8-12 years)</v>
      </c>
      <c r="R375" t="str">
        <f t="shared" si="40"/>
        <v>Average</v>
      </c>
      <c r="S375" t="str">
        <f t="shared" si="41"/>
        <v>Very High</v>
      </c>
    </row>
    <row r="376" spans="1:19" x14ac:dyDescent="0.3">
      <c r="A376">
        <v>375</v>
      </c>
      <c r="B376" t="s">
        <v>12</v>
      </c>
      <c r="C376">
        <v>2007</v>
      </c>
      <c r="D376">
        <v>89080</v>
      </c>
      <c r="E376" t="s">
        <v>22</v>
      </c>
      <c r="F376" t="s">
        <v>14</v>
      </c>
      <c r="G376" t="s">
        <v>20</v>
      </c>
      <c r="H376">
        <v>3454</v>
      </c>
      <c r="I376">
        <v>197.8</v>
      </c>
      <c r="J376" s="2">
        <v>8.57</v>
      </c>
      <c r="K376">
        <v>2</v>
      </c>
      <c r="L376" s="1">
        <v>100492.74</v>
      </c>
      <c r="M376">
        <f t="shared" si="35"/>
        <v>17</v>
      </c>
      <c r="N376">
        <f t="shared" si="36"/>
        <v>5911.3376470588237</v>
      </c>
      <c r="O376">
        <f t="shared" si="37"/>
        <v>5240</v>
      </c>
      <c r="P376">
        <f t="shared" si="38"/>
        <v>57.266936884771283</v>
      </c>
      <c r="Q376" t="str">
        <f t="shared" si="39"/>
        <v>Old (12+ years)</v>
      </c>
      <c r="R376" t="str">
        <f t="shared" si="40"/>
        <v>Low</v>
      </c>
      <c r="S376" t="str">
        <f t="shared" si="41"/>
        <v>High</v>
      </c>
    </row>
    <row r="377" spans="1:19" x14ac:dyDescent="0.3">
      <c r="A377">
        <v>376</v>
      </c>
      <c r="B377" t="s">
        <v>19</v>
      </c>
      <c r="C377">
        <v>2024</v>
      </c>
      <c r="D377">
        <v>197404</v>
      </c>
      <c r="E377" t="s">
        <v>13</v>
      </c>
      <c r="F377" t="s">
        <v>18</v>
      </c>
      <c r="G377" t="s">
        <v>20</v>
      </c>
      <c r="H377">
        <v>2880</v>
      </c>
      <c r="I377">
        <v>143.19999999999999</v>
      </c>
      <c r="J377" s="2">
        <v>14.74</v>
      </c>
      <c r="K377">
        <v>7</v>
      </c>
      <c r="L377" s="1">
        <v>32245.200000000001</v>
      </c>
      <c r="M377">
        <f t="shared" si="35"/>
        <v>0</v>
      </c>
      <c r="N377">
        <f t="shared" si="36"/>
        <v>32245.200000000001</v>
      </c>
      <c r="O377">
        <f t="shared" si="37"/>
        <v>197404</v>
      </c>
      <c r="P377">
        <f t="shared" si="38"/>
        <v>49.722222222222221</v>
      </c>
      <c r="Q377" t="str">
        <f t="shared" si="39"/>
        <v>New (0-3 years)</v>
      </c>
      <c r="R377" t="str">
        <f t="shared" si="40"/>
        <v>Low</v>
      </c>
      <c r="S377" t="str">
        <f t="shared" si="41"/>
        <v>Medium</v>
      </c>
    </row>
    <row r="378" spans="1:19" x14ac:dyDescent="0.3">
      <c r="A378">
        <v>377</v>
      </c>
      <c r="B378" t="s">
        <v>16</v>
      </c>
      <c r="C378">
        <v>2021</v>
      </c>
      <c r="D378">
        <v>82794</v>
      </c>
      <c r="E378" t="s">
        <v>22</v>
      </c>
      <c r="F378" t="s">
        <v>18</v>
      </c>
      <c r="G378" t="s">
        <v>15</v>
      </c>
      <c r="H378">
        <v>2347</v>
      </c>
      <c r="I378">
        <v>62</v>
      </c>
      <c r="J378" s="2">
        <v>28.79</v>
      </c>
      <c r="K378">
        <v>5</v>
      </c>
      <c r="L378" s="1">
        <v>74314.84</v>
      </c>
      <c r="M378">
        <f t="shared" si="35"/>
        <v>3</v>
      </c>
      <c r="N378">
        <f t="shared" si="36"/>
        <v>24771.613333333331</v>
      </c>
      <c r="O378">
        <f t="shared" si="37"/>
        <v>27598</v>
      </c>
      <c r="P378">
        <f t="shared" si="38"/>
        <v>26.416702172986792</v>
      </c>
      <c r="Q378" t="str">
        <f t="shared" si="39"/>
        <v>New (0-3 years)</v>
      </c>
      <c r="R378" t="str">
        <f t="shared" si="40"/>
        <v>Excellent</v>
      </c>
      <c r="S378" t="str">
        <f t="shared" si="41"/>
        <v>Low</v>
      </c>
    </row>
    <row r="379" spans="1:19" x14ac:dyDescent="0.3">
      <c r="A379">
        <v>378</v>
      </c>
      <c r="B379" t="s">
        <v>28</v>
      </c>
      <c r="C379">
        <v>2014</v>
      </c>
      <c r="D379">
        <v>35841</v>
      </c>
      <c r="E379" t="s">
        <v>13</v>
      </c>
      <c r="F379" t="s">
        <v>18</v>
      </c>
      <c r="G379" t="s">
        <v>20</v>
      </c>
      <c r="H379">
        <v>1661</v>
      </c>
      <c r="I379">
        <v>52.2</v>
      </c>
      <c r="J379" s="2">
        <v>12.99</v>
      </c>
      <c r="K379">
        <v>6</v>
      </c>
      <c r="L379" s="1">
        <v>71467.789999999994</v>
      </c>
      <c r="M379">
        <f t="shared" si="35"/>
        <v>10</v>
      </c>
      <c r="N379">
        <f t="shared" si="36"/>
        <v>7146.7789999999995</v>
      </c>
      <c r="O379">
        <f t="shared" si="37"/>
        <v>3584.1</v>
      </c>
      <c r="P379">
        <f t="shared" si="38"/>
        <v>31.426851294400965</v>
      </c>
      <c r="Q379" t="str">
        <f t="shared" si="39"/>
        <v>Mature (8-12 years)</v>
      </c>
      <c r="R379" t="str">
        <f t="shared" si="40"/>
        <v>Low</v>
      </c>
      <c r="S379" t="str">
        <f t="shared" si="41"/>
        <v>Low</v>
      </c>
    </row>
    <row r="380" spans="1:19" x14ac:dyDescent="0.3">
      <c r="A380">
        <v>379</v>
      </c>
      <c r="B380" t="s">
        <v>24</v>
      </c>
      <c r="C380">
        <v>2007</v>
      </c>
      <c r="D380">
        <v>129447</v>
      </c>
      <c r="E380" t="s">
        <v>22</v>
      </c>
      <c r="F380" t="s">
        <v>14</v>
      </c>
      <c r="G380" t="s">
        <v>20</v>
      </c>
      <c r="H380">
        <v>954</v>
      </c>
      <c r="I380">
        <v>473.7</v>
      </c>
      <c r="J380" s="2">
        <v>26.7</v>
      </c>
      <c r="K380">
        <v>7</v>
      </c>
      <c r="L380" s="1">
        <v>46259.32</v>
      </c>
      <c r="M380">
        <f t="shared" si="35"/>
        <v>17</v>
      </c>
      <c r="N380">
        <f t="shared" si="36"/>
        <v>2721.1364705882352</v>
      </c>
      <c r="O380">
        <f t="shared" si="37"/>
        <v>7614.5294117647063</v>
      </c>
      <c r="P380">
        <f t="shared" si="38"/>
        <v>496.54088050314465</v>
      </c>
      <c r="Q380" t="str">
        <f t="shared" si="39"/>
        <v>Old (12+ years)</v>
      </c>
      <c r="R380" t="str">
        <f t="shared" si="40"/>
        <v>Excellent</v>
      </c>
      <c r="S380" t="str">
        <f t="shared" si="41"/>
        <v>Very High</v>
      </c>
    </row>
    <row r="381" spans="1:19" x14ac:dyDescent="0.3">
      <c r="A381">
        <v>380</v>
      </c>
      <c r="B381" t="s">
        <v>25</v>
      </c>
      <c r="C381">
        <v>2022</v>
      </c>
      <c r="D381">
        <v>125029</v>
      </c>
      <c r="E381" t="s">
        <v>26</v>
      </c>
      <c r="F381" t="s">
        <v>14</v>
      </c>
      <c r="G381" t="s">
        <v>15</v>
      </c>
      <c r="H381">
        <v>4294</v>
      </c>
      <c r="I381">
        <v>115.3</v>
      </c>
      <c r="J381" s="2">
        <v>27.03</v>
      </c>
      <c r="K381">
        <v>4</v>
      </c>
      <c r="L381" s="1">
        <v>59868.73</v>
      </c>
      <c r="M381">
        <f t="shared" si="35"/>
        <v>2</v>
      </c>
      <c r="N381">
        <f t="shared" si="36"/>
        <v>29934.365000000002</v>
      </c>
      <c r="O381">
        <f t="shared" si="37"/>
        <v>62514.5</v>
      </c>
      <c r="P381">
        <f t="shared" si="38"/>
        <v>26.851420586865395</v>
      </c>
      <c r="Q381" t="str">
        <f t="shared" si="39"/>
        <v>New (0-3 years)</v>
      </c>
      <c r="R381" t="str">
        <f t="shared" si="40"/>
        <v>Excellent</v>
      </c>
      <c r="S381" t="str">
        <f t="shared" si="41"/>
        <v>Medium</v>
      </c>
    </row>
    <row r="382" spans="1:19" x14ac:dyDescent="0.3">
      <c r="A382">
        <v>381</v>
      </c>
      <c r="B382" t="s">
        <v>29</v>
      </c>
      <c r="C382">
        <v>2022</v>
      </c>
      <c r="D382">
        <v>184830</v>
      </c>
      <c r="E382" t="s">
        <v>26</v>
      </c>
      <c r="F382" t="s">
        <v>14</v>
      </c>
      <c r="G382" t="s">
        <v>23</v>
      </c>
      <c r="H382">
        <v>1704</v>
      </c>
      <c r="I382">
        <v>301.89999999999998</v>
      </c>
      <c r="J382" s="2">
        <v>13.75</v>
      </c>
      <c r="K382">
        <v>6</v>
      </c>
      <c r="L382" s="1">
        <v>39712.51</v>
      </c>
      <c r="M382">
        <f t="shared" si="35"/>
        <v>2</v>
      </c>
      <c r="N382">
        <f t="shared" si="36"/>
        <v>19856.255000000001</v>
      </c>
      <c r="O382">
        <f t="shared" si="37"/>
        <v>92415</v>
      </c>
      <c r="P382">
        <f t="shared" si="38"/>
        <v>177.17136150234739</v>
      </c>
      <c r="Q382" t="str">
        <f t="shared" si="39"/>
        <v>New (0-3 years)</v>
      </c>
      <c r="R382" t="str">
        <f t="shared" si="40"/>
        <v>Low</v>
      </c>
      <c r="S382" t="str">
        <f t="shared" si="41"/>
        <v>Very High</v>
      </c>
    </row>
    <row r="383" spans="1:19" x14ac:dyDescent="0.3">
      <c r="A383">
        <v>382</v>
      </c>
      <c r="B383" t="s">
        <v>19</v>
      </c>
      <c r="C383">
        <v>2021</v>
      </c>
      <c r="D383">
        <v>81272</v>
      </c>
      <c r="E383" t="s">
        <v>26</v>
      </c>
      <c r="F383" t="s">
        <v>14</v>
      </c>
      <c r="G383" t="s">
        <v>23</v>
      </c>
      <c r="H383">
        <v>2069</v>
      </c>
      <c r="I383">
        <v>379.3</v>
      </c>
      <c r="J383" s="2">
        <v>7.08</v>
      </c>
      <c r="K383">
        <v>7</v>
      </c>
      <c r="L383" s="1">
        <v>19595.79</v>
      </c>
      <c r="M383">
        <f t="shared" si="35"/>
        <v>3</v>
      </c>
      <c r="N383">
        <f t="shared" si="36"/>
        <v>6531.93</v>
      </c>
      <c r="O383">
        <f t="shared" si="37"/>
        <v>27090.666666666668</v>
      </c>
      <c r="P383">
        <f t="shared" si="38"/>
        <v>183.32527791203481</v>
      </c>
      <c r="Q383" t="str">
        <f t="shared" si="39"/>
        <v>New (0-3 years)</v>
      </c>
      <c r="R383" t="str">
        <f t="shared" si="40"/>
        <v>Low</v>
      </c>
      <c r="S383" t="str">
        <f t="shared" si="41"/>
        <v>Very High</v>
      </c>
    </row>
    <row r="384" spans="1:19" x14ac:dyDescent="0.3">
      <c r="A384">
        <v>383</v>
      </c>
      <c r="B384" t="s">
        <v>25</v>
      </c>
      <c r="C384">
        <v>2007</v>
      </c>
      <c r="D384">
        <v>42643</v>
      </c>
      <c r="E384" t="s">
        <v>26</v>
      </c>
      <c r="F384" t="s">
        <v>14</v>
      </c>
      <c r="G384" t="s">
        <v>20</v>
      </c>
      <c r="H384">
        <v>1204</v>
      </c>
      <c r="I384">
        <v>279.89999999999998</v>
      </c>
      <c r="J384" s="2">
        <v>23.11</v>
      </c>
      <c r="K384">
        <v>2</v>
      </c>
      <c r="L384" s="1">
        <v>28014.74</v>
      </c>
      <c r="M384">
        <f t="shared" si="35"/>
        <v>17</v>
      </c>
      <c r="N384">
        <f t="shared" si="36"/>
        <v>1647.9258823529412</v>
      </c>
      <c r="O384">
        <f t="shared" si="37"/>
        <v>2508.4117647058824</v>
      </c>
      <c r="P384">
        <f t="shared" si="38"/>
        <v>232.47508305647838</v>
      </c>
      <c r="Q384" t="str">
        <f t="shared" si="39"/>
        <v>Old (12+ years)</v>
      </c>
      <c r="R384" t="str">
        <f t="shared" si="40"/>
        <v>Good</v>
      </c>
      <c r="S384" t="str">
        <f t="shared" si="41"/>
        <v>Very High</v>
      </c>
    </row>
    <row r="385" spans="1:19" x14ac:dyDescent="0.3">
      <c r="A385">
        <v>384</v>
      </c>
      <c r="B385" t="s">
        <v>24</v>
      </c>
      <c r="C385">
        <v>2007</v>
      </c>
      <c r="D385">
        <v>186480</v>
      </c>
      <c r="E385" t="s">
        <v>13</v>
      </c>
      <c r="F385" t="s">
        <v>18</v>
      </c>
      <c r="G385" t="s">
        <v>15</v>
      </c>
      <c r="H385">
        <v>1643</v>
      </c>
      <c r="I385">
        <v>55.2</v>
      </c>
      <c r="J385" s="2">
        <v>12.79</v>
      </c>
      <c r="K385">
        <v>4</v>
      </c>
      <c r="L385" s="1">
        <v>15345.1</v>
      </c>
      <c r="M385">
        <f t="shared" si="35"/>
        <v>17</v>
      </c>
      <c r="N385">
        <f t="shared" si="36"/>
        <v>902.65294117647056</v>
      </c>
      <c r="O385">
        <f t="shared" si="37"/>
        <v>10969.411764705883</v>
      </c>
      <c r="P385">
        <f t="shared" si="38"/>
        <v>33.59707851491175</v>
      </c>
      <c r="Q385" t="str">
        <f t="shared" si="39"/>
        <v>Old (12+ years)</v>
      </c>
      <c r="R385" t="str">
        <f t="shared" si="40"/>
        <v>Low</v>
      </c>
      <c r="S385" t="str">
        <f t="shared" si="41"/>
        <v>Low</v>
      </c>
    </row>
    <row r="386" spans="1:19" x14ac:dyDescent="0.3">
      <c r="A386">
        <v>385</v>
      </c>
      <c r="B386" t="s">
        <v>12</v>
      </c>
      <c r="C386">
        <v>2010</v>
      </c>
      <c r="D386">
        <v>48950</v>
      </c>
      <c r="E386" t="s">
        <v>13</v>
      </c>
      <c r="F386" t="s">
        <v>14</v>
      </c>
      <c r="G386" t="s">
        <v>20</v>
      </c>
      <c r="H386">
        <v>2582</v>
      </c>
      <c r="I386">
        <v>478.8</v>
      </c>
      <c r="J386" s="2">
        <v>24.57</v>
      </c>
      <c r="K386">
        <v>6</v>
      </c>
      <c r="L386" s="1">
        <v>82919.14</v>
      </c>
      <c r="M386">
        <f t="shared" si="35"/>
        <v>14</v>
      </c>
      <c r="N386">
        <f t="shared" si="36"/>
        <v>5922.795714285714</v>
      </c>
      <c r="O386">
        <f t="shared" si="37"/>
        <v>3496.4285714285716</v>
      </c>
      <c r="P386">
        <f t="shared" si="38"/>
        <v>185.43764523625097</v>
      </c>
      <c r="Q386" t="str">
        <f t="shared" si="39"/>
        <v>Old (12+ years)</v>
      </c>
      <c r="R386" t="str">
        <f t="shared" si="40"/>
        <v>Good</v>
      </c>
      <c r="S386" t="str">
        <f t="shared" si="41"/>
        <v>Very High</v>
      </c>
    </row>
    <row r="387" spans="1:19" x14ac:dyDescent="0.3">
      <c r="A387">
        <v>386</v>
      </c>
      <c r="B387" t="s">
        <v>24</v>
      </c>
      <c r="C387">
        <v>2017</v>
      </c>
      <c r="D387">
        <v>192921</v>
      </c>
      <c r="E387" t="s">
        <v>17</v>
      </c>
      <c r="F387" t="s">
        <v>14</v>
      </c>
      <c r="G387" t="s">
        <v>15</v>
      </c>
      <c r="H387">
        <v>2364</v>
      </c>
      <c r="I387">
        <v>45.9</v>
      </c>
      <c r="J387" s="2">
        <v>16.07</v>
      </c>
      <c r="K387">
        <v>2</v>
      </c>
      <c r="L387" s="1">
        <v>80305.100000000006</v>
      </c>
      <c r="M387">
        <f t="shared" ref="M387:M450" si="42">2024-C387</f>
        <v>7</v>
      </c>
      <c r="N387">
        <f t="shared" ref="N387:N450" si="43">IF(M387&gt;0, L387/M387, L387)</f>
        <v>11472.157142857144</v>
      </c>
      <c r="O387">
        <f t="shared" ref="O387:O450" si="44">IF(M387&gt;0, D387/M387, D387)</f>
        <v>27560.142857142859</v>
      </c>
      <c r="P387">
        <f t="shared" ref="P387:P450" si="45">IF(H387&gt;0, I387/(H387/1000), 0)</f>
        <v>19.416243654822335</v>
      </c>
      <c r="Q387" t="str">
        <f t="shared" ref="Q387:Q450" si="46">IF(M387&lt;=3, "New (0-3 years)",
   IF(M387&lt;=7, "Recent (4-7 years)",
   IF(M387&lt;=12, "Mature (8-12 years)",
   "Old (12+ years)")))</f>
        <v>Recent (4-7 years)</v>
      </c>
      <c r="R387" t="str">
        <f t="shared" ref="R387:R450" si="47">IF(J387&gt;=25, "Excellent",
   IF(J387&gt;=20, "Good",
   IF(J387&gt;=15, "Average",
   "Low")))</f>
        <v>Average</v>
      </c>
      <c r="S387" t="str">
        <f t="shared" ref="S387:S450" si="48">IF(I387&gt;=200, "Very High",
   IF(I387&gt;=150, "High",
   IF(I387&gt;=100, "Medium",
   "Low")))</f>
        <v>Low</v>
      </c>
    </row>
    <row r="388" spans="1:19" x14ac:dyDescent="0.3">
      <c r="A388">
        <v>387</v>
      </c>
      <c r="B388" t="s">
        <v>21</v>
      </c>
      <c r="C388">
        <v>2019</v>
      </c>
      <c r="D388">
        <v>105500</v>
      </c>
      <c r="E388" t="s">
        <v>22</v>
      </c>
      <c r="F388" t="s">
        <v>14</v>
      </c>
      <c r="G388" t="s">
        <v>15</v>
      </c>
      <c r="H388">
        <v>1984</v>
      </c>
      <c r="I388">
        <v>466.7</v>
      </c>
      <c r="J388" s="2">
        <v>17.13</v>
      </c>
      <c r="K388">
        <v>4</v>
      </c>
      <c r="L388" s="1">
        <v>114220.95</v>
      </c>
      <c r="M388">
        <f t="shared" si="42"/>
        <v>5</v>
      </c>
      <c r="N388">
        <f t="shared" si="43"/>
        <v>22844.19</v>
      </c>
      <c r="O388">
        <f t="shared" si="44"/>
        <v>21100</v>
      </c>
      <c r="P388">
        <f t="shared" si="45"/>
        <v>235.23185483870967</v>
      </c>
      <c r="Q388" t="str">
        <f t="shared" si="46"/>
        <v>Recent (4-7 years)</v>
      </c>
      <c r="R388" t="str">
        <f t="shared" si="47"/>
        <v>Average</v>
      </c>
      <c r="S388" t="str">
        <f t="shared" si="48"/>
        <v>Very High</v>
      </c>
    </row>
    <row r="389" spans="1:19" x14ac:dyDescent="0.3">
      <c r="A389">
        <v>388</v>
      </c>
      <c r="B389" t="s">
        <v>24</v>
      </c>
      <c r="C389">
        <v>2013</v>
      </c>
      <c r="D389">
        <v>164116</v>
      </c>
      <c r="E389" t="s">
        <v>26</v>
      </c>
      <c r="F389" t="s">
        <v>14</v>
      </c>
      <c r="G389" t="s">
        <v>23</v>
      </c>
      <c r="H389">
        <v>1546</v>
      </c>
      <c r="I389">
        <v>540.29999999999995</v>
      </c>
      <c r="J389" s="2">
        <v>24.45</v>
      </c>
      <c r="K389">
        <v>5</v>
      </c>
      <c r="L389" s="1">
        <v>88372.37</v>
      </c>
      <c r="M389">
        <f t="shared" si="42"/>
        <v>11</v>
      </c>
      <c r="N389">
        <f t="shared" si="43"/>
        <v>8033.8518181818181</v>
      </c>
      <c r="O389">
        <f t="shared" si="44"/>
        <v>14919.636363636364</v>
      </c>
      <c r="P389">
        <f t="shared" si="45"/>
        <v>349.48253557567915</v>
      </c>
      <c r="Q389" t="str">
        <f t="shared" si="46"/>
        <v>Mature (8-12 years)</v>
      </c>
      <c r="R389" t="str">
        <f t="shared" si="47"/>
        <v>Good</v>
      </c>
      <c r="S389" t="str">
        <f t="shared" si="48"/>
        <v>Very High</v>
      </c>
    </row>
    <row r="390" spans="1:19" x14ac:dyDescent="0.3">
      <c r="A390">
        <v>389</v>
      </c>
      <c r="B390" t="s">
        <v>21</v>
      </c>
      <c r="C390">
        <v>2008</v>
      </c>
      <c r="D390">
        <v>130588</v>
      </c>
      <c r="E390" t="s">
        <v>13</v>
      </c>
      <c r="F390" t="s">
        <v>14</v>
      </c>
      <c r="G390" t="s">
        <v>23</v>
      </c>
      <c r="H390">
        <v>2525</v>
      </c>
      <c r="I390">
        <v>282.39999999999998</v>
      </c>
      <c r="J390" s="2">
        <v>14.56</v>
      </c>
      <c r="K390">
        <v>2</v>
      </c>
      <c r="L390" s="1">
        <v>9089.36</v>
      </c>
      <c r="M390">
        <f t="shared" si="42"/>
        <v>16</v>
      </c>
      <c r="N390">
        <f t="shared" si="43"/>
        <v>568.08500000000004</v>
      </c>
      <c r="O390">
        <f t="shared" si="44"/>
        <v>8161.75</v>
      </c>
      <c r="P390">
        <f t="shared" si="45"/>
        <v>111.84158415841584</v>
      </c>
      <c r="Q390" t="str">
        <f t="shared" si="46"/>
        <v>Old (12+ years)</v>
      </c>
      <c r="R390" t="str">
        <f t="shared" si="47"/>
        <v>Low</v>
      </c>
      <c r="S390" t="str">
        <f t="shared" si="48"/>
        <v>Very High</v>
      </c>
    </row>
    <row r="391" spans="1:19" x14ac:dyDescent="0.3">
      <c r="A391">
        <v>390</v>
      </c>
      <c r="B391" t="s">
        <v>12</v>
      </c>
      <c r="C391">
        <v>2018</v>
      </c>
      <c r="D391">
        <v>20997</v>
      </c>
      <c r="E391" t="s">
        <v>22</v>
      </c>
      <c r="F391" t="s">
        <v>18</v>
      </c>
      <c r="G391" t="s">
        <v>15</v>
      </c>
      <c r="H391">
        <v>3988</v>
      </c>
      <c r="I391">
        <v>339.9</v>
      </c>
      <c r="J391" s="2">
        <v>16.079999999999998</v>
      </c>
      <c r="K391">
        <v>7</v>
      </c>
      <c r="L391" s="1">
        <v>106456.69</v>
      </c>
      <c r="M391">
        <f t="shared" si="42"/>
        <v>6</v>
      </c>
      <c r="N391">
        <f t="shared" si="43"/>
        <v>17742.781666666666</v>
      </c>
      <c r="O391">
        <f t="shared" si="44"/>
        <v>3499.5</v>
      </c>
      <c r="P391">
        <f t="shared" si="45"/>
        <v>85.230692076228678</v>
      </c>
      <c r="Q391" t="str">
        <f t="shared" si="46"/>
        <v>Recent (4-7 years)</v>
      </c>
      <c r="R391" t="str">
        <f t="shared" si="47"/>
        <v>Average</v>
      </c>
      <c r="S391" t="str">
        <f t="shared" si="48"/>
        <v>Very High</v>
      </c>
    </row>
    <row r="392" spans="1:19" x14ac:dyDescent="0.3">
      <c r="A392">
        <v>391</v>
      </c>
      <c r="B392" t="s">
        <v>30</v>
      </c>
      <c r="C392">
        <v>2009</v>
      </c>
      <c r="D392">
        <v>84751</v>
      </c>
      <c r="E392" t="s">
        <v>22</v>
      </c>
      <c r="F392" t="s">
        <v>14</v>
      </c>
      <c r="G392" t="s">
        <v>20</v>
      </c>
      <c r="H392">
        <v>1070</v>
      </c>
      <c r="I392">
        <v>307.10000000000002</v>
      </c>
      <c r="J392" s="2">
        <v>14.4</v>
      </c>
      <c r="K392">
        <v>6</v>
      </c>
      <c r="L392" s="1">
        <v>103932.99</v>
      </c>
      <c r="M392">
        <f t="shared" si="42"/>
        <v>15</v>
      </c>
      <c r="N392">
        <f t="shared" si="43"/>
        <v>6928.866</v>
      </c>
      <c r="O392">
        <f t="shared" si="44"/>
        <v>5650.0666666666666</v>
      </c>
      <c r="P392">
        <f t="shared" si="45"/>
        <v>287.00934579439252</v>
      </c>
      <c r="Q392" t="str">
        <f t="shared" si="46"/>
        <v>Old (12+ years)</v>
      </c>
      <c r="R392" t="str">
        <f t="shared" si="47"/>
        <v>Low</v>
      </c>
      <c r="S392" t="str">
        <f t="shared" si="48"/>
        <v>Very High</v>
      </c>
    </row>
    <row r="393" spans="1:19" x14ac:dyDescent="0.3">
      <c r="A393">
        <v>392</v>
      </c>
      <c r="B393" t="s">
        <v>21</v>
      </c>
      <c r="C393">
        <v>2006</v>
      </c>
      <c r="D393">
        <v>103605</v>
      </c>
      <c r="E393" t="s">
        <v>13</v>
      </c>
      <c r="F393" t="s">
        <v>14</v>
      </c>
      <c r="G393" t="s">
        <v>23</v>
      </c>
      <c r="H393">
        <v>4756</v>
      </c>
      <c r="I393">
        <v>258</v>
      </c>
      <c r="J393" s="2">
        <v>14.18</v>
      </c>
      <c r="K393">
        <v>4</v>
      </c>
      <c r="L393" s="1">
        <v>54868.480000000003</v>
      </c>
      <c r="M393">
        <f t="shared" si="42"/>
        <v>18</v>
      </c>
      <c r="N393">
        <f t="shared" si="43"/>
        <v>3048.2488888888893</v>
      </c>
      <c r="O393">
        <f t="shared" si="44"/>
        <v>5755.833333333333</v>
      </c>
      <c r="P393">
        <f t="shared" si="45"/>
        <v>54.247266610597137</v>
      </c>
      <c r="Q393" t="str">
        <f t="shared" si="46"/>
        <v>Old (12+ years)</v>
      </c>
      <c r="R393" t="str">
        <f t="shared" si="47"/>
        <v>Low</v>
      </c>
      <c r="S393" t="str">
        <f t="shared" si="48"/>
        <v>Very High</v>
      </c>
    </row>
    <row r="394" spans="1:19" x14ac:dyDescent="0.3">
      <c r="A394">
        <v>393</v>
      </c>
      <c r="B394" t="s">
        <v>29</v>
      </c>
      <c r="C394">
        <v>2015</v>
      </c>
      <c r="D394">
        <v>159983</v>
      </c>
      <c r="E394" t="s">
        <v>26</v>
      </c>
      <c r="F394" t="s">
        <v>14</v>
      </c>
      <c r="G394" t="s">
        <v>20</v>
      </c>
      <c r="H394">
        <v>971</v>
      </c>
      <c r="I394">
        <v>537</v>
      </c>
      <c r="J394" s="2">
        <v>18.149999999999999</v>
      </c>
      <c r="K394">
        <v>2</v>
      </c>
      <c r="L394" s="1">
        <v>71545.98</v>
      </c>
      <c r="M394">
        <f t="shared" si="42"/>
        <v>9</v>
      </c>
      <c r="N394">
        <f t="shared" si="43"/>
        <v>7949.5533333333333</v>
      </c>
      <c r="O394">
        <f t="shared" si="44"/>
        <v>17775.888888888891</v>
      </c>
      <c r="P394">
        <f t="shared" si="45"/>
        <v>553.03810504634396</v>
      </c>
      <c r="Q394" t="str">
        <f t="shared" si="46"/>
        <v>Mature (8-12 years)</v>
      </c>
      <c r="R394" t="str">
        <f t="shared" si="47"/>
        <v>Average</v>
      </c>
      <c r="S394" t="str">
        <f t="shared" si="48"/>
        <v>Very High</v>
      </c>
    </row>
    <row r="395" spans="1:19" x14ac:dyDescent="0.3">
      <c r="A395">
        <v>394</v>
      </c>
      <c r="B395" t="s">
        <v>24</v>
      </c>
      <c r="C395">
        <v>2013</v>
      </c>
      <c r="D395">
        <v>60533</v>
      </c>
      <c r="E395" t="s">
        <v>17</v>
      </c>
      <c r="F395" t="s">
        <v>18</v>
      </c>
      <c r="G395" t="s">
        <v>23</v>
      </c>
      <c r="H395">
        <v>1073</v>
      </c>
      <c r="I395">
        <v>540.6</v>
      </c>
      <c r="J395" s="2">
        <v>25.22</v>
      </c>
      <c r="K395">
        <v>5</v>
      </c>
      <c r="L395" s="1">
        <v>117201.16</v>
      </c>
      <c r="M395">
        <f t="shared" si="42"/>
        <v>11</v>
      </c>
      <c r="N395">
        <f t="shared" si="43"/>
        <v>10654.650909090909</v>
      </c>
      <c r="O395">
        <f t="shared" si="44"/>
        <v>5503</v>
      </c>
      <c r="P395">
        <f t="shared" si="45"/>
        <v>503.82106244175213</v>
      </c>
      <c r="Q395" t="str">
        <f t="shared" si="46"/>
        <v>Mature (8-12 years)</v>
      </c>
      <c r="R395" t="str">
        <f t="shared" si="47"/>
        <v>Excellent</v>
      </c>
      <c r="S395" t="str">
        <f t="shared" si="48"/>
        <v>Very High</v>
      </c>
    </row>
    <row r="396" spans="1:19" x14ac:dyDescent="0.3">
      <c r="A396">
        <v>395</v>
      </c>
      <c r="B396" t="s">
        <v>24</v>
      </c>
      <c r="C396">
        <v>2007</v>
      </c>
      <c r="D396">
        <v>87566</v>
      </c>
      <c r="E396" t="s">
        <v>22</v>
      </c>
      <c r="F396" t="s">
        <v>18</v>
      </c>
      <c r="G396" t="s">
        <v>23</v>
      </c>
      <c r="H396">
        <v>3106</v>
      </c>
      <c r="I396">
        <v>228.1</v>
      </c>
      <c r="J396" s="2">
        <v>14.04</v>
      </c>
      <c r="K396">
        <v>6</v>
      </c>
      <c r="L396" s="1">
        <v>65279.61</v>
      </c>
      <c r="M396">
        <f t="shared" si="42"/>
        <v>17</v>
      </c>
      <c r="N396">
        <f t="shared" si="43"/>
        <v>3839.9770588235297</v>
      </c>
      <c r="O396">
        <f t="shared" si="44"/>
        <v>5150.9411764705883</v>
      </c>
      <c r="P396">
        <f t="shared" si="45"/>
        <v>73.438506117192532</v>
      </c>
      <c r="Q396" t="str">
        <f t="shared" si="46"/>
        <v>Old (12+ years)</v>
      </c>
      <c r="R396" t="str">
        <f t="shared" si="47"/>
        <v>Low</v>
      </c>
      <c r="S396" t="str">
        <f t="shared" si="48"/>
        <v>Very High</v>
      </c>
    </row>
    <row r="397" spans="1:19" x14ac:dyDescent="0.3">
      <c r="A397">
        <v>396</v>
      </c>
      <c r="B397" t="s">
        <v>29</v>
      </c>
      <c r="C397">
        <v>2013</v>
      </c>
      <c r="D397">
        <v>150643</v>
      </c>
      <c r="E397" t="s">
        <v>17</v>
      </c>
      <c r="F397" t="s">
        <v>18</v>
      </c>
      <c r="G397" t="s">
        <v>20</v>
      </c>
      <c r="H397">
        <v>1958</v>
      </c>
      <c r="I397">
        <v>384.4</v>
      </c>
      <c r="J397" s="2">
        <v>18.11</v>
      </c>
      <c r="K397">
        <v>6</v>
      </c>
      <c r="L397" s="1">
        <v>108922.65</v>
      </c>
      <c r="M397">
        <f t="shared" si="42"/>
        <v>11</v>
      </c>
      <c r="N397">
        <f t="shared" si="43"/>
        <v>9902.0590909090897</v>
      </c>
      <c r="O397">
        <f t="shared" si="44"/>
        <v>13694.818181818182</v>
      </c>
      <c r="P397">
        <f t="shared" si="45"/>
        <v>196.32277834525024</v>
      </c>
      <c r="Q397" t="str">
        <f t="shared" si="46"/>
        <v>Mature (8-12 years)</v>
      </c>
      <c r="R397" t="str">
        <f t="shared" si="47"/>
        <v>Average</v>
      </c>
      <c r="S397" t="str">
        <f t="shared" si="48"/>
        <v>Very High</v>
      </c>
    </row>
    <row r="398" spans="1:19" x14ac:dyDescent="0.3">
      <c r="A398">
        <v>397</v>
      </c>
      <c r="B398" t="s">
        <v>28</v>
      </c>
      <c r="C398">
        <v>2007</v>
      </c>
      <c r="D398">
        <v>113255</v>
      </c>
      <c r="E398" t="s">
        <v>26</v>
      </c>
      <c r="F398" t="s">
        <v>14</v>
      </c>
      <c r="G398" t="s">
        <v>23</v>
      </c>
      <c r="H398">
        <v>2506</v>
      </c>
      <c r="I398">
        <v>559.1</v>
      </c>
      <c r="J398" s="2">
        <v>21.77</v>
      </c>
      <c r="K398">
        <v>2</v>
      </c>
      <c r="L398" s="1">
        <v>12715.53</v>
      </c>
      <c r="M398">
        <f t="shared" si="42"/>
        <v>17</v>
      </c>
      <c r="N398">
        <f t="shared" si="43"/>
        <v>747.9723529411765</v>
      </c>
      <c r="O398">
        <f t="shared" si="44"/>
        <v>6662.0588235294117</v>
      </c>
      <c r="P398">
        <f t="shared" si="45"/>
        <v>223.10454908220274</v>
      </c>
      <c r="Q398" t="str">
        <f t="shared" si="46"/>
        <v>Old (12+ years)</v>
      </c>
      <c r="R398" t="str">
        <f t="shared" si="47"/>
        <v>Good</v>
      </c>
      <c r="S398" t="str">
        <f t="shared" si="48"/>
        <v>Very High</v>
      </c>
    </row>
    <row r="399" spans="1:19" x14ac:dyDescent="0.3">
      <c r="A399">
        <v>398</v>
      </c>
      <c r="B399" t="s">
        <v>27</v>
      </c>
      <c r="C399">
        <v>2006</v>
      </c>
      <c r="D399">
        <v>194013</v>
      </c>
      <c r="E399" t="s">
        <v>26</v>
      </c>
      <c r="F399" t="s">
        <v>18</v>
      </c>
      <c r="G399" t="s">
        <v>23</v>
      </c>
      <c r="H399">
        <v>2571</v>
      </c>
      <c r="I399">
        <v>578.79999999999995</v>
      </c>
      <c r="J399" s="2">
        <v>11.74</v>
      </c>
      <c r="K399">
        <v>5</v>
      </c>
      <c r="L399" s="1">
        <v>25353.07</v>
      </c>
      <c r="M399">
        <f t="shared" si="42"/>
        <v>18</v>
      </c>
      <c r="N399">
        <f t="shared" si="43"/>
        <v>1408.5038888888889</v>
      </c>
      <c r="O399">
        <f t="shared" si="44"/>
        <v>10778.5</v>
      </c>
      <c r="P399">
        <f t="shared" si="45"/>
        <v>225.12640995721506</v>
      </c>
      <c r="Q399" t="str">
        <f t="shared" si="46"/>
        <v>Old (12+ years)</v>
      </c>
      <c r="R399" t="str">
        <f t="shared" si="47"/>
        <v>Low</v>
      </c>
      <c r="S399" t="str">
        <f t="shared" si="48"/>
        <v>Very High</v>
      </c>
    </row>
    <row r="400" spans="1:19" x14ac:dyDescent="0.3">
      <c r="A400">
        <v>399</v>
      </c>
      <c r="B400" t="s">
        <v>30</v>
      </c>
      <c r="C400">
        <v>2016</v>
      </c>
      <c r="D400">
        <v>63005</v>
      </c>
      <c r="E400" t="s">
        <v>17</v>
      </c>
      <c r="F400" t="s">
        <v>14</v>
      </c>
      <c r="G400" t="s">
        <v>20</v>
      </c>
      <c r="H400">
        <v>1221</v>
      </c>
      <c r="I400">
        <v>325</v>
      </c>
      <c r="J400" s="2">
        <v>11.94</v>
      </c>
      <c r="K400">
        <v>4</v>
      </c>
      <c r="L400" s="1">
        <v>54568.33</v>
      </c>
      <c r="M400">
        <f t="shared" si="42"/>
        <v>8</v>
      </c>
      <c r="N400">
        <f t="shared" si="43"/>
        <v>6821.0412500000002</v>
      </c>
      <c r="O400">
        <f t="shared" si="44"/>
        <v>7875.625</v>
      </c>
      <c r="P400">
        <f t="shared" si="45"/>
        <v>266.17526617526613</v>
      </c>
      <c r="Q400" t="str">
        <f t="shared" si="46"/>
        <v>Mature (8-12 years)</v>
      </c>
      <c r="R400" t="str">
        <f t="shared" si="47"/>
        <v>Low</v>
      </c>
      <c r="S400" t="str">
        <f t="shared" si="48"/>
        <v>Very High</v>
      </c>
    </row>
    <row r="401" spans="1:19" x14ac:dyDescent="0.3">
      <c r="A401">
        <v>400</v>
      </c>
      <c r="B401" t="s">
        <v>19</v>
      </c>
      <c r="C401">
        <v>2014</v>
      </c>
      <c r="D401">
        <v>194784</v>
      </c>
      <c r="E401" t="s">
        <v>26</v>
      </c>
      <c r="F401" t="s">
        <v>14</v>
      </c>
      <c r="G401" t="s">
        <v>23</v>
      </c>
      <c r="H401">
        <v>2009</v>
      </c>
      <c r="I401">
        <v>293.60000000000002</v>
      </c>
      <c r="J401" s="2">
        <v>28.34</v>
      </c>
      <c r="K401">
        <v>2</v>
      </c>
      <c r="L401" s="1">
        <v>71416.55</v>
      </c>
      <c r="M401">
        <f t="shared" si="42"/>
        <v>10</v>
      </c>
      <c r="N401">
        <f t="shared" si="43"/>
        <v>7141.6550000000007</v>
      </c>
      <c r="O401">
        <f t="shared" si="44"/>
        <v>19478.400000000001</v>
      </c>
      <c r="P401">
        <f t="shared" si="45"/>
        <v>146.14235938277753</v>
      </c>
      <c r="Q401" t="str">
        <f t="shared" si="46"/>
        <v>Mature (8-12 years)</v>
      </c>
      <c r="R401" t="str">
        <f t="shared" si="47"/>
        <v>Excellent</v>
      </c>
      <c r="S401" t="str">
        <f t="shared" si="48"/>
        <v>Very High</v>
      </c>
    </row>
    <row r="402" spans="1:19" x14ac:dyDescent="0.3">
      <c r="A402">
        <v>401</v>
      </c>
      <c r="B402" t="s">
        <v>21</v>
      </c>
      <c r="C402">
        <v>2013</v>
      </c>
      <c r="D402">
        <v>48541</v>
      </c>
      <c r="E402" t="s">
        <v>22</v>
      </c>
      <c r="F402" t="s">
        <v>18</v>
      </c>
      <c r="G402" t="s">
        <v>23</v>
      </c>
      <c r="H402">
        <v>1690</v>
      </c>
      <c r="I402">
        <v>196.1</v>
      </c>
      <c r="J402" s="2">
        <v>23.09</v>
      </c>
      <c r="K402">
        <v>4</v>
      </c>
      <c r="L402" s="1">
        <v>98498.66</v>
      </c>
      <c r="M402">
        <f t="shared" si="42"/>
        <v>11</v>
      </c>
      <c r="N402">
        <f t="shared" si="43"/>
        <v>8954.4236363636373</v>
      </c>
      <c r="O402">
        <f t="shared" si="44"/>
        <v>4412.818181818182</v>
      </c>
      <c r="P402">
        <f t="shared" si="45"/>
        <v>116.03550295857988</v>
      </c>
      <c r="Q402" t="str">
        <f t="shared" si="46"/>
        <v>Mature (8-12 years)</v>
      </c>
      <c r="R402" t="str">
        <f t="shared" si="47"/>
        <v>Good</v>
      </c>
      <c r="S402" t="str">
        <f t="shared" si="48"/>
        <v>High</v>
      </c>
    </row>
    <row r="403" spans="1:19" x14ac:dyDescent="0.3">
      <c r="A403">
        <v>402</v>
      </c>
      <c r="B403" t="s">
        <v>29</v>
      </c>
      <c r="C403">
        <v>2019</v>
      </c>
      <c r="D403">
        <v>28387</v>
      </c>
      <c r="E403" t="s">
        <v>17</v>
      </c>
      <c r="F403" t="s">
        <v>14</v>
      </c>
      <c r="G403" t="s">
        <v>23</v>
      </c>
      <c r="H403">
        <v>4067</v>
      </c>
      <c r="I403">
        <v>577</v>
      </c>
      <c r="J403" s="2">
        <v>19.43</v>
      </c>
      <c r="K403">
        <v>6</v>
      </c>
      <c r="L403" s="1">
        <v>118626.67</v>
      </c>
      <c r="M403">
        <f t="shared" si="42"/>
        <v>5</v>
      </c>
      <c r="N403">
        <f t="shared" si="43"/>
        <v>23725.333999999999</v>
      </c>
      <c r="O403">
        <f t="shared" si="44"/>
        <v>5677.4</v>
      </c>
      <c r="P403">
        <f t="shared" si="45"/>
        <v>141.87361691664617</v>
      </c>
      <c r="Q403" t="str">
        <f t="shared" si="46"/>
        <v>Recent (4-7 years)</v>
      </c>
      <c r="R403" t="str">
        <f t="shared" si="47"/>
        <v>Average</v>
      </c>
      <c r="S403" t="str">
        <f t="shared" si="48"/>
        <v>Very High</v>
      </c>
    </row>
    <row r="404" spans="1:19" x14ac:dyDescent="0.3">
      <c r="A404">
        <v>403</v>
      </c>
      <c r="B404" t="s">
        <v>12</v>
      </c>
      <c r="C404">
        <v>2012</v>
      </c>
      <c r="D404">
        <v>98980</v>
      </c>
      <c r="E404" t="s">
        <v>26</v>
      </c>
      <c r="F404" t="s">
        <v>14</v>
      </c>
      <c r="G404" t="s">
        <v>20</v>
      </c>
      <c r="H404">
        <v>2273</v>
      </c>
      <c r="I404">
        <v>120</v>
      </c>
      <c r="J404" s="2">
        <v>21.19</v>
      </c>
      <c r="K404">
        <v>4</v>
      </c>
      <c r="L404" s="1">
        <v>48495.63</v>
      </c>
      <c r="M404">
        <f t="shared" si="42"/>
        <v>12</v>
      </c>
      <c r="N404">
        <f t="shared" si="43"/>
        <v>4041.3024999999998</v>
      </c>
      <c r="O404">
        <f t="shared" si="44"/>
        <v>8248.3333333333339</v>
      </c>
      <c r="P404">
        <f t="shared" si="45"/>
        <v>52.793664760228772</v>
      </c>
      <c r="Q404" t="str">
        <f t="shared" si="46"/>
        <v>Mature (8-12 years)</v>
      </c>
      <c r="R404" t="str">
        <f t="shared" si="47"/>
        <v>Good</v>
      </c>
      <c r="S404" t="str">
        <f t="shared" si="48"/>
        <v>Medium</v>
      </c>
    </row>
    <row r="405" spans="1:19" x14ac:dyDescent="0.3">
      <c r="A405">
        <v>404</v>
      </c>
      <c r="B405" t="s">
        <v>21</v>
      </c>
      <c r="C405">
        <v>2009</v>
      </c>
      <c r="D405">
        <v>184980</v>
      </c>
      <c r="E405" t="s">
        <v>17</v>
      </c>
      <c r="F405" t="s">
        <v>14</v>
      </c>
      <c r="G405" t="s">
        <v>15</v>
      </c>
      <c r="H405">
        <v>4043</v>
      </c>
      <c r="I405">
        <v>364.7</v>
      </c>
      <c r="J405" s="2">
        <v>5.73</v>
      </c>
      <c r="K405">
        <v>5</v>
      </c>
      <c r="L405" s="1">
        <v>8547.6299999999992</v>
      </c>
      <c r="M405">
        <f t="shared" si="42"/>
        <v>15</v>
      </c>
      <c r="N405">
        <f t="shared" si="43"/>
        <v>569.84199999999998</v>
      </c>
      <c r="O405">
        <f t="shared" si="44"/>
        <v>12332</v>
      </c>
      <c r="P405">
        <f t="shared" si="45"/>
        <v>90.205293099183763</v>
      </c>
      <c r="Q405" t="str">
        <f t="shared" si="46"/>
        <v>Old (12+ years)</v>
      </c>
      <c r="R405" t="str">
        <f t="shared" si="47"/>
        <v>Low</v>
      </c>
      <c r="S405" t="str">
        <f t="shared" si="48"/>
        <v>Very High</v>
      </c>
    </row>
    <row r="406" spans="1:19" x14ac:dyDescent="0.3">
      <c r="A406">
        <v>405</v>
      </c>
      <c r="B406" t="s">
        <v>27</v>
      </c>
      <c r="C406">
        <v>2015</v>
      </c>
      <c r="D406">
        <v>90457</v>
      </c>
      <c r="E406" t="s">
        <v>22</v>
      </c>
      <c r="F406" t="s">
        <v>18</v>
      </c>
      <c r="G406" t="s">
        <v>20</v>
      </c>
      <c r="H406">
        <v>2981</v>
      </c>
      <c r="I406">
        <v>198.2</v>
      </c>
      <c r="J406" s="2">
        <v>20.45</v>
      </c>
      <c r="K406">
        <v>7</v>
      </c>
      <c r="L406" s="1">
        <v>96737.07</v>
      </c>
      <c r="M406">
        <f t="shared" si="42"/>
        <v>9</v>
      </c>
      <c r="N406">
        <f t="shared" si="43"/>
        <v>10748.563333333334</v>
      </c>
      <c r="O406">
        <f t="shared" si="44"/>
        <v>10050.777777777777</v>
      </c>
      <c r="P406">
        <f t="shared" si="45"/>
        <v>66.487755786648776</v>
      </c>
      <c r="Q406" t="str">
        <f t="shared" si="46"/>
        <v>Mature (8-12 years)</v>
      </c>
      <c r="R406" t="str">
        <f t="shared" si="47"/>
        <v>Good</v>
      </c>
      <c r="S406" t="str">
        <f t="shared" si="48"/>
        <v>High</v>
      </c>
    </row>
    <row r="407" spans="1:19" x14ac:dyDescent="0.3">
      <c r="A407">
        <v>406</v>
      </c>
      <c r="B407" t="s">
        <v>12</v>
      </c>
      <c r="C407">
        <v>2006</v>
      </c>
      <c r="D407">
        <v>149129</v>
      </c>
      <c r="E407" t="s">
        <v>26</v>
      </c>
      <c r="F407" t="s">
        <v>14</v>
      </c>
      <c r="G407" t="s">
        <v>15</v>
      </c>
      <c r="H407">
        <v>2249</v>
      </c>
      <c r="I407">
        <v>196.2</v>
      </c>
      <c r="J407" s="2">
        <v>17.739999999999998</v>
      </c>
      <c r="K407">
        <v>5</v>
      </c>
      <c r="L407" s="1">
        <v>73712.539999999994</v>
      </c>
      <c r="M407">
        <f t="shared" si="42"/>
        <v>18</v>
      </c>
      <c r="N407">
        <f t="shared" si="43"/>
        <v>4095.1411111111106</v>
      </c>
      <c r="O407">
        <f t="shared" si="44"/>
        <v>8284.9444444444453</v>
      </c>
      <c r="P407">
        <f t="shared" si="45"/>
        <v>87.238772787905731</v>
      </c>
      <c r="Q407" t="str">
        <f t="shared" si="46"/>
        <v>Old (12+ years)</v>
      </c>
      <c r="R407" t="str">
        <f t="shared" si="47"/>
        <v>Average</v>
      </c>
      <c r="S407" t="str">
        <f t="shared" si="48"/>
        <v>High</v>
      </c>
    </row>
    <row r="408" spans="1:19" x14ac:dyDescent="0.3">
      <c r="A408">
        <v>407</v>
      </c>
      <c r="B408" t="s">
        <v>25</v>
      </c>
      <c r="C408">
        <v>2019</v>
      </c>
      <c r="D408">
        <v>69028</v>
      </c>
      <c r="E408" t="s">
        <v>22</v>
      </c>
      <c r="F408" t="s">
        <v>14</v>
      </c>
      <c r="G408" t="s">
        <v>23</v>
      </c>
      <c r="H408">
        <v>3896</v>
      </c>
      <c r="I408">
        <v>266.8</v>
      </c>
      <c r="J408" s="2">
        <v>18.64</v>
      </c>
      <c r="K408">
        <v>4</v>
      </c>
      <c r="L408" s="1">
        <v>26229.51</v>
      </c>
      <c r="M408">
        <f t="shared" si="42"/>
        <v>5</v>
      </c>
      <c r="N408">
        <f t="shared" si="43"/>
        <v>5245.902</v>
      </c>
      <c r="O408">
        <f t="shared" si="44"/>
        <v>13805.6</v>
      </c>
      <c r="P408">
        <f t="shared" si="45"/>
        <v>68.480492813141694</v>
      </c>
      <c r="Q408" t="str">
        <f t="shared" si="46"/>
        <v>Recent (4-7 years)</v>
      </c>
      <c r="R408" t="str">
        <f t="shared" si="47"/>
        <v>Average</v>
      </c>
      <c r="S408" t="str">
        <f t="shared" si="48"/>
        <v>Very High</v>
      </c>
    </row>
    <row r="409" spans="1:19" x14ac:dyDescent="0.3">
      <c r="A409">
        <v>408</v>
      </c>
      <c r="B409" t="s">
        <v>24</v>
      </c>
      <c r="C409">
        <v>2010</v>
      </c>
      <c r="D409">
        <v>124246</v>
      </c>
      <c r="E409" t="s">
        <v>26</v>
      </c>
      <c r="F409" t="s">
        <v>18</v>
      </c>
      <c r="G409" t="s">
        <v>15</v>
      </c>
      <c r="H409">
        <v>4056</v>
      </c>
      <c r="I409">
        <v>599.29999999999995</v>
      </c>
      <c r="J409" s="2">
        <v>13.99</v>
      </c>
      <c r="K409">
        <v>2</v>
      </c>
      <c r="L409" s="1">
        <v>60894.93</v>
      </c>
      <c r="M409">
        <f t="shared" si="42"/>
        <v>14</v>
      </c>
      <c r="N409">
        <f t="shared" si="43"/>
        <v>4349.6378571428568</v>
      </c>
      <c r="O409">
        <f t="shared" si="44"/>
        <v>8874.7142857142862</v>
      </c>
      <c r="P409">
        <f t="shared" si="45"/>
        <v>147.75641025641025</v>
      </c>
      <c r="Q409" t="str">
        <f t="shared" si="46"/>
        <v>Old (12+ years)</v>
      </c>
      <c r="R409" t="str">
        <f t="shared" si="47"/>
        <v>Low</v>
      </c>
      <c r="S409" t="str">
        <f t="shared" si="48"/>
        <v>Very High</v>
      </c>
    </row>
    <row r="410" spans="1:19" x14ac:dyDescent="0.3">
      <c r="A410">
        <v>409</v>
      </c>
      <c r="B410" t="s">
        <v>25</v>
      </c>
      <c r="C410">
        <v>2012</v>
      </c>
      <c r="D410">
        <v>60731</v>
      </c>
      <c r="E410" t="s">
        <v>13</v>
      </c>
      <c r="F410" t="s">
        <v>14</v>
      </c>
      <c r="G410" t="s">
        <v>20</v>
      </c>
      <c r="H410">
        <v>3956</v>
      </c>
      <c r="I410">
        <v>70.8</v>
      </c>
      <c r="J410" s="2">
        <v>7.04</v>
      </c>
      <c r="K410">
        <v>6</v>
      </c>
      <c r="L410" s="1">
        <v>89850.3</v>
      </c>
      <c r="M410">
        <f t="shared" si="42"/>
        <v>12</v>
      </c>
      <c r="N410">
        <f t="shared" si="43"/>
        <v>7487.5250000000005</v>
      </c>
      <c r="O410">
        <f t="shared" si="44"/>
        <v>5060.916666666667</v>
      </c>
      <c r="P410">
        <f t="shared" si="45"/>
        <v>17.896865520728007</v>
      </c>
      <c r="Q410" t="str">
        <f t="shared" si="46"/>
        <v>Mature (8-12 years)</v>
      </c>
      <c r="R410" t="str">
        <f t="shared" si="47"/>
        <v>Low</v>
      </c>
      <c r="S410" t="str">
        <f t="shared" si="48"/>
        <v>Low</v>
      </c>
    </row>
    <row r="411" spans="1:19" x14ac:dyDescent="0.3">
      <c r="A411">
        <v>410</v>
      </c>
      <c r="B411" t="s">
        <v>21</v>
      </c>
      <c r="C411">
        <v>2009</v>
      </c>
      <c r="D411">
        <v>160930</v>
      </c>
      <c r="E411" t="s">
        <v>26</v>
      </c>
      <c r="F411" t="s">
        <v>14</v>
      </c>
      <c r="G411" t="s">
        <v>20</v>
      </c>
      <c r="H411">
        <v>2390</v>
      </c>
      <c r="I411">
        <v>364</v>
      </c>
      <c r="J411" s="2">
        <v>9.83</v>
      </c>
      <c r="K411">
        <v>7</v>
      </c>
      <c r="L411" s="1">
        <v>93138.18</v>
      </c>
      <c r="M411">
        <f t="shared" si="42"/>
        <v>15</v>
      </c>
      <c r="N411">
        <f t="shared" si="43"/>
        <v>6209.2119999999995</v>
      </c>
      <c r="O411">
        <f t="shared" si="44"/>
        <v>10728.666666666666</v>
      </c>
      <c r="P411">
        <f t="shared" si="45"/>
        <v>152.30125523012552</v>
      </c>
      <c r="Q411" t="str">
        <f t="shared" si="46"/>
        <v>Old (12+ years)</v>
      </c>
      <c r="R411" t="str">
        <f t="shared" si="47"/>
        <v>Low</v>
      </c>
      <c r="S411" t="str">
        <f t="shared" si="48"/>
        <v>Very High</v>
      </c>
    </row>
    <row r="412" spans="1:19" x14ac:dyDescent="0.3">
      <c r="A412">
        <v>411</v>
      </c>
      <c r="B412" t="s">
        <v>27</v>
      </c>
      <c r="C412">
        <v>2020</v>
      </c>
      <c r="D412">
        <v>184761</v>
      </c>
      <c r="E412" t="s">
        <v>17</v>
      </c>
      <c r="F412" t="s">
        <v>18</v>
      </c>
      <c r="G412" t="s">
        <v>23</v>
      </c>
      <c r="H412">
        <v>4781</v>
      </c>
      <c r="I412">
        <v>86.2</v>
      </c>
      <c r="J412" s="2">
        <v>28.77</v>
      </c>
      <c r="K412">
        <v>2</v>
      </c>
      <c r="L412" s="1">
        <v>61455.35</v>
      </c>
      <c r="M412">
        <f t="shared" si="42"/>
        <v>4</v>
      </c>
      <c r="N412">
        <f t="shared" si="43"/>
        <v>15363.8375</v>
      </c>
      <c r="O412">
        <f t="shared" si="44"/>
        <v>46190.25</v>
      </c>
      <c r="P412">
        <f t="shared" si="45"/>
        <v>18.029700899393433</v>
      </c>
      <c r="Q412" t="str">
        <f t="shared" si="46"/>
        <v>Recent (4-7 years)</v>
      </c>
      <c r="R412" t="str">
        <f t="shared" si="47"/>
        <v>Excellent</v>
      </c>
      <c r="S412" t="str">
        <f t="shared" si="48"/>
        <v>Low</v>
      </c>
    </row>
    <row r="413" spans="1:19" x14ac:dyDescent="0.3">
      <c r="A413">
        <v>412</v>
      </c>
      <c r="B413" t="s">
        <v>30</v>
      </c>
      <c r="C413">
        <v>2022</v>
      </c>
      <c r="D413">
        <v>49638</v>
      </c>
      <c r="E413" t="s">
        <v>26</v>
      </c>
      <c r="F413" t="s">
        <v>14</v>
      </c>
      <c r="G413" t="s">
        <v>15</v>
      </c>
      <c r="H413">
        <v>2235</v>
      </c>
      <c r="I413">
        <v>126.5</v>
      </c>
      <c r="J413" s="2">
        <v>15.22</v>
      </c>
      <c r="K413">
        <v>2</v>
      </c>
      <c r="L413" s="1">
        <v>38710.1</v>
      </c>
      <c r="M413">
        <f t="shared" si="42"/>
        <v>2</v>
      </c>
      <c r="N413">
        <f t="shared" si="43"/>
        <v>19355.05</v>
      </c>
      <c r="O413">
        <f t="shared" si="44"/>
        <v>24819</v>
      </c>
      <c r="P413">
        <f t="shared" si="45"/>
        <v>56.599552572706941</v>
      </c>
      <c r="Q413" t="str">
        <f t="shared" si="46"/>
        <v>New (0-3 years)</v>
      </c>
      <c r="R413" t="str">
        <f t="shared" si="47"/>
        <v>Average</v>
      </c>
      <c r="S413" t="str">
        <f t="shared" si="48"/>
        <v>Medium</v>
      </c>
    </row>
    <row r="414" spans="1:19" x14ac:dyDescent="0.3">
      <c r="A414">
        <v>413</v>
      </c>
      <c r="B414" t="s">
        <v>21</v>
      </c>
      <c r="C414">
        <v>2010</v>
      </c>
      <c r="D414">
        <v>182558</v>
      </c>
      <c r="E414" t="s">
        <v>22</v>
      </c>
      <c r="F414" t="s">
        <v>14</v>
      </c>
      <c r="G414" t="s">
        <v>23</v>
      </c>
      <c r="H414">
        <v>1023</v>
      </c>
      <c r="I414">
        <v>286.2</v>
      </c>
      <c r="J414" s="2">
        <v>16.670000000000002</v>
      </c>
      <c r="K414">
        <v>5</v>
      </c>
      <c r="L414" s="1">
        <v>116927.88</v>
      </c>
      <c r="M414">
        <f t="shared" si="42"/>
        <v>14</v>
      </c>
      <c r="N414">
        <f t="shared" si="43"/>
        <v>8351.9914285714294</v>
      </c>
      <c r="O414">
        <f t="shared" si="44"/>
        <v>13039.857142857143</v>
      </c>
      <c r="P414">
        <f t="shared" si="45"/>
        <v>279.76539589442814</v>
      </c>
      <c r="Q414" t="str">
        <f t="shared" si="46"/>
        <v>Old (12+ years)</v>
      </c>
      <c r="R414" t="str">
        <f t="shared" si="47"/>
        <v>Average</v>
      </c>
      <c r="S414" t="str">
        <f t="shared" si="48"/>
        <v>Very High</v>
      </c>
    </row>
    <row r="415" spans="1:19" x14ac:dyDescent="0.3">
      <c r="A415">
        <v>414</v>
      </c>
      <c r="B415" t="s">
        <v>29</v>
      </c>
      <c r="C415">
        <v>2009</v>
      </c>
      <c r="D415">
        <v>25567</v>
      </c>
      <c r="E415" t="s">
        <v>22</v>
      </c>
      <c r="F415" t="s">
        <v>14</v>
      </c>
      <c r="G415" t="s">
        <v>23</v>
      </c>
      <c r="H415">
        <v>1019</v>
      </c>
      <c r="I415">
        <v>325.89999999999998</v>
      </c>
      <c r="J415" s="2">
        <v>6.32</v>
      </c>
      <c r="K415">
        <v>4</v>
      </c>
      <c r="L415" s="1">
        <v>80613.429999999993</v>
      </c>
      <c r="M415">
        <f t="shared" si="42"/>
        <v>15</v>
      </c>
      <c r="N415">
        <f t="shared" si="43"/>
        <v>5374.228666666666</v>
      </c>
      <c r="O415">
        <f t="shared" si="44"/>
        <v>1704.4666666666667</v>
      </c>
      <c r="P415">
        <f t="shared" si="45"/>
        <v>319.82335623159963</v>
      </c>
      <c r="Q415" t="str">
        <f t="shared" si="46"/>
        <v>Old (12+ years)</v>
      </c>
      <c r="R415" t="str">
        <f t="shared" si="47"/>
        <v>Low</v>
      </c>
      <c r="S415" t="str">
        <f t="shared" si="48"/>
        <v>Very High</v>
      </c>
    </row>
    <row r="416" spans="1:19" x14ac:dyDescent="0.3">
      <c r="A416">
        <v>415</v>
      </c>
      <c r="B416" t="s">
        <v>16</v>
      </c>
      <c r="C416">
        <v>2020</v>
      </c>
      <c r="D416">
        <v>165811</v>
      </c>
      <c r="E416" t="s">
        <v>26</v>
      </c>
      <c r="F416" t="s">
        <v>14</v>
      </c>
      <c r="G416" t="s">
        <v>20</v>
      </c>
      <c r="H416">
        <v>2454</v>
      </c>
      <c r="I416">
        <v>184.9</v>
      </c>
      <c r="J416" s="2">
        <v>5.94</v>
      </c>
      <c r="K416">
        <v>5</v>
      </c>
      <c r="L416" s="1">
        <v>50763.79</v>
      </c>
      <c r="M416">
        <f t="shared" si="42"/>
        <v>4</v>
      </c>
      <c r="N416">
        <f t="shared" si="43"/>
        <v>12690.9475</v>
      </c>
      <c r="O416">
        <f t="shared" si="44"/>
        <v>41452.75</v>
      </c>
      <c r="P416">
        <f t="shared" si="45"/>
        <v>75.346373268133661</v>
      </c>
      <c r="Q416" t="str">
        <f t="shared" si="46"/>
        <v>Recent (4-7 years)</v>
      </c>
      <c r="R416" t="str">
        <f t="shared" si="47"/>
        <v>Low</v>
      </c>
      <c r="S416" t="str">
        <f t="shared" si="48"/>
        <v>High</v>
      </c>
    </row>
    <row r="417" spans="1:19" x14ac:dyDescent="0.3">
      <c r="A417">
        <v>416</v>
      </c>
      <c r="B417" t="s">
        <v>21</v>
      </c>
      <c r="C417">
        <v>2017</v>
      </c>
      <c r="D417">
        <v>62804</v>
      </c>
      <c r="E417" t="s">
        <v>17</v>
      </c>
      <c r="F417" t="s">
        <v>14</v>
      </c>
      <c r="G417" t="s">
        <v>15</v>
      </c>
      <c r="H417">
        <v>1064</v>
      </c>
      <c r="I417">
        <v>217.2</v>
      </c>
      <c r="J417" s="2">
        <v>22.93</v>
      </c>
      <c r="K417">
        <v>4</v>
      </c>
      <c r="L417" s="1">
        <v>35814.199999999997</v>
      </c>
      <c r="M417">
        <f t="shared" si="42"/>
        <v>7</v>
      </c>
      <c r="N417">
        <f t="shared" si="43"/>
        <v>5116.3142857142857</v>
      </c>
      <c r="O417">
        <f t="shared" si="44"/>
        <v>8972</v>
      </c>
      <c r="P417">
        <f t="shared" si="45"/>
        <v>204.13533834586465</v>
      </c>
      <c r="Q417" t="str">
        <f t="shared" si="46"/>
        <v>Recent (4-7 years)</v>
      </c>
      <c r="R417" t="str">
        <f t="shared" si="47"/>
        <v>Good</v>
      </c>
      <c r="S417" t="str">
        <f t="shared" si="48"/>
        <v>Very High</v>
      </c>
    </row>
    <row r="418" spans="1:19" x14ac:dyDescent="0.3">
      <c r="A418">
        <v>417</v>
      </c>
      <c r="B418" t="s">
        <v>24</v>
      </c>
      <c r="C418">
        <v>2009</v>
      </c>
      <c r="D418">
        <v>113821</v>
      </c>
      <c r="E418" t="s">
        <v>13</v>
      </c>
      <c r="F418" t="s">
        <v>18</v>
      </c>
      <c r="G418" t="s">
        <v>15</v>
      </c>
      <c r="H418">
        <v>1753</v>
      </c>
      <c r="I418">
        <v>88.7</v>
      </c>
      <c r="J418" s="2">
        <v>18.45</v>
      </c>
      <c r="K418">
        <v>5</v>
      </c>
      <c r="L418" s="1">
        <v>88539.05</v>
      </c>
      <c r="M418">
        <f t="shared" si="42"/>
        <v>15</v>
      </c>
      <c r="N418">
        <f t="shared" si="43"/>
        <v>5902.6033333333335</v>
      </c>
      <c r="O418">
        <f t="shared" si="44"/>
        <v>7588.0666666666666</v>
      </c>
      <c r="P418">
        <f t="shared" si="45"/>
        <v>50.598973188819173</v>
      </c>
      <c r="Q418" t="str">
        <f t="shared" si="46"/>
        <v>Old (12+ years)</v>
      </c>
      <c r="R418" t="str">
        <f t="shared" si="47"/>
        <v>Average</v>
      </c>
      <c r="S418" t="str">
        <f t="shared" si="48"/>
        <v>Low</v>
      </c>
    </row>
    <row r="419" spans="1:19" x14ac:dyDescent="0.3">
      <c r="A419">
        <v>418</v>
      </c>
      <c r="B419" t="s">
        <v>24</v>
      </c>
      <c r="C419">
        <v>2017</v>
      </c>
      <c r="D419">
        <v>8754</v>
      </c>
      <c r="E419" t="s">
        <v>17</v>
      </c>
      <c r="F419" t="s">
        <v>18</v>
      </c>
      <c r="G419" t="s">
        <v>15</v>
      </c>
      <c r="H419">
        <v>4533</v>
      </c>
      <c r="I419">
        <v>209.8</v>
      </c>
      <c r="J419" s="2">
        <v>17.72</v>
      </c>
      <c r="K419">
        <v>2</v>
      </c>
      <c r="L419" s="1">
        <v>31335.46</v>
      </c>
      <c r="M419">
        <f t="shared" si="42"/>
        <v>7</v>
      </c>
      <c r="N419">
        <f t="shared" si="43"/>
        <v>4476.494285714286</v>
      </c>
      <c r="O419">
        <f t="shared" si="44"/>
        <v>1250.5714285714287</v>
      </c>
      <c r="P419">
        <f t="shared" si="45"/>
        <v>46.282814912861241</v>
      </c>
      <c r="Q419" t="str">
        <f t="shared" si="46"/>
        <v>Recent (4-7 years)</v>
      </c>
      <c r="R419" t="str">
        <f t="shared" si="47"/>
        <v>Average</v>
      </c>
      <c r="S419" t="str">
        <f t="shared" si="48"/>
        <v>Very High</v>
      </c>
    </row>
    <row r="420" spans="1:19" x14ac:dyDescent="0.3">
      <c r="A420">
        <v>419</v>
      </c>
      <c r="B420" t="s">
        <v>21</v>
      </c>
      <c r="C420">
        <v>2021</v>
      </c>
      <c r="D420">
        <v>32044</v>
      </c>
      <c r="E420" t="s">
        <v>13</v>
      </c>
      <c r="F420" t="s">
        <v>18</v>
      </c>
      <c r="G420" t="s">
        <v>15</v>
      </c>
      <c r="H420">
        <v>3574</v>
      </c>
      <c r="I420">
        <v>581.29999999999995</v>
      </c>
      <c r="J420" s="2">
        <v>11.08</v>
      </c>
      <c r="K420">
        <v>6</v>
      </c>
      <c r="L420" s="1">
        <v>23090.07</v>
      </c>
      <c r="M420">
        <f t="shared" si="42"/>
        <v>3</v>
      </c>
      <c r="N420">
        <f t="shared" si="43"/>
        <v>7696.69</v>
      </c>
      <c r="O420">
        <f t="shared" si="44"/>
        <v>10681.333333333334</v>
      </c>
      <c r="P420">
        <f t="shared" si="45"/>
        <v>162.64689423614996</v>
      </c>
      <c r="Q420" t="str">
        <f t="shared" si="46"/>
        <v>New (0-3 years)</v>
      </c>
      <c r="R420" t="str">
        <f t="shared" si="47"/>
        <v>Low</v>
      </c>
      <c r="S420" t="str">
        <f t="shared" si="48"/>
        <v>Very High</v>
      </c>
    </row>
    <row r="421" spans="1:19" x14ac:dyDescent="0.3">
      <c r="A421">
        <v>420</v>
      </c>
      <c r="B421" t="s">
        <v>12</v>
      </c>
      <c r="C421">
        <v>2022</v>
      </c>
      <c r="D421">
        <v>72260</v>
      </c>
      <c r="E421" t="s">
        <v>22</v>
      </c>
      <c r="F421" t="s">
        <v>18</v>
      </c>
      <c r="G421" t="s">
        <v>23</v>
      </c>
      <c r="H421">
        <v>3924</v>
      </c>
      <c r="I421">
        <v>569</v>
      </c>
      <c r="J421" s="2">
        <v>23.62</v>
      </c>
      <c r="K421">
        <v>4</v>
      </c>
      <c r="L421" s="1">
        <v>64990.57</v>
      </c>
      <c r="M421">
        <f t="shared" si="42"/>
        <v>2</v>
      </c>
      <c r="N421">
        <f t="shared" si="43"/>
        <v>32495.285</v>
      </c>
      <c r="O421">
        <f t="shared" si="44"/>
        <v>36130</v>
      </c>
      <c r="P421">
        <f t="shared" si="45"/>
        <v>145.00509683995924</v>
      </c>
      <c r="Q421" t="str">
        <f t="shared" si="46"/>
        <v>New (0-3 years)</v>
      </c>
      <c r="R421" t="str">
        <f t="shared" si="47"/>
        <v>Good</v>
      </c>
      <c r="S421" t="str">
        <f t="shared" si="48"/>
        <v>Very High</v>
      </c>
    </row>
    <row r="422" spans="1:19" x14ac:dyDescent="0.3">
      <c r="A422">
        <v>421</v>
      </c>
      <c r="B422" t="s">
        <v>16</v>
      </c>
      <c r="C422">
        <v>2012</v>
      </c>
      <c r="D422">
        <v>71912</v>
      </c>
      <c r="E422" t="s">
        <v>17</v>
      </c>
      <c r="F422" t="s">
        <v>14</v>
      </c>
      <c r="G422" t="s">
        <v>23</v>
      </c>
      <c r="H422">
        <v>1279</v>
      </c>
      <c r="I422">
        <v>227.5</v>
      </c>
      <c r="J422" s="2">
        <v>9.2100000000000009</v>
      </c>
      <c r="K422">
        <v>7</v>
      </c>
      <c r="L422" s="1">
        <v>36928.519999999997</v>
      </c>
      <c r="M422">
        <f t="shared" si="42"/>
        <v>12</v>
      </c>
      <c r="N422">
        <f t="shared" si="43"/>
        <v>3077.3766666666666</v>
      </c>
      <c r="O422">
        <f t="shared" si="44"/>
        <v>5992.666666666667</v>
      </c>
      <c r="P422">
        <f t="shared" si="45"/>
        <v>177.87333854573887</v>
      </c>
      <c r="Q422" t="str">
        <f t="shared" si="46"/>
        <v>Mature (8-12 years)</v>
      </c>
      <c r="R422" t="str">
        <f t="shared" si="47"/>
        <v>Low</v>
      </c>
      <c r="S422" t="str">
        <f t="shared" si="48"/>
        <v>Very High</v>
      </c>
    </row>
    <row r="423" spans="1:19" x14ac:dyDescent="0.3">
      <c r="A423">
        <v>422</v>
      </c>
      <c r="B423" t="s">
        <v>29</v>
      </c>
      <c r="C423">
        <v>2017</v>
      </c>
      <c r="D423">
        <v>13706</v>
      </c>
      <c r="E423" t="s">
        <v>13</v>
      </c>
      <c r="F423" t="s">
        <v>14</v>
      </c>
      <c r="G423" t="s">
        <v>20</v>
      </c>
      <c r="H423">
        <v>4314</v>
      </c>
      <c r="I423">
        <v>359.7</v>
      </c>
      <c r="J423" s="2">
        <v>9.75</v>
      </c>
      <c r="K423">
        <v>7</v>
      </c>
      <c r="L423" s="1">
        <v>76581.899999999994</v>
      </c>
      <c r="M423">
        <f t="shared" si="42"/>
        <v>7</v>
      </c>
      <c r="N423">
        <f t="shared" si="43"/>
        <v>10940.271428571428</v>
      </c>
      <c r="O423">
        <f t="shared" si="44"/>
        <v>1958</v>
      </c>
      <c r="P423">
        <f t="shared" si="45"/>
        <v>83.379694019471486</v>
      </c>
      <c r="Q423" t="str">
        <f t="shared" si="46"/>
        <v>Recent (4-7 years)</v>
      </c>
      <c r="R423" t="str">
        <f t="shared" si="47"/>
        <v>Low</v>
      </c>
      <c r="S423" t="str">
        <f t="shared" si="48"/>
        <v>Very High</v>
      </c>
    </row>
    <row r="424" spans="1:19" x14ac:dyDescent="0.3">
      <c r="A424">
        <v>423</v>
      </c>
      <c r="B424" t="s">
        <v>21</v>
      </c>
      <c r="C424">
        <v>2023</v>
      </c>
      <c r="D424">
        <v>13894</v>
      </c>
      <c r="E424" t="s">
        <v>26</v>
      </c>
      <c r="F424" t="s">
        <v>14</v>
      </c>
      <c r="G424" t="s">
        <v>23</v>
      </c>
      <c r="H424">
        <v>2153</v>
      </c>
      <c r="I424">
        <v>549.4</v>
      </c>
      <c r="J424" s="2">
        <v>16.52</v>
      </c>
      <c r="K424">
        <v>2</v>
      </c>
      <c r="L424" s="1">
        <v>16798.82</v>
      </c>
      <c r="M424">
        <f t="shared" si="42"/>
        <v>1</v>
      </c>
      <c r="N424">
        <f t="shared" si="43"/>
        <v>16798.82</v>
      </c>
      <c r="O424">
        <f t="shared" si="44"/>
        <v>13894</v>
      </c>
      <c r="P424">
        <f t="shared" si="45"/>
        <v>255.17882025081281</v>
      </c>
      <c r="Q424" t="str">
        <f t="shared" si="46"/>
        <v>New (0-3 years)</v>
      </c>
      <c r="R424" t="str">
        <f t="shared" si="47"/>
        <v>Average</v>
      </c>
      <c r="S424" t="str">
        <f t="shared" si="48"/>
        <v>Very High</v>
      </c>
    </row>
    <row r="425" spans="1:19" x14ac:dyDescent="0.3">
      <c r="A425">
        <v>424</v>
      </c>
      <c r="B425" t="s">
        <v>12</v>
      </c>
      <c r="C425">
        <v>2007</v>
      </c>
      <c r="D425">
        <v>154109</v>
      </c>
      <c r="E425" t="s">
        <v>22</v>
      </c>
      <c r="F425" t="s">
        <v>14</v>
      </c>
      <c r="G425" t="s">
        <v>23</v>
      </c>
      <c r="H425">
        <v>4122</v>
      </c>
      <c r="I425">
        <v>43.5</v>
      </c>
      <c r="J425" s="2">
        <v>12.16</v>
      </c>
      <c r="K425">
        <v>5</v>
      </c>
      <c r="L425" s="1">
        <v>79628.11</v>
      </c>
      <c r="M425">
        <f t="shared" si="42"/>
        <v>17</v>
      </c>
      <c r="N425">
        <f t="shared" si="43"/>
        <v>4684.0064705882351</v>
      </c>
      <c r="O425">
        <f t="shared" si="44"/>
        <v>9065.2352941176468</v>
      </c>
      <c r="P425">
        <f t="shared" si="45"/>
        <v>10.553129548762737</v>
      </c>
      <c r="Q425" t="str">
        <f t="shared" si="46"/>
        <v>Old (12+ years)</v>
      </c>
      <c r="R425" t="str">
        <f t="shared" si="47"/>
        <v>Low</v>
      </c>
      <c r="S425" t="str">
        <f t="shared" si="48"/>
        <v>Low</v>
      </c>
    </row>
    <row r="426" spans="1:19" x14ac:dyDescent="0.3">
      <c r="A426">
        <v>425</v>
      </c>
      <c r="B426" t="s">
        <v>24</v>
      </c>
      <c r="C426">
        <v>2012</v>
      </c>
      <c r="D426">
        <v>88986</v>
      </c>
      <c r="E426" t="s">
        <v>26</v>
      </c>
      <c r="F426" t="s">
        <v>14</v>
      </c>
      <c r="G426" t="s">
        <v>20</v>
      </c>
      <c r="H426">
        <v>4678</v>
      </c>
      <c r="I426">
        <v>494</v>
      </c>
      <c r="J426" s="2">
        <v>11.19</v>
      </c>
      <c r="K426">
        <v>5</v>
      </c>
      <c r="L426" s="1">
        <v>36145.69</v>
      </c>
      <c r="M426">
        <f t="shared" si="42"/>
        <v>12</v>
      </c>
      <c r="N426">
        <f t="shared" si="43"/>
        <v>3012.1408333333334</v>
      </c>
      <c r="O426">
        <f t="shared" si="44"/>
        <v>7415.5</v>
      </c>
      <c r="P426">
        <f t="shared" si="45"/>
        <v>105.60068405301411</v>
      </c>
      <c r="Q426" t="str">
        <f t="shared" si="46"/>
        <v>Mature (8-12 years)</v>
      </c>
      <c r="R426" t="str">
        <f t="shared" si="47"/>
        <v>Low</v>
      </c>
      <c r="S426" t="str">
        <f t="shared" si="48"/>
        <v>Very High</v>
      </c>
    </row>
    <row r="427" spans="1:19" x14ac:dyDescent="0.3">
      <c r="A427">
        <v>426</v>
      </c>
      <c r="B427" t="s">
        <v>24</v>
      </c>
      <c r="C427">
        <v>2006</v>
      </c>
      <c r="D427">
        <v>86942</v>
      </c>
      <c r="E427" t="s">
        <v>22</v>
      </c>
      <c r="F427" t="s">
        <v>18</v>
      </c>
      <c r="G427" t="s">
        <v>20</v>
      </c>
      <c r="H427">
        <v>1689</v>
      </c>
      <c r="I427">
        <v>571.1</v>
      </c>
      <c r="J427" s="2">
        <v>21.13</v>
      </c>
      <c r="K427">
        <v>2</v>
      </c>
      <c r="L427" s="1">
        <v>3028.42</v>
      </c>
      <c r="M427">
        <f t="shared" si="42"/>
        <v>18</v>
      </c>
      <c r="N427">
        <f t="shared" si="43"/>
        <v>168.24555555555557</v>
      </c>
      <c r="O427">
        <f t="shared" si="44"/>
        <v>4830.1111111111113</v>
      </c>
      <c r="P427">
        <f t="shared" si="45"/>
        <v>338.12907045589105</v>
      </c>
      <c r="Q427" t="str">
        <f t="shared" si="46"/>
        <v>Old (12+ years)</v>
      </c>
      <c r="R427" t="str">
        <f t="shared" si="47"/>
        <v>Good</v>
      </c>
      <c r="S427" t="str">
        <f t="shared" si="48"/>
        <v>Very High</v>
      </c>
    </row>
    <row r="428" spans="1:19" x14ac:dyDescent="0.3">
      <c r="A428">
        <v>427</v>
      </c>
      <c r="B428" t="s">
        <v>27</v>
      </c>
      <c r="C428">
        <v>2012</v>
      </c>
      <c r="D428">
        <v>187684</v>
      </c>
      <c r="E428" t="s">
        <v>17</v>
      </c>
      <c r="F428" t="s">
        <v>18</v>
      </c>
      <c r="G428" t="s">
        <v>20</v>
      </c>
      <c r="H428">
        <v>4654</v>
      </c>
      <c r="I428">
        <v>91.1</v>
      </c>
      <c r="J428" s="2">
        <v>21.27</v>
      </c>
      <c r="K428">
        <v>7</v>
      </c>
      <c r="L428" s="1">
        <v>17851.52</v>
      </c>
      <c r="M428">
        <f t="shared" si="42"/>
        <v>12</v>
      </c>
      <c r="N428">
        <f t="shared" si="43"/>
        <v>1487.6266666666668</v>
      </c>
      <c r="O428">
        <f t="shared" si="44"/>
        <v>15640.333333333334</v>
      </c>
      <c r="P428">
        <f t="shared" si="45"/>
        <v>19.574559518693597</v>
      </c>
      <c r="Q428" t="str">
        <f t="shared" si="46"/>
        <v>Mature (8-12 years)</v>
      </c>
      <c r="R428" t="str">
        <f t="shared" si="47"/>
        <v>Good</v>
      </c>
      <c r="S428" t="str">
        <f t="shared" si="48"/>
        <v>Low</v>
      </c>
    </row>
    <row r="429" spans="1:19" x14ac:dyDescent="0.3">
      <c r="A429">
        <v>428</v>
      </c>
      <c r="B429" t="s">
        <v>21</v>
      </c>
      <c r="C429">
        <v>2017</v>
      </c>
      <c r="D429">
        <v>34725</v>
      </c>
      <c r="E429" t="s">
        <v>17</v>
      </c>
      <c r="F429" t="s">
        <v>14</v>
      </c>
      <c r="G429" t="s">
        <v>23</v>
      </c>
      <c r="H429">
        <v>1724</v>
      </c>
      <c r="I429">
        <v>130.4</v>
      </c>
      <c r="J429" s="2">
        <v>25.61</v>
      </c>
      <c r="K429">
        <v>7</v>
      </c>
      <c r="L429" s="1">
        <v>112233</v>
      </c>
      <c r="M429">
        <f t="shared" si="42"/>
        <v>7</v>
      </c>
      <c r="N429">
        <f t="shared" si="43"/>
        <v>16033.285714285714</v>
      </c>
      <c r="O429">
        <f t="shared" si="44"/>
        <v>4960.7142857142853</v>
      </c>
      <c r="P429">
        <f t="shared" si="45"/>
        <v>75.638051044083525</v>
      </c>
      <c r="Q429" t="str">
        <f t="shared" si="46"/>
        <v>Recent (4-7 years)</v>
      </c>
      <c r="R429" t="str">
        <f t="shared" si="47"/>
        <v>Excellent</v>
      </c>
      <c r="S429" t="str">
        <f t="shared" si="48"/>
        <v>Medium</v>
      </c>
    </row>
    <row r="430" spans="1:19" x14ac:dyDescent="0.3">
      <c r="A430">
        <v>429</v>
      </c>
      <c r="B430" t="s">
        <v>16</v>
      </c>
      <c r="C430">
        <v>2017</v>
      </c>
      <c r="D430">
        <v>141998</v>
      </c>
      <c r="E430" t="s">
        <v>22</v>
      </c>
      <c r="F430" t="s">
        <v>14</v>
      </c>
      <c r="G430" t="s">
        <v>23</v>
      </c>
      <c r="H430">
        <v>2970</v>
      </c>
      <c r="I430">
        <v>578</v>
      </c>
      <c r="J430" s="2">
        <v>15.44</v>
      </c>
      <c r="K430">
        <v>5</v>
      </c>
      <c r="L430" s="1">
        <v>104480.49</v>
      </c>
      <c r="M430">
        <f t="shared" si="42"/>
        <v>7</v>
      </c>
      <c r="N430">
        <f t="shared" si="43"/>
        <v>14925.784285714286</v>
      </c>
      <c r="O430">
        <f t="shared" si="44"/>
        <v>20285.428571428572</v>
      </c>
      <c r="P430">
        <f t="shared" si="45"/>
        <v>194.6127946127946</v>
      </c>
      <c r="Q430" t="str">
        <f t="shared" si="46"/>
        <v>Recent (4-7 years)</v>
      </c>
      <c r="R430" t="str">
        <f t="shared" si="47"/>
        <v>Average</v>
      </c>
      <c r="S430" t="str">
        <f t="shared" si="48"/>
        <v>Very High</v>
      </c>
    </row>
    <row r="431" spans="1:19" x14ac:dyDescent="0.3">
      <c r="A431">
        <v>430</v>
      </c>
      <c r="B431" t="s">
        <v>28</v>
      </c>
      <c r="C431">
        <v>2005</v>
      </c>
      <c r="D431">
        <v>109555</v>
      </c>
      <c r="E431" t="s">
        <v>22</v>
      </c>
      <c r="F431" t="s">
        <v>14</v>
      </c>
      <c r="G431" t="s">
        <v>20</v>
      </c>
      <c r="H431">
        <v>2702</v>
      </c>
      <c r="I431">
        <v>341</v>
      </c>
      <c r="J431" s="2">
        <v>6.83</v>
      </c>
      <c r="K431">
        <v>4</v>
      </c>
      <c r="L431" s="1">
        <v>30332.26</v>
      </c>
      <c r="M431">
        <f t="shared" si="42"/>
        <v>19</v>
      </c>
      <c r="N431">
        <f t="shared" si="43"/>
        <v>1596.4347368421052</v>
      </c>
      <c r="O431">
        <f t="shared" si="44"/>
        <v>5766.0526315789475</v>
      </c>
      <c r="P431">
        <f t="shared" si="45"/>
        <v>126.20281273131015</v>
      </c>
      <c r="Q431" t="str">
        <f t="shared" si="46"/>
        <v>Old (12+ years)</v>
      </c>
      <c r="R431" t="str">
        <f t="shared" si="47"/>
        <v>Low</v>
      </c>
      <c r="S431" t="str">
        <f t="shared" si="48"/>
        <v>Very High</v>
      </c>
    </row>
    <row r="432" spans="1:19" x14ac:dyDescent="0.3">
      <c r="A432">
        <v>431</v>
      </c>
      <c r="B432" t="s">
        <v>16</v>
      </c>
      <c r="C432">
        <v>2010</v>
      </c>
      <c r="D432">
        <v>14496</v>
      </c>
      <c r="E432" t="s">
        <v>22</v>
      </c>
      <c r="F432" t="s">
        <v>18</v>
      </c>
      <c r="G432" t="s">
        <v>20</v>
      </c>
      <c r="H432">
        <v>3195</v>
      </c>
      <c r="I432">
        <v>48</v>
      </c>
      <c r="J432" s="2">
        <v>11.84</v>
      </c>
      <c r="K432">
        <v>6</v>
      </c>
      <c r="L432" s="1">
        <v>94069.51</v>
      </c>
      <c r="M432">
        <f t="shared" si="42"/>
        <v>14</v>
      </c>
      <c r="N432">
        <f t="shared" si="43"/>
        <v>6719.2507142857139</v>
      </c>
      <c r="O432">
        <f t="shared" si="44"/>
        <v>1035.4285714285713</v>
      </c>
      <c r="P432">
        <f t="shared" si="45"/>
        <v>15.023474178403756</v>
      </c>
      <c r="Q432" t="str">
        <f t="shared" si="46"/>
        <v>Old (12+ years)</v>
      </c>
      <c r="R432" t="str">
        <f t="shared" si="47"/>
        <v>Low</v>
      </c>
      <c r="S432" t="str">
        <f t="shared" si="48"/>
        <v>Low</v>
      </c>
    </row>
    <row r="433" spans="1:19" x14ac:dyDescent="0.3">
      <c r="A433">
        <v>432</v>
      </c>
      <c r="B433" t="s">
        <v>24</v>
      </c>
      <c r="C433">
        <v>2023</v>
      </c>
      <c r="D433">
        <v>61447</v>
      </c>
      <c r="E433" t="s">
        <v>17</v>
      </c>
      <c r="F433" t="s">
        <v>14</v>
      </c>
      <c r="G433" t="s">
        <v>20</v>
      </c>
      <c r="H433">
        <v>828</v>
      </c>
      <c r="I433">
        <v>184.3</v>
      </c>
      <c r="J433" s="2">
        <v>29.5</v>
      </c>
      <c r="K433">
        <v>4</v>
      </c>
      <c r="L433" s="1">
        <v>74202.880000000005</v>
      </c>
      <c r="M433">
        <f t="shared" si="42"/>
        <v>1</v>
      </c>
      <c r="N433">
        <f t="shared" si="43"/>
        <v>74202.880000000005</v>
      </c>
      <c r="O433">
        <f t="shared" si="44"/>
        <v>61447</v>
      </c>
      <c r="P433">
        <f t="shared" si="45"/>
        <v>222.58454106280195</v>
      </c>
      <c r="Q433" t="str">
        <f t="shared" si="46"/>
        <v>New (0-3 years)</v>
      </c>
      <c r="R433" t="str">
        <f t="shared" si="47"/>
        <v>Excellent</v>
      </c>
      <c r="S433" t="str">
        <f t="shared" si="48"/>
        <v>High</v>
      </c>
    </row>
    <row r="434" spans="1:19" x14ac:dyDescent="0.3">
      <c r="A434">
        <v>433</v>
      </c>
      <c r="B434" t="s">
        <v>24</v>
      </c>
      <c r="C434">
        <v>2020</v>
      </c>
      <c r="D434">
        <v>106604</v>
      </c>
      <c r="E434" t="s">
        <v>13</v>
      </c>
      <c r="F434" t="s">
        <v>14</v>
      </c>
      <c r="G434" t="s">
        <v>23</v>
      </c>
      <c r="H434">
        <v>834</v>
      </c>
      <c r="I434">
        <v>292</v>
      </c>
      <c r="J434" s="2">
        <v>19.91</v>
      </c>
      <c r="K434">
        <v>7</v>
      </c>
      <c r="L434" s="1">
        <v>116595.85</v>
      </c>
      <c r="M434">
        <f t="shared" si="42"/>
        <v>4</v>
      </c>
      <c r="N434">
        <f t="shared" si="43"/>
        <v>29148.962500000001</v>
      </c>
      <c r="O434">
        <f t="shared" si="44"/>
        <v>26651</v>
      </c>
      <c r="P434">
        <f t="shared" si="45"/>
        <v>350.11990407673864</v>
      </c>
      <c r="Q434" t="str">
        <f t="shared" si="46"/>
        <v>Recent (4-7 years)</v>
      </c>
      <c r="R434" t="str">
        <f t="shared" si="47"/>
        <v>Average</v>
      </c>
      <c r="S434" t="str">
        <f t="shared" si="48"/>
        <v>Very High</v>
      </c>
    </row>
    <row r="435" spans="1:19" x14ac:dyDescent="0.3">
      <c r="A435">
        <v>434</v>
      </c>
      <c r="B435" t="s">
        <v>25</v>
      </c>
      <c r="C435">
        <v>2012</v>
      </c>
      <c r="D435">
        <v>165878</v>
      </c>
      <c r="E435" t="s">
        <v>26</v>
      </c>
      <c r="F435" t="s">
        <v>14</v>
      </c>
      <c r="G435" t="s">
        <v>23</v>
      </c>
      <c r="H435">
        <v>4389</v>
      </c>
      <c r="I435">
        <v>428</v>
      </c>
      <c r="J435" s="2">
        <v>22.74</v>
      </c>
      <c r="K435">
        <v>4</v>
      </c>
      <c r="L435" s="1">
        <v>46711.86</v>
      </c>
      <c r="M435">
        <f t="shared" si="42"/>
        <v>12</v>
      </c>
      <c r="N435">
        <f t="shared" si="43"/>
        <v>3892.6550000000002</v>
      </c>
      <c r="O435">
        <f t="shared" si="44"/>
        <v>13823.166666666666</v>
      </c>
      <c r="P435">
        <f t="shared" si="45"/>
        <v>97.516518569150136</v>
      </c>
      <c r="Q435" t="str">
        <f t="shared" si="46"/>
        <v>Mature (8-12 years)</v>
      </c>
      <c r="R435" t="str">
        <f t="shared" si="47"/>
        <v>Good</v>
      </c>
      <c r="S435" t="str">
        <f t="shared" si="48"/>
        <v>Very High</v>
      </c>
    </row>
    <row r="436" spans="1:19" x14ac:dyDescent="0.3">
      <c r="A436">
        <v>435</v>
      </c>
      <c r="B436" t="s">
        <v>24</v>
      </c>
      <c r="C436">
        <v>2005</v>
      </c>
      <c r="D436">
        <v>93199</v>
      </c>
      <c r="E436" t="s">
        <v>26</v>
      </c>
      <c r="F436" t="s">
        <v>18</v>
      </c>
      <c r="G436" t="s">
        <v>15</v>
      </c>
      <c r="H436">
        <v>3470</v>
      </c>
      <c r="I436">
        <v>450.6</v>
      </c>
      <c r="J436" s="2">
        <v>5.18</v>
      </c>
      <c r="K436">
        <v>6</v>
      </c>
      <c r="L436" s="1">
        <v>82730.89</v>
      </c>
      <c r="M436">
        <f t="shared" si="42"/>
        <v>19</v>
      </c>
      <c r="N436">
        <f t="shared" si="43"/>
        <v>4354.2573684210529</v>
      </c>
      <c r="O436">
        <f t="shared" si="44"/>
        <v>4905.2105263157891</v>
      </c>
      <c r="P436">
        <f t="shared" si="45"/>
        <v>129.85590778097983</v>
      </c>
      <c r="Q436" t="str">
        <f t="shared" si="46"/>
        <v>Old (12+ years)</v>
      </c>
      <c r="R436" t="str">
        <f t="shared" si="47"/>
        <v>Low</v>
      </c>
      <c r="S436" t="str">
        <f t="shared" si="48"/>
        <v>Very High</v>
      </c>
    </row>
    <row r="437" spans="1:19" x14ac:dyDescent="0.3">
      <c r="A437">
        <v>436</v>
      </c>
      <c r="B437" t="s">
        <v>29</v>
      </c>
      <c r="C437">
        <v>2020</v>
      </c>
      <c r="D437">
        <v>46321</v>
      </c>
      <c r="E437" t="s">
        <v>17</v>
      </c>
      <c r="F437" t="s">
        <v>14</v>
      </c>
      <c r="G437" t="s">
        <v>23</v>
      </c>
      <c r="H437">
        <v>4165</v>
      </c>
      <c r="I437">
        <v>597.4</v>
      </c>
      <c r="J437" s="2">
        <v>17.96</v>
      </c>
      <c r="K437">
        <v>4</v>
      </c>
      <c r="L437" s="1">
        <v>10433.68</v>
      </c>
      <c r="M437">
        <f t="shared" si="42"/>
        <v>4</v>
      </c>
      <c r="N437">
        <f t="shared" si="43"/>
        <v>2608.42</v>
      </c>
      <c r="O437">
        <f t="shared" si="44"/>
        <v>11580.25</v>
      </c>
      <c r="P437">
        <f t="shared" si="45"/>
        <v>143.43337334933972</v>
      </c>
      <c r="Q437" t="str">
        <f t="shared" si="46"/>
        <v>Recent (4-7 years)</v>
      </c>
      <c r="R437" t="str">
        <f t="shared" si="47"/>
        <v>Average</v>
      </c>
      <c r="S437" t="str">
        <f t="shared" si="48"/>
        <v>Very High</v>
      </c>
    </row>
    <row r="438" spans="1:19" x14ac:dyDescent="0.3">
      <c r="A438">
        <v>437</v>
      </c>
      <c r="B438" t="s">
        <v>19</v>
      </c>
      <c r="C438">
        <v>2013</v>
      </c>
      <c r="D438">
        <v>158728</v>
      </c>
      <c r="E438" t="s">
        <v>26</v>
      </c>
      <c r="F438" t="s">
        <v>18</v>
      </c>
      <c r="G438" t="s">
        <v>23</v>
      </c>
      <c r="H438">
        <v>1388</v>
      </c>
      <c r="I438">
        <v>201</v>
      </c>
      <c r="J438" s="2">
        <v>5.94</v>
      </c>
      <c r="K438">
        <v>4</v>
      </c>
      <c r="L438" s="1">
        <v>49360.94</v>
      </c>
      <c r="M438">
        <f t="shared" si="42"/>
        <v>11</v>
      </c>
      <c r="N438">
        <f t="shared" si="43"/>
        <v>4487.3581818181819</v>
      </c>
      <c r="O438">
        <f t="shared" si="44"/>
        <v>14429.818181818182</v>
      </c>
      <c r="P438">
        <f t="shared" si="45"/>
        <v>144.81268011527379</v>
      </c>
      <c r="Q438" t="str">
        <f t="shared" si="46"/>
        <v>Mature (8-12 years)</v>
      </c>
      <c r="R438" t="str">
        <f t="shared" si="47"/>
        <v>Low</v>
      </c>
      <c r="S438" t="str">
        <f t="shared" si="48"/>
        <v>Very High</v>
      </c>
    </row>
    <row r="439" spans="1:19" x14ac:dyDescent="0.3">
      <c r="A439">
        <v>438</v>
      </c>
      <c r="B439" t="s">
        <v>21</v>
      </c>
      <c r="C439">
        <v>2017</v>
      </c>
      <c r="D439">
        <v>60147</v>
      </c>
      <c r="E439" t="s">
        <v>22</v>
      </c>
      <c r="F439" t="s">
        <v>18</v>
      </c>
      <c r="G439" t="s">
        <v>23</v>
      </c>
      <c r="H439">
        <v>4018</v>
      </c>
      <c r="I439">
        <v>341.4</v>
      </c>
      <c r="J439" s="2">
        <v>19.23</v>
      </c>
      <c r="K439">
        <v>4</v>
      </c>
      <c r="L439" s="1">
        <v>115766.67</v>
      </c>
      <c r="M439">
        <f t="shared" si="42"/>
        <v>7</v>
      </c>
      <c r="N439">
        <f t="shared" si="43"/>
        <v>16538.095714285715</v>
      </c>
      <c r="O439">
        <f t="shared" si="44"/>
        <v>8592.4285714285706</v>
      </c>
      <c r="P439">
        <f t="shared" si="45"/>
        <v>84.967645594823296</v>
      </c>
      <c r="Q439" t="str">
        <f t="shared" si="46"/>
        <v>Recent (4-7 years)</v>
      </c>
      <c r="R439" t="str">
        <f t="shared" si="47"/>
        <v>Average</v>
      </c>
      <c r="S439" t="str">
        <f t="shared" si="48"/>
        <v>Very High</v>
      </c>
    </row>
    <row r="440" spans="1:19" x14ac:dyDescent="0.3">
      <c r="A440">
        <v>439</v>
      </c>
      <c r="B440" t="s">
        <v>16</v>
      </c>
      <c r="C440">
        <v>2015</v>
      </c>
      <c r="D440">
        <v>96396</v>
      </c>
      <c r="E440" t="s">
        <v>13</v>
      </c>
      <c r="F440" t="s">
        <v>18</v>
      </c>
      <c r="G440" t="s">
        <v>20</v>
      </c>
      <c r="H440">
        <v>3938</v>
      </c>
      <c r="I440">
        <v>338.7</v>
      </c>
      <c r="J440" s="2">
        <v>28.02</v>
      </c>
      <c r="K440">
        <v>4</v>
      </c>
      <c r="L440" s="1">
        <v>66060.759999999995</v>
      </c>
      <c r="M440">
        <f t="shared" si="42"/>
        <v>9</v>
      </c>
      <c r="N440">
        <f t="shared" si="43"/>
        <v>7340.0844444444438</v>
      </c>
      <c r="O440">
        <f t="shared" si="44"/>
        <v>10710.666666666666</v>
      </c>
      <c r="P440">
        <f t="shared" si="45"/>
        <v>86.008125952260031</v>
      </c>
      <c r="Q440" t="str">
        <f t="shared" si="46"/>
        <v>Mature (8-12 years)</v>
      </c>
      <c r="R440" t="str">
        <f t="shared" si="47"/>
        <v>Excellent</v>
      </c>
      <c r="S440" t="str">
        <f t="shared" si="48"/>
        <v>Very High</v>
      </c>
    </row>
    <row r="441" spans="1:19" x14ac:dyDescent="0.3">
      <c r="A441">
        <v>440</v>
      </c>
      <c r="B441" t="s">
        <v>19</v>
      </c>
      <c r="C441">
        <v>2017</v>
      </c>
      <c r="D441">
        <v>185738</v>
      </c>
      <c r="E441" t="s">
        <v>26</v>
      </c>
      <c r="F441" t="s">
        <v>18</v>
      </c>
      <c r="G441" t="s">
        <v>23</v>
      </c>
      <c r="H441">
        <v>1703</v>
      </c>
      <c r="I441">
        <v>267.2</v>
      </c>
      <c r="J441" s="2">
        <v>29.21</v>
      </c>
      <c r="K441">
        <v>2</v>
      </c>
      <c r="L441" s="1">
        <v>36681.9</v>
      </c>
      <c r="M441">
        <f t="shared" si="42"/>
        <v>7</v>
      </c>
      <c r="N441">
        <f t="shared" si="43"/>
        <v>5240.2714285714292</v>
      </c>
      <c r="O441">
        <f t="shared" si="44"/>
        <v>26534</v>
      </c>
      <c r="P441">
        <f t="shared" si="45"/>
        <v>156.89958896065764</v>
      </c>
      <c r="Q441" t="str">
        <f t="shared" si="46"/>
        <v>Recent (4-7 years)</v>
      </c>
      <c r="R441" t="str">
        <f t="shared" si="47"/>
        <v>Excellent</v>
      </c>
      <c r="S441" t="str">
        <f t="shared" si="48"/>
        <v>Very High</v>
      </c>
    </row>
    <row r="442" spans="1:19" x14ac:dyDescent="0.3">
      <c r="A442">
        <v>441</v>
      </c>
      <c r="B442" t="s">
        <v>12</v>
      </c>
      <c r="C442">
        <v>2014</v>
      </c>
      <c r="D442">
        <v>43787</v>
      </c>
      <c r="E442" t="s">
        <v>13</v>
      </c>
      <c r="F442" t="s">
        <v>18</v>
      </c>
      <c r="G442" t="s">
        <v>20</v>
      </c>
      <c r="H442">
        <v>4886</v>
      </c>
      <c r="I442">
        <v>134.69999999999999</v>
      </c>
      <c r="J442" s="2">
        <v>18.510000000000002</v>
      </c>
      <c r="K442">
        <v>7</v>
      </c>
      <c r="L442" s="1">
        <v>17071.7</v>
      </c>
      <c r="M442">
        <f t="shared" si="42"/>
        <v>10</v>
      </c>
      <c r="N442">
        <f t="shared" si="43"/>
        <v>1707.17</v>
      </c>
      <c r="O442">
        <f t="shared" si="44"/>
        <v>4378.7</v>
      </c>
      <c r="P442">
        <f t="shared" si="45"/>
        <v>27.568563241915676</v>
      </c>
      <c r="Q442" t="str">
        <f t="shared" si="46"/>
        <v>Mature (8-12 years)</v>
      </c>
      <c r="R442" t="str">
        <f t="shared" si="47"/>
        <v>Average</v>
      </c>
      <c r="S442" t="str">
        <f t="shared" si="48"/>
        <v>Medium</v>
      </c>
    </row>
    <row r="443" spans="1:19" x14ac:dyDescent="0.3">
      <c r="A443">
        <v>442</v>
      </c>
      <c r="B443" t="s">
        <v>28</v>
      </c>
      <c r="C443">
        <v>2008</v>
      </c>
      <c r="D443">
        <v>199018</v>
      </c>
      <c r="E443" t="s">
        <v>22</v>
      </c>
      <c r="F443" t="s">
        <v>18</v>
      </c>
      <c r="G443" t="s">
        <v>15</v>
      </c>
      <c r="H443">
        <v>2969</v>
      </c>
      <c r="I443">
        <v>587.4</v>
      </c>
      <c r="J443" s="2">
        <v>16.46</v>
      </c>
      <c r="K443">
        <v>6</v>
      </c>
      <c r="L443" s="1">
        <v>85312.82</v>
      </c>
      <c r="M443">
        <f t="shared" si="42"/>
        <v>16</v>
      </c>
      <c r="N443">
        <f t="shared" si="43"/>
        <v>5332.0512500000004</v>
      </c>
      <c r="O443">
        <f t="shared" si="44"/>
        <v>12438.625</v>
      </c>
      <c r="P443">
        <f t="shared" si="45"/>
        <v>197.84439205119568</v>
      </c>
      <c r="Q443" t="str">
        <f t="shared" si="46"/>
        <v>Old (12+ years)</v>
      </c>
      <c r="R443" t="str">
        <f t="shared" si="47"/>
        <v>Average</v>
      </c>
      <c r="S443" t="str">
        <f t="shared" si="48"/>
        <v>Very High</v>
      </c>
    </row>
    <row r="444" spans="1:19" x14ac:dyDescent="0.3">
      <c r="A444">
        <v>443</v>
      </c>
      <c r="B444" t="s">
        <v>29</v>
      </c>
      <c r="C444">
        <v>2010</v>
      </c>
      <c r="D444">
        <v>26727</v>
      </c>
      <c r="E444" t="s">
        <v>26</v>
      </c>
      <c r="F444" t="s">
        <v>14</v>
      </c>
      <c r="G444" t="s">
        <v>15</v>
      </c>
      <c r="H444">
        <v>1139</v>
      </c>
      <c r="I444">
        <v>517.9</v>
      </c>
      <c r="J444" s="2">
        <v>28.63</v>
      </c>
      <c r="K444">
        <v>7</v>
      </c>
      <c r="L444" s="1">
        <v>78448.160000000003</v>
      </c>
      <c r="M444">
        <f t="shared" si="42"/>
        <v>14</v>
      </c>
      <c r="N444">
        <f t="shared" si="43"/>
        <v>5603.4400000000005</v>
      </c>
      <c r="O444">
        <f t="shared" si="44"/>
        <v>1909.0714285714287</v>
      </c>
      <c r="P444">
        <f t="shared" si="45"/>
        <v>454.69710272168567</v>
      </c>
      <c r="Q444" t="str">
        <f t="shared" si="46"/>
        <v>Old (12+ years)</v>
      </c>
      <c r="R444" t="str">
        <f t="shared" si="47"/>
        <v>Excellent</v>
      </c>
      <c r="S444" t="str">
        <f t="shared" si="48"/>
        <v>Very High</v>
      </c>
    </row>
    <row r="445" spans="1:19" x14ac:dyDescent="0.3">
      <c r="A445">
        <v>444</v>
      </c>
      <c r="B445" t="s">
        <v>16</v>
      </c>
      <c r="C445">
        <v>2011</v>
      </c>
      <c r="D445">
        <v>100081</v>
      </c>
      <c r="E445" t="s">
        <v>17</v>
      </c>
      <c r="F445" t="s">
        <v>14</v>
      </c>
      <c r="G445" t="s">
        <v>20</v>
      </c>
      <c r="H445">
        <v>2514</v>
      </c>
      <c r="I445">
        <v>319.10000000000002</v>
      </c>
      <c r="J445" s="2">
        <v>21.84</v>
      </c>
      <c r="K445">
        <v>2</v>
      </c>
      <c r="L445" s="1">
        <v>46750.83</v>
      </c>
      <c r="M445">
        <f t="shared" si="42"/>
        <v>13</v>
      </c>
      <c r="N445">
        <f t="shared" si="43"/>
        <v>3596.2176923076922</v>
      </c>
      <c r="O445">
        <f t="shared" si="44"/>
        <v>7698.5384615384619</v>
      </c>
      <c r="P445">
        <f t="shared" si="45"/>
        <v>126.92919649960224</v>
      </c>
      <c r="Q445" t="str">
        <f t="shared" si="46"/>
        <v>Old (12+ years)</v>
      </c>
      <c r="R445" t="str">
        <f t="shared" si="47"/>
        <v>Good</v>
      </c>
      <c r="S445" t="str">
        <f t="shared" si="48"/>
        <v>Very High</v>
      </c>
    </row>
    <row r="446" spans="1:19" x14ac:dyDescent="0.3">
      <c r="A446">
        <v>445</v>
      </c>
      <c r="B446" t="s">
        <v>19</v>
      </c>
      <c r="C446">
        <v>2009</v>
      </c>
      <c r="D446">
        <v>127721</v>
      </c>
      <c r="E446" t="s">
        <v>13</v>
      </c>
      <c r="F446" t="s">
        <v>14</v>
      </c>
      <c r="G446" t="s">
        <v>20</v>
      </c>
      <c r="H446">
        <v>1356</v>
      </c>
      <c r="I446">
        <v>377.8</v>
      </c>
      <c r="J446" s="2">
        <v>6.62</v>
      </c>
      <c r="K446">
        <v>2</v>
      </c>
      <c r="L446" s="1">
        <v>114260.14</v>
      </c>
      <c r="M446">
        <f t="shared" si="42"/>
        <v>15</v>
      </c>
      <c r="N446">
        <f t="shared" si="43"/>
        <v>7617.3426666666664</v>
      </c>
      <c r="O446">
        <f t="shared" si="44"/>
        <v>8514.7333333333336</v>
      </c>
      <c r="P446">
        <f t="shared" si="45"/>
        <v>278.61356932153393</v>
      </c>
      <c r="Q446" t="str">
        <f t="shared" si="46"/>
        <v>Old (12+ years)</v>
      </c>
      <c r="R446" t="str">
        <f t="shared" si="47"/>
        <v>Low</v>
      </c>
      <c r="S446" t="str">
        <f t="shared" si="48"/>
        <v>Very High</v>
      </c>
    </row>
    <row r="447" spans="1:19" x14ac:dyDescent="0.3">
      <c r="A447">
        <v>446</v>
      </c>
      <c r="B447" t="s">
        <v>28</v>
      </c>
      <c r="C447">
        <v>2015</v>
      </c>
      <c r="D447">
        <v>73056</v>
      </c>
      <c r="E447" t="s">
        <v>22</v>
      </c>
      <c r="F447" t="s">
        <v>18</v>
      </c>
      <c r="G447" t="s">
        <v>20</v>
      </c>
      <c r="H447">
        <v>3887</v>
      </c>
      <c r="I447">
        <v>167.3</v>
      </c>
      <c r="J447" s="2">
        <v>16.64</v>
      </c>
      <c r="K447">
        <v>2</v>
      </c>
      <c r="L447" s="1">
        <v>5597.73</v>
      </c>
      <c r="M447">
        <f t="shared" si="42"/>
        <v>9</v>
      </c>
      <c r="N447">
        <f t="shared" si="43"/>
        <v>621.96999999999991</v>
      </c>
      <c r="O447">
        <f t="shared" si="44"/>
        <v>8117.333333333333</v>
      </c>
      <c r="P447">
        <f t="shared" si="45"/>
        <v>43.040905582711602</v>
      </c>
      <c r="Q447" t="str">
        <f t="shared" si="46"/>
        <v>Mature (8-12 years)</v>
      </c>
      <c r="R447" t="str">
        <f t="shared" si="47"/>
        <v>Average</v>
      </c>
      <c r="S447" t="str">
        <f t="shared" si="48"/>
        <v>High</v>
      </c>
    </row>
    <row r="448" spans="1:19" x14ac:dyDescent="0.3">
      <c r="A448">
        <v>447</v>
      </c>
      <c r="B448" t="s">
        <v>25</v>
      </c>
      <c r="C448">
        <v>2017</v>
      </c>
      <c r="D448">
        <v>139153</v>
      </c>
      <c r="E448" t="s">
        <v>13</v>
      </c>
      <c r="F448" t="s">
        <v>14</v>
      </c>
      <c r="G448" t="s">
        <v>23</v>
      </c>
      <c r="H448">
        <v>4066</v>
      </c>
      <c r="I448">
        <v>344.5</v>
      </c>
      <c r="J448" s="2">
        <v>11.01</v>
      </c>
      <c r="K448">
        <v>2</v>
      </c>
      <c r="L448" s="1">
        <v>38535.69</v>
      </c>
      <c r="M448">
        <f t="shared" si="42"/>
        <v>7</v>
      </c>
      <c r="N448">
        <f t="shared" si="43"/>
        <v>5505.0985714285716</v>
      </c>
      <c r="O448">
        <f t="shared" si="44"/>
        <v>19879</v>
      </c>
      <c r="P448">
        <f t="shared" si="45"/>
        <v>84.727004426955247</v>
      </c>
      <c r="Q448" t="str">
        <f t="shared" si="46"/>
        <v>Recent (4-7 years)</v>
      </c>
      <c r="R448" t="str">
        <f t="shared" si="47"/>
        <v>Low</v>
      </c>
      <c r="S448" t="str">
        <f t="shared" si="48"/>
        <v>Very High</v>
      </c>
    </row>
    <row r="449" spans="1:19" x14ac:dyDescent="0.3">
      <c r="A449">
        <v>448</v>
      </c>
      <c r="B449" t="s">
        <v>29</v>
      </c>
      <c r="C449">
        <v>2023</v>
      </c>
      <c r="D449">
        <v>170268</v>
      </c>
      <c r="E449" t="s">
        <v>26</v>
      </c>
      <c r="F449" t="s">
        <v>18</v>
      </c>
      <c r="G449" t="s">
        <v>15</v>
      </c>
      <c r="H449">
        <v>4367</v>
      </c>
      <c r="I449">
        <v>429.2</v>
      </c>
      <c r="J449" s="2">
        <v>16.75</v>
      </c>
      <c r="K449">
        <v>4</v>
      </c>
      <c r="L449" s="1">
        <v>110765.13</v>
      </c>
      <c r="M449">
        <f t="shared" si="42"/>
        <v>1</v>
      </c>
      <c r="N449">
        <f t="shared" si="43"/>
        <v>110765.13</v>
      </c>
      <c r="O449">
        <f t="shared" si="44"/>
        <v>170268</v>
      </c>
      <c r="P449">
        <f t="shared" si="45"/>
        <v>98.282573849324478</v>
      </c>
      <c r="Q449" t="str">
        <f t="shared" si="46"/>
        <v>New (0-3 years)</v>
      </c>
      <c r="R449" t="str">
        <f t="shared" si="47"/>
        <v>Average</v>
      </c>
      <c r="S449" t="str">
        <f t="shared" si="48"/>
        <v>Very High</v>
      </c>
    </row>
    <row r="450" spans="1:19" x14ac:dyDescent="0.3">
      <c r="A450">
        <v>449</v>
      </c>
      <c r="B450" t="s">
        <v>29</v>
      </c>
      <c r="C450">
        <v>2014</v>
      </c>
      <c r="D450">
        <v>172807</v>
      </c>
      <c r="E450" t="s">
        <v>26</v>
      </c>
      <c r="F450" t="s">
        <v>18</v>
      </c>
      <c r="G450" t="s">
        <v>20</v>
      </c>
      <c r="H450">
        <v>2856</v>
      </c>
      <c r="I450">
        <v>328.5</v>
      </c>
      <c r="J450" s="2">
        <v>16.39</v>
      </c>
      <c r="K450">
        <v>7</v>
      </c>
      <c r="L450" s="1">
        <v>40549.449999999997</v>
      </c>
      <c r="M450">
        <f t="shared" si="42"/>
        <v>10</v>
      </c>
      <c r="N450">
        <f t="shared" si="43"/>
        <v>4054.9449999999997</v>
      </c>
      <c r="O450">
        <f t="shared" si="44"/>
        <v>17280.7</v>
      </c>
      <c r="P450">
        <f t="shared" si="45"/>
        <v>115.02100840336135</v>
      </c>
      <c r="Q450" t="str">
        <f t="shared" si="46"/>
        <v>Mature (8-12 years)</v>
      </c>
      <c r="R450" t="str">
        <f t="shared" si="47"/>
        <v>Average</v>
      </c>
      <c r="S450" t="str">
        <f t="shared" si="48"/>
        <v>Very High</v>
      </c>
    </row>
    <row r="451" spans="1:19" x14ac:dyDescent="0.3">
      <c r="A451">
        <v>450</v>
      </c>
      <c r="B451" t="s">
        <v>25</v>
      </c>
      <c r="C451">
        <v>2014</v>
      </c>
      <c r="D451">
        <v>85102</v>
      </c>
      <c r="E451" t="s">
        <v>17</v>
      </c>
      <c r="F451" t="s">
        <v>18</v>
      </c>
      <c r="G451" t="s">
        <v>23</v>
      </c>
      <c r="H451">
        <v>4699</v>
      </c>
      <c r="I451">
        <v>594.6</v>
      </c>
      <c r="J451" s="2">
        <v>19.55</v>
      </c>
      <c r="K451">
        <v>5</v>
      </c>
      <c r="L451" s="1">
        <v>32513.58</v>
      </c>
      <c r="M451">
        <f t="shared" ref="M451:M514" si="49">2024-C451</f>
        <v>10</v>
      </c>
      <c r="N451">
        <f t="shared" ref="N451:N514" si="50">IF(M451&gt;0, L451/M451, L451)</f>
        <v>3251.3580000000002</v>
      </c>
      <c r="O451">
        <f t="shared" ref="O451:O514" si="51">IF(M451&gt;0, D451/M451, D451)</f>
        <v>8510.2000000000007</v>
      </c>
      <c r="P451">
        <f t="shared" ref="P451:P514" si="52">IF(H451&gt;0, I451/(H451/1000), 0)</f>
        <v>126.53756118323048</v>
      </c>
      <c r="Q451" t="str">
        <f t="shared" ref="Q451:Q514" si="53">IF(M451&lt;=3, "New (0-3 years)",
   IF(M451&lt;=7, "Recent (4-7 years)",
   IF(M451&lt;=12, "Mature (8-12 years)",
   "Old (12+ years)")))</f>
        <v>Mature (8-12 years)</v>
      </c>
      <c r="R451" t="str">
        <f t="shared" ref="R451:R514" si="54">IF(J451&gt;=25, "Excellent",
   IF(J451&gt;=20, "Good",
   IF(J451&gt;=15, "Average",
   "Low")))</f>
        <v>Average</v>
      </c>
      <c r="S451" t="str">
        <f t="shared" ref="S451:S514" si="55">IF(I451&gt;=200, "Very High",
   IF(I451&gt;=150, "High",
   IF(I451&gt;=100, "Medium",
   "Low")))</f>
        <v>Very High</v>
      </c>
    </row>
    <row r="452" spans="1:19" x14ac:dyDescent="0.3">
      <c r="A452">
        <v>451</v>
      </c>
      <c r="B452" t="s">
        <v>21</v>
      </c>
      <c r="C452">
        <v>2015</v>
      </c>
      <c r="D452">
        <v>161570</v>
      </c>
      <c r="E452" t="s">
        <v>22</v>
      </c>
      <c r="F452" t="s">
        <v>14</v>
      </c>
      <c r="G452" t="s">
        <v>15</v>
      </c>
      <c r="H452">
        <v>1816</v>
      </c>
      <c r="I452">
        <v>382.4</v>
      </c>
      <c r="J452" s="2">
        <v>13.92</v>
      </c>
      <c r="K452">
        <v>6</v>
      </c>
      <c r="L452" s="1">
        <v>65503.79</v>
      </c>
      <c r="M452">
        <f t="shared" si="49"/>
        <v>9</v>
      </c>
      <c r="N452">
        <f t="shared" si="50"/>
        <v>7278.1988888888891</v>
      </c>
      <c r="O452">
        <f t="shared" si="51"/>
        <v>17952.222222222223</v>
      </c>
      <c r="P452">
        <f t="shared" si="52"/>
        <v>210.57268722466958</v>
      </c>
      <c r="Q452" t="str">
        <f t="shared" si="53"/>
        <v>Mature (8-12 years)</v>
      </c>
      <c r="R452" t="str">
        <f t="shared" si="54"/>
        <v>Low</v>
      </c>
      <c r="S452" t="str">
        <f t="shared" si="55"/>
        <v>Very High</v>
      </c>
    </row>
    <row r="453" spans="1:19" x14ac:dyDescent="0.3">
      <c r="A453">
        <v>452</v>
      </c>
      <c r="B453" t="s">
        <v>25</v>
      </c>
      <c r="C453">
        <v>2011</v>
      </c>
      <c r="D453">
        <v>81865</v>
      </c>
      <c r="E453" t="s">
        <v>22</v>
      </c>
      <c r="F453" t="s">
        <v>18</v>
      </c>
      <c r="G453" t="s">
        <v>23</v>
      </c>
      <c r="H453">
        <v>2862</v>
      </c>
      <c r="I453">
        <v>247.7</v>
      </c>
      <c r="J453" s="2">
        <v>9.11</v>
      </c>
      <c r="K453">
        <v>2</v>
      </c>
      <c r="L453" s="1">
        <v>99384.8</v>
      </c>
      <c r="M453">
        <f t="shared" si="49"/>
        <v>13</v>
      </c>
      <c r="N453">
        <f t="shared" si="50"/>
        <v>7644.9846153846156</v>
      </c>
      <c r="O453">
        <f t="shared" si="51"/>
        <v>6297.3076923076924</v>
      </c>
      <c r="P453">
        <f t="shared" si="52"/>
        <v>86.547868623340321</v>
      </c>
      <c r="Q453" t="str">
        <f t="shared" si="53"/>
        <v>Old (12+ years)</v>
      </c>
      <c r="R453" t="str">
        <f t="shared" si="54"/>
        <v>Low</v>
      </c>
      <c r="S453" t="str">
        <f t="shared" si="55"/>
        <v>Very High</v>
      </c>
    </row>
    <row r="454" spans="1:19" x14ac:dyDescent="0.3">
      <c r="A454">
        <v>453</v>
      </c>
      <c r="B454" t="s">
        <v>29</v>
      </c>
      <c r="C454">
        <v>2022</v>
      </c>
      <c r="D454">
        <v>167728</v>
      </c>
      <c r="E454" t="s">
        <v>17</v>
      </c>
      <c r="F454" t="s">
        <v>18</v>
      </c>
      <c r="G454" t="s">
        <v>15</v>
      </c>
      <c r="H454">
        <v>1638</v>
      </c>
      <c r="I454">
        <v>472.4</v>
      </c>
      <c r="J454" s="2">
        <v>17.59</v>
      </c>
      <c r="K454">
        <v>7</v>
      </c>
      <c r="L454" s="1">
        <v>15068.17</v>
      </c>
      <c r="M454">
        <f t="shared" si="49"/>
        <v>2</v>
      </c>
      <c r="N454">
        <f t="shared" si="50"/>
        <v>7534.085</v>
      </c>
      <c r="O454">
        <f t="shared" si="51"/>
        <v>83864</v>
      </c>
      <c r="P454">
        <f t="shared" si="52"/>
        <v>288.40048840048843</v>
      </c>
      <c r="Q454" t="str">
        <f t="shared" si="53"/>
        <v>New (0-3 years)</v>
      </c>
      <c r="R454" t="str">
        <f t="shared" si="54"/>
        <v>Average</v>
      </c>
      <c r="S454" t="str">
        <f t="shared" si="55"/>
        <v>Very High</v>
      </c>
    </row>
    <row r="455" spans="1:19" x14ac:dyDescent="0.3">
      <c r="A455">
        <v>454</v>
      </c>
      <c r="B455" t="s">
        <v>29</v>
      </c>
      <c r="C455">
        <v>2008</v>
      </c>
      <c r="D455">
        <v>72695</v>
      </c>
      <c r="E455" t="s">
        <v>17</v>
      </c>
      <c r="F455" t="s">
        <v>14</v>
      </c>
      <c r="G455" t="s">
        <v>23</v>
      </c>
      <c r="H455">
        <v>2437</v>
      </c>
      <c r="I455">
        <v>135.5</v>
      </c>
      <c r="J455" s="2">
        <v>25.76</v>
      </c>
      <c r="K455">
        <v>2</v>
      </c>
      <c r="L455" s="1">
        <v>113333.42</v>
      </c>
      <c r="M455">
        <f t="shared" si="49"/>
        <v>16</v>
      </c>
      <c r="N455">
        <f t="shared" si="50"/>
        <v>7083.3387499999999</v>
      </c>
      <c r="O455">
        <f t="shared" si="51"/>
        <v>4543.4375</v>
      </c>
      <c r="P455">
        <f t="shared" si="52"/>
        <v>55.601148953631515</v>
      </c>
      <c r="Q455" t="str">
        <f t="shared" si="53"/>
        <v>Old (12+ years)</v>
      </c>
      <c r="R455" t="str">
        <f t="shared" si="54"/>
        <v>Excellent</v>
      </c>
      <c r="S455" t="str">
        <f t="shared" si="55"/>
        <v>Medium</v>
      </c>
    </row>
    <row r="456" spans="1:19" x14ac:dyDescent="0.3">
      <c r="A456">
        <v>455</v>
      </c>
      <c r="B456" t="s">
        <v>19</v>
      </c>
      <c r="C456">
        <v>2006</v>
      </c>
      <c r="D456">
        <v>173972</v>
      </c>
      <c r="E456" t="s">
        <v>22</v>
      </c>
      <c r="F456" t="s">
        <v>14</v>
      </c>
      <c r="G456" t="s">
        <v>15</v>
      </c>
      <c r="H456">
        <v>4296</v>
      </c>
      <c r="I456">
        <v>255.3</v>
      </c>
      <c r="J456" s="2">
        <v>21.6</v>
      </c>
      <c r="K456">
        <v>2</v>
      </c>
      <c r="L456" s="1">
        <v>96023.53</v>
      </c>
      <c r="M456">
        <f t="shared" si="49"/>
        <v>18</v>
      </c>
      <c r="N456">
        <f t="shared" si="50"/>
        <v>5334.6405555555557</v>
      </c>
      <c r="O456">
        <f t="shared" si="51"/>
        <v>9665.1111111111113</v>
      </c>
      <c r="P456">
        <f t="shared" si="52"/>
        <v>59.427374301675975</v>
      </c>
      <c r="Q456" t="str">
        <f t="shared" si="53"/>
        <v>Old (12+ years)</v>
      </c>
      <c r="R456" t="str">
        <f t="shared" si="54"/>
        <v>Good</v>
      </c>
      <c r="S456" t="str">
        <f t="shared" si="55"/>
        <v>Very High</v>
      </c>
    </row>
    <row r="457" spans="1:19" x14ac:dyDescent="0.3">
      <c r="A457">
        <v>456</v>
      </c>
      <c r="B457" t="s">
        <v>24</v>
      </c>
      <c r="C457">
        <v>2018</v>
      </c>
      <c r="D457">
        <v>122235</v>
      </c>
      <c r="E457" t="s">
        <v>13</v>
      </c>
      <c r="F457" t="s">
        <v>18</v>
      </c>
      <c r="G457" t="s">
        <v>15</v>
      </c>
      <c r="H457">
        <v>2613</v>
      </c>
      <c r="I457">
        <v>234.3</v>
      </c>
      <c r="J457" s="2">
        <v>13.46</v>
      </c>
      <c r="K457">
        <v>2</v>
      </c>
      <c r="L457" s="1">
        <v>24206.28</v>
      </c>
      <c r="M457">
        <f t="shared" si="49"/>
        <v>6</v>
      </c>
      <c r="N457">
        <f t="shared" si="50"/>
        <v>4034.3799999999997</v>
      </c>
      <c r="O457">
        <f t="shared" si="51"/>
        <v>20372.5</v>
      </c>
      <c r="P457">
        <f t="shared" si="52"/>
        <v>89.66704936854191</v>
      </c>
      <c r="Q457" t="str">
        <f t="shared" si="53"/>
        <v>Recent (4-7 years)</v>
      </c>
      <c r="R457" t="str">
        <f t="shared" si="54"/>
        <v>Low</v>
      </c>
      <c r="S457" t="str">
        <f t="shared" si="55"/>
        <v>Very High</v>
      </c>
    </row>
    <row r="458" spans="1:19" x14ac:dyDescent="0.3">
      <c r="A458">
        <v>457</v>
      </c>
      <c r="B458" t="s">
        <v>28</v>
      </c>
      <c r="C458">
        <v>2017</v>
      </c>
      <c r="D458">
        <v>183773</v>
      </c>
      <c r="E458" t="s">
        <v>13</v>
      </c>
      <c r="F458" t="s">
        <v>18</v>
      </c>
      <c r="G458" t="s">
        <v>23</v>
      </c>
      <c r="H458">
        <v>4279</v>
      </c>
      <c r="I458">
        <v>281.8</v>
      </c>
      <c r="J458" s="2">
        <v>28.39</v>
      </c>
      <c r="K458">
        <v>2</v>
      </c>
      <c r="L458" s="1">
        <v>86304.93</v>
      </c>
      <c r="M458">
        <f t="shared" si="49"/>
        <v>7</v>
      </c>
      <c r="N458">
        <f t="shared" si="50"/>
        <v>12329.275714285714</v>
      </c>
      <c r="O458">
        <f t="shared" si="51"/>
        <v>26253.285714285714</v>
      </c>
      <c r="P458">
        <f t="shared" si="52"/>
        <v>65.856508530030382</v>
      </c>
      <c r="Q458" t="str">
        <f t="shared" si="53"/>
        <v>Recent (4-7 years)</v>
      </c>
      <c r="R458" t="str">
        <f t="shared" si="54"/>
        <v>Excellent</v>
      </c>
      <c r="S458" t="str">
        <f t="shared" si="55"/>
        <v>Very High</v>
      </c>
    </row>
    <row r="459" spans="1:19" x14ac:dyDescent="0.3">
      <c r="A459">
        <v>458</v>
      </c>
      <c r="B459" t="s">
        <v>25</v>
      </c>
      <c r="C459">
        <v>2016</v>
      </c>
      <c r="D459">
        <v>113777</v>
      </c>
      <c r="E459" t="s">
        <v>17</v>
      </c>
      <c r="F459" t="s">
        <v>14</v>
      </c>
      <c r="G459" t="s">
        <v>20</v>
      </c>
      <c r="H459">
        <v>2251</v>
      </c>
      <c r="I459">
        <v>477.8</v>
      </c>
      <c r="J459" s="2">
        <v>27.81</v>
      </c>
      <c r="K459">
        <v>2</v>
      </c>
      <c r="L459" s="1">
        <v>48040.17</v>
      </c>
      <c r="M459">
        <f t="shared" si="49"/>
        <v>8</v>
      </c>
      <c r="N459">
        <f t="shared" si="50"/>
        <v>6005.0212499999998</v>
      </c>
      <c r="O459">
        <f t="shared" si="51"/>
        <v>14222.125</v>
      </c>
      <c r="P459">
        <f t="shared" si="52"/>
        <v>212.26121723678366</v>
      </c>
      <c r="Q459" t="str">
        <f t="shared" si="53"/>
        <v>Mature (8-12 years)</v>
      </c>
      <c r="R459" t="str">
        <f t="shared" si="54"/>
        <v>Excellent</v>
      </c>
      <c r="S459" t="str">
        <f t="shared" si="55"/>
        <v>Very High</v>
      </c>
    </row>
    <row r="460" spans="1:19" x14ac:dyDescent="0.3">
      <c r="A460">
        <v>459</v>
      </c>
      <c r="B460" t="s">
        <v>28</v>
      </c>
      <c r="C460">
        <v>2011</v>
      </c>
      <c r="D460">
        <v>24033</v>
      </c>
      <c r="E460" t="s">
        <v>13</v>
      </c>
      <c r="F460" t="s">
        <v>14</v>
      </c>
      <c r="G460" t="s">
        <v>15</v>
      </c>
      <c r="H460">
        <v>3113</v>
      </c>
      <c r="I460">
        <v>311.10000000000002</v>
      </c>
      <c r="J460" s="2">
        <v>10.23</v>
      </c>
      <c r="K460">
        <v>6</v>
      </c>
      <c r="L460" s="1">
        <v>50068.480000000003</v>
      </c>
      <c r="M460">
        <f t="shared" si="49"/>
        <v>13</v>
      </c>
      <c r="N460">
        <f t="shared" si="50"/>
        <v>3851.4215384615386</v>
      </c>
      <c r="O460">
        <f t="shared" si="51"/>
        <v>1848.6923076923076</v>
      </c>
      <c r="P460">
        <f t="shared" si="52"/>
        <v>99.935753292643753</v>
      </c>
      <c r="Q460" t="str">
        <f t="shared" si="53"/>
        <v>Old (12+ years)</v>
      </c>
      <c r="R460" t="str">
        <f t="shared" si="54"/>
        <v>Low</v>
      </c>
      <c r="S460" t="str">
        <f t="shared" si="55"/>
        <v>Very High</v>
      </c>
    </row>
    <row r="461" spans="1:19" x14ac:dyDescent="0.3">
      <c r="A461">
        <v>460</v>
      </c>
      <c r="B461" t="s">
        <v>25</v>
      </c>
      <c r="C461">
        <v>2006</v>
      </c>
      <c r="D461">
        <v>146877</v>
      </c>
      <c r="E461" t="s">
        <v>22</v>
      </c>
      <c r="F461" t="s">
        <v>14</v>
      </c>
      <c r="G461" t="s">
        <v>20</v>
      </c>
      <c r="H461">
        <v>2314</v>
      </c>
      <c r="I461">
        <v>484.6</v>
      </c>
      <c r="J461" s="2">
        <v>5.99</v>
      </c>
      <c r="K461">
        <v>7</v>
      </c>
      <c r="L461" s="1">
        <v>94644.94</v>
      </c>
      <c r="M461">
        <f t="shared" si="49"/>
        <v>18</v>
      </c>
      <c r="N461">
        <f t="shared" si="50"/>
        <v>5258.0522222222226</v>
      </c>
      <c r="O461">
        <f t="shared" si="51"/>
        <v>8159.833333333333</v>
      </c>
      <c r="P461">
        <f t="shared" si="52"/>
        <v>209.42091616248919</v>
      </c>
      <c r="Q461" t="str">
        <f t="shared" si="53"/>
        <v>Old (12+ years)</v>
      </c>
      <c r="R461" t="str">
        <f t="shared" si="54"/>
        <v>Low</v>
      </c>
      <c r="S461" t="str">
        <f t="shared" si="55"/>
        <v>Very High</v>
      </c>
    </row>
    <row r="462" spans="1:19" x14ac:dyDescent="0.3">
      <c r="A462">
        <v>461</v>
      </c>
      <c r="B462" t="s">
        <v>12</v>
      </c>
      <c r="C462">
        <v>2017</v>
      </c>
      <c r="D462">
        <v>171923</v>
      </c>
      <c r="E462" t="s">
        <v>26</v>
      </c>
      <c r="F462" t="s">
        <v>18</v>
      </c>
      <c r="G462" t="s">
        <v>23</v>
      </c>
      <c r="H462">
        <v>2031</v>
      </c>
      <c r="I462">
        <v>362.8</v>
      </c>
      <c r="J462" s="2">
        <v>23.53</v>
      </c>
      <c r="K462">
        <v>2</v>
      </c>
      <c r="L462" s="1">
        <v>115645.82</v>
      </c>
      <c r="M462">
        <f t="shared" si="49"/>
        <v>7</v>
      </c>
      <c r="N462">
        <f t="shared" si="50"/>
        <v>16520.83142857143</v>
      </c>
      <c r="O462">
        <f t="shared" si="51"/>
        <v>24560.428571428572</v>
      </c>
      <c r="P462">
        <f t="shared" si="52"/>
        <v>178.63121614967994</v>
      </c>
      <c r="Q462" t="str">
        <f t="shared" si="53"/>
        <v>Recent (4-7 years)</v>
      </c>
      <c r="R462" t="str">
        <f t="shared" si="54"/>
        <v>Good</v>
      </c>
      <c r="S462" t="str">
        <f t="shared" si="55"/>
        <v>Very High</v>
      </c>
    </row>
    <row r="463" spans="1:19" x14ac:dyDescent="0.3">
      <c r="A463">
        <v>462</v>
      </c>
      <c r="B463" t="s">
        <v>29</v>
      </c>
      <c r="C463">
        <v>2018</v>
      </c>
      <c r="D463">
        <v>31832</v>
      </c>
      <c r="E463" t="s">
        <v>26</v>
      </c>
      <c r="F463" t="s">
        <v>14</v>
      </c>
      <c r="G463" t="s">
        <v>20</v>
      </c>
      <c r="H463">
        <v>2445</v>
      </c>
      <c r="I463">
        <v>231.6</v>
      </c>
      <c r="J463" s="2">
        <v>25.69</v>
      </c>
      <c r="K463">
        <v>2</v>
      </c>
      <c r="L463" s="1">
        <v>17818.740000000002</v>
      </c>
      <c r="M463">
        <f t="shared" si="49"/>
        <v>6</v>
      </c>
      <c r="N463">
        <f t="shared" si="50"/>
        <v>2969.7900000000004</v>
      </c>
      <c r="O463">
        <f t="shared" si="51"/>
        <v>5305.333333333333</v>
      </c>
      <c r="P463">
        <f t="shared" si="52"/>
        <v>94.723926380368098</v>
      </c>
      <c r="Q463" t="str">
        <f t="shared" si="53"/>
        <v>Recent (4-7 years)</v>
      </c>
      <c r="R463" t="str">
        <f t="shared" si="54"/>
        <v>Excellent</v>
      </c>
      <c r="S463" t="str">
        <f t="shared" si="55"/>
        <v>Very High</v>
      </c>
    </row>
    <row r="464" spans="1:19" x14ac:dyDescent="0.3">
      <c r="A464">
        <v>463</v>
      </c>
      <c r="B464" t="s">
        <v>24</v>
      </c>
      <c r="C464">
        <v>2021</v>
      </c>
      <c r="D464">
        <v>199509</v>
      </c>
      <c r="E464" t="s">
        <v>13</v>
      </c>
      <c r="F464" t="s">
        <v>14</v>
      </c>
      <c r="G464" t="s">
        <v>20</v>
      </c>
      <c r="H464">
        <v>3799</v>
      </c>
      <c r="I464">
        <v>493.6</v>
      </c>
      <c r="J464" s="2">
        <v>29.2</v>
      </c>
      <c r="K464">
        <v>2</v>
      </c>
      <c r="L464" s="1">
        <v>52213.74</v>
      </c>
      <c r="M464">
        <f t="shared" si="49"/>
        <v>3</v>
      </c>
      <c r="N464">
        <f t="shared" si="50"/>
        <v>17404.579999999998</v>
      </c>
      <c r="O464">
        <f t="shared" si="51"/>
        <v>66503</v>
      </c>
      <c r="P464">
        <f t="shared" si="52"/>
        <v>129.92892866543829</v>
      </c>
      <c r="Q464" t="str">
        <f t="shared" si="53"/>
        <v>New (0-3 years)</v>
      </c>
      <c r="R464" t="str">
        <f t="shared" si="54"/>
        <v>Excellent</v>
      </c>
      <c r="S464" t="str">
        <f t="shared" si="55"/>
        <v>Very High</v>
      </c>
    </row>
    <row r="465" spans="1:19" x14ac:dyDescent="0.3">
      <c r="A465">
        <v>464</v>
      </c>
      <c r="B465" t="s">
        <v>19</v>
      </c>
      <c r="C465">
        <v>2013</v>
      </c>
      <c r="D465">
        <v>120725</v>
      </c>
      <c r="E465" t="s">
        <v>17</v>
      </c>
      <c r="F465" t="s">
        <v>14</v>
      </c>
      <c r="G465" t="s">
        <v>20</v>
      </c>
      <c r="H465">
        <v>4240</v>
      </c>
      <c r="I465">
        <v>173.4</v>
      </c>
      <c r="J465" s="2">
        <v>27.25</v>
      </c>
      <c r="K465">
        <v>2</v>
      </c>
      <c r="L465" s="1">
        <v>59270.17</v>
      </c>
      <c r="M465">
        <f t="shared" si="49"/>
        <v>11</v>
      </c>
      <c r="N465">
        <f t="shared" si="50"/>
        <v>5388.1972727272723</v>
      </c>
      <c r="O465">
        <f t="shared" si="51"/>
        <v>10975</v>
      </c>
      <c r="P465">
        <f t="shared" si="52"/>
        <v>40.89622641509434</v>
      </c>
      <c r="Q465" t="str">
        <f t="shared" si="53"/>
        <v>Mature (8-12 years)</v>
      </c>
      <c r="R465" t="str">
        <f t="shared" si="54"/>
        <v>Excellent</v>
      </c>
      <c r="S465" t="str">
        <f t="shared" si="55"/>
        <v>High</v>
      </c>
    </row>
    <row r="466" spans="1:19" x14ac:dyDescent="0.3">
      <c r="A466">
        <v>465</v>
      </c>
      <c r="B466" t="s">
        <v>24</v>
      </c>
      <c r="C466">
        <v>2021</v>
      </c>
      <c r="D466">
        <v>150016</v>
      </c>
      <c r="E466" t="s">
        <v>17</v>
      </c>
      <c r="F466" t="s">
        <v>18</v>
      </c>
      <c r="G466" t="s">
        <v>20</v>
      </c>
      <c r="H466">
        <v>4856</v>
      </c>
      <c r="I466">
        <v>165.7</v>
      </c>
      <c r="J466" s="2">
        <v>20.010000000000002</v>
      </c>
      <c r="K466">
        <v>4</v>
      </c>
      <c r="L466" s="1">
        <v>47028.480000000003</v>
      </c>
      <c r="M466">
        <f t="shared" si="49"/>
        <v>3</v>
      </c>
      <c r="N466">
        <f t="shared" si="50"/>
        <v>15676.160000000002</v>
      </c>
      <c r="O466">
        <f t="shared" si="51"/>
        <v>50005.333333333336</v>
      </c>
      <c r="P466">
        <f t="shared" si="52"/>
        <v>34.122734761120263</v>
      </c>
      <c r="Q466" t="str">
        <f t="shared" si="53"/>
        <v>New (0-3 years)</v>
      </c>
      <c r="R466" t="str">
        <f t="shared" si="54"/>
        <v>Good</v>
      </c>
      <c r="S466" t="str">
        <f t="shared" si="55"/>
        <v>High</v>
      </c>
    </row>
    <row r="467" spans="1:19" x14ac:dyDescent="0.3">
      <c r="A467">
        <v>466</v>
      </c>
      <c r="B467" t="s">
        <v>24</v>
      </c>
      <c r="C467">
        <v>2012</v>
      </c>
      <c r="D467">
        <v>24873</v>
      </c>
      <c r="E467" t="s">
        <v>17</v>
      </c>
      <c r="F467" t="s">
        <v>14</v>
      </c>
      <c r="G467" t="s">
        <v>20</v>
      </c>
      <c r="H467">
        <v>1105</v>
      </c>
      <c r="I467">
        <v>322.5</v>
      </c>
      <c r="J467" s="2">
        <v>18.25</v>
      </c>
      <c r="K467">
        <v>4</v>
      </c>
      <c r="L467" s="1">
        <v>45493.13</v>
      </c>
      <c r="M467">
        <f t="shared" si="49"/>
        <v>12</v>
      </c>
      <c r="N467">
        <f t="shared" si="50"/>
        <v>3791.0941666666663</v>
      </c>
      <c r="O467">
        <f t="shared" si="51"/>
        <v>2072.75</v>
      </c>
      <c r="P467">
        <f t="shared" si="52"/>
        <v>291.8552036199095</v>
      </c>
      <c r="Q467" t="str">
        <f t="shared" si="53"/>
        <v>Mature (8-12 years)</v>
      </c>
      <c r="R467" t="str">
        <f t="shared" si="54"/>
        <v>Average</v>
      </c>
      <c r="S467" t="str">
        <f t="shared" si="55"/>
        <v>Very High</v>
      </c>
    </row>
    <row r="468" spans="1:19" x14ac:dyDescent="0.3">
      <c r="A468">
        <v>467</v>
      </c>
      <c r="B468" t="s">
        <v>24</v>
      </c>
      <c r="C468">
        <v>2006</v>
      </c>
      <c r="D468">
        <v>45372</v>
      </c>
      <c r="E468" t="s">
        <v>17</v>
      </c>
      <c r="F468" t="s">
        <v>14</v>
      </c>
      <c r="G468" t="s">
        <v>15</v>
      </c>
      <c r="H468">
        <v>4336</v>
      </c>
      <c r="I468">
        <v>186.1</v>
      </c>
      <c r="J468" s="2">
        <v>5.7</v>
      </c>
      <c r="K468">
        <v>5</v>
      </c>
      <c r="L468" s="1">
        <v>9115.43</v>
      </c>
      <c r="M468">
        <f t="shared" si="49"/>
        <v>18</v>
      </c>
      <c r="N468">
        <f t="shared" si="50"/>
        <v>506.41277777777782</v>
      </c>
      <c r="O468">
        <f t="shared" si="51"/>
        <v>2520.6666666666665</v>
      </c>
      <c r="P468">
        <f t="shared" si="52"/>
        <v>42.919741697416967</v>
      </c>
      <c r="Q468" t="str">
        <f t="shared" si="53"/>
        <v>Old (12+ years)</v>
      </c>
      <c r="R468" t="str">
        <f t="shared" si="54"/>
        <v>Low</v>
      </c>
      <c r="S468" t="str">
        <f t="shared" si="55"/>
        <v>High</v>
      </c>
    </row>
    <row r="469" spans="1:19" x14ac:dyDescent="0.3">
      <c r="A469">
        <v>468</v>
      </c>
      <c r="B469" t="s">
        <v>28</v>
      </c>
      <c r="C469">
        <v>2017</v>
      </c>
      <c r="D469">
        <v>94464</v>
      </c>
      <c r="E469" t="s">
        <v>17</v>
      </c>
      <c r="F469" t="s">
        <v>14</v>
      </c>
      <c r="G469" t="s">
        <v>15</v>
      </c>
      <c r="H469">
        <v>2523</v>
      </c>
      <c r="I469">
        <v>45.1</v>
      </c>
      <c r="J469" s="2">
        <v>11.17</v>
      </c>
      <c r="K469">
        <v>2</v>
      </c>
      <c r="L469" s="1">
        <v>83208.02</v>
      </c>
      <c r="M469">
        <f t="shared" si="49"/>
        <v>7</v>
      </c>
      <c r="N469">
        <f t="shared" si="50"/>
        <v>11886.86</v>
      </c>
      <c r="O469">
        <f t="shared" si="51"/>
        <v>13494.857142857143</v>
      </c>
      <c r="P469">
        <f t="shared" si="52"/>
        <v>17.875544986127625</v>
      </c>
      <c r="Q469" t="str">
        <f t="shared" si="53"/>
        <v>Recent (4-7 years)</v>
      </c>
      <c r="R469" t="str">
        <f t="shared" si="54"/>
        <v>Low</v>
      </c>
      <c r="S469" t="str">
        <f t="shared" si="55"/>
        <v>Low</v>
      </c>
    </row>
    <row r="470" spans="1:19" x14ac:dyDescent="0.3">
      <c r="A470">
        <v>469</v>
      </c>
      <c r="B470" t="s">
        <v>25</v>
      </c>
      <c r="C470">
        <v>2007</v>
      </c>
      <c r="D470">
        <v>151451</v>
      </c>
      <c r="E470" t="s">
        <v>13</v>
      </c>
      <c r="F470" t="s">
        <v>14</v>
      </c>
      <c r="G470" t="s">
        <v>15</v>
      </c>
      <c r="H470">
        <v>2489</v>
      </c>
      <c r="I470">
        <v>403</v>
      </c>
      <c r="J470" s="2">
        <v>16.489999999999998</v>
      </c>
      <c r="K470">
        <v>5</v>
      </c>
      <c r="L470" s="1">
        <v>54037.09</v>
      </c>
      <c r="M470">
        <f t="shared" si="49"/>
        <v>17</v>
      </c>
      <c r="N470">
        <f t="shared" si="50"/>
        <v>3178.6523529411761</v>
      </c>
      <c r="O470">
        <f t="shared" si="51"/>
        <v>8908.8823529411766</v>
      </c>
      <c r="P470">
        <f t="shared" si="52"/>
        <v>161.91241462434712</v>
      </c>
      <c r="Q470" t="str">
        <f t="shared" si="53"/>
        <v>Old (12+ years)</v>
      </c>
      <c r="R470" t="str">
        <f t="shared" si="54"/>
        <v>Average</v>
      </c>
      <c r="S470" t="str">
        <f t="shared" si="55"/>
        <v>Very High</v>
      </c>
    </row>
    <row r="471" spans="1:19" x14ac:dyDescent="0.3">
      <c r="A471">
        <v>470</v>
      </c>
      <c r="B471" t="s">
        <v>30</v>
      </c>
      <c r="C471">
        <v>2020</v>
      </c>
      <c r="D471">
        <v>122322</v>
      </c>
      <c r="E471" t="s">
        <v>26</v>
      </c>
      <c r="F471" t="s">
        <v>14</v>
      </c>
      <c r="G471" t="s">
        <v>23</v>
      </c>
      <c r="H471">
        <v>2317</v>
      </c>
      <c r="I471">
        <v>326.2</v>
      </c>
      <c r="J471" s="2">
        <v>20.71</v>
      </c>
      <c r="K471">
        <v>6</v>
      </c>
      <c r="L471" s="1">
        <v>25790.87</v>
      </c>
      <c r="M471">
        <f t="shared" si="49"/>
        <v>4</v>
      </c>
      <c r="N471">
        <f t="shared" si="50"/>
        <v>6447.7174999999997</v>
      </c>
      <c r="O471">
        <f t="shared" si="51"/>
        <v>30580.5</v>
      </c>
      <c r="P471">
        <f t="shared" si="52"/>
        <v>140.78549848942598</v>
      </c>
      <c r="Q471" t="str">
        <f t="shared" si="53"/>
        <v>Recent (4-7 years)</v>
      </c>
      <c r="R471" t="str">
        <f t="shared" si="54"/>
        <v>Good</v>
      </c>
      <c r="S471" t="str">
        <f t="shared" si="55"/>
        <v>Very High</v>
      </c>
    </row>
    <row r="472" spans="1:19" x14ac:dyDescent="0.3">
      <c r="A472">
        <v>471</v>
      </c>
      <c r="B472" t="s">
        <v>12</v>
      </c>
      <c r="C472">
        <v>2010</v>
      </c>
      <c r="D472">
        <v>172823</v>
      </c>
      <c r="E472" t="s">
        <v>26</v>
      </c>
      <c r="F472" t="s">
        <v>18</v>
      </c>
      <c r="G472" t="s">
        <v>20</v>
      </c>
      <c r="H472">
        <v>4717</v>
      </c>
      <c r="I472">
        <v>289.5</v>
      </c>
      <c r="J472" s="2">
        <v>18.93</v>
      </c>
      <c r="K472">
        <v>5</v>
      </c>
      <c r="L472" s="1">
        <v>98475.92</v>
      </c>
      <c r="M472">
        <f t="shared" si="49"/>
        <v>14</v>
      </c>
      <c r="N472">
        <f t="shared" si="50"/>
        <v>7033.994285714286</v>
      </c>
      <c r="O472">
        <f t="shared" si="51"/>
        <v>12344.5</v>
      </c>
      <c r="P472">
        <f t="shared" si="52"/>
        <v>61.373754504981981</v>
      </c>
      <c r="Q472" t="str">
        <f t="shared" si="53"/>
        <v>Old (12+ years)</v>
      </c>
      <c r="R472" t="str">
        <f t="shared" si="54"/>
        <v>Average</v>
      </c>
      <c r="S472" t="str">
        <f t="shared" si="55"/>
        <v>Very High</v>
      </c>
    </row>
    <row r="473" spans="1:19" x14ac:dyDescent="0.3">
      <c r="A473">
        <v>472</v>
      </c>
      <c r="B473" t="s">
        <v>16</v>
      </c>
      <c r="C473">
        <v>2023</v>
      </c>
      <c r="D473">
        <v>105082</v>
      </c>
      <c r="E473" t="s">
        <v>13</v>
      </c>
      <c r="F473" t="s">
        <v>18</v>
      </c>
      <c r="G473" t="s">
        <v>15</v>
      </c>
      <c r="H473">
        <v>1219</v>
      </c>
      <c r="I473">
        <v>581.5</v>
      </c>
      <c r="J473" s="2">
        <v>23.57</v>
      </c>
      <c r="K473">
        <v>7</v>
      </c>
      <c r="L473" s="1">
        <v>96899.61</v>
      </c>
      <c r="M473">
        <f t="shared" si="49"/>
        <v>1</v>
      </c>
      <c r="N473">
        <f t="shared" si="50"/>
        <v>96899.61</v>
      </c>
      <c r="O473">
        <f t="shared" si="51"/>
        <v>105082</v>
      </c>
      <c r="P473">
        <f t="shared" si="52"/>
        <v>477.0303527481542</v>
      </c>
      <c r="Q473" t="str">
        <f t="shared" si="53"/>
        <v>New (0-3 years)</v>
      </c>
      <c r="R473" t="str">
        <f t="shared" si="54"/>
        <v>Good</v>
      </c>
      <c r="S473" t="str">
        <f t="shared" si="55"/>
        <v>Very High</v>
      </c>
    </row>
    <row r="474" spans="1:19" x14ac:dyDescent="0.3">
      <c r="A474">
        <v>473</v>
      </c>
      <c r="B474" t="s">
        <v>24</v>
      </c>
      <c r="C474">
        <v>2011</v>
      </c>
      <c r="D474">
        <v>10110</v>
      </c>
      <c r="E474" t="s">
        <v>17</v>
      </c>
      <c r="F474" t="s">
        <v>18</v>
      </c>
      <c r="G474" t="s">
        <v>23</v>
      </c>
      <c r="H474">
        <v>3736</v>
      </c>
      <c r="I474">
        <v>359.9</v>
      </c>
      <c r="J474" s="2">
        <v>11.99</v>
      </c>
      <c r="K474">
        <v>4</v>
      </c>
      <c r="L474" s="1">
        <v>59907.82</v>
      </c>
      <c r="M474">
        <f t="shared" si="49"/>
        <v>13</v>
      </c>
      <c r="N474">
        <f t="shared" si="50"/>
        <v>4608.2938461538461</v>
      </c>
      <c r="O474">
        <f t="shared" si="51"/>
        <v>777.69230769230774</v>
      </c>
      <c r="P474">
        <f t="shared" si="52"/>
        <v>96.332976445396127</v>
      </c>
      <c r="Q474" t="str">
        <f t="shared" si="53"/>
        <v>Old (12+ years)</v>
      </c>
      <c r="R474" t="str">
        <f t="shared" si="54"/>
        <v>Low</v>
      </c>
      <c r="S474" t="str">
        <f t="shared" si="55"/>
        <v>Very High</v>
      </c>
    </row>
    <row r="475" spans="1:19" x14ac:dyDescent="0.3">
      <c r="A475">
        <v>474</v>
      </c>
      <c r="B475" t="s">
        <v>21</v>
      </c>
      <c r="C475">
        <v>2014</v>
      </c>
      <c r="D475">
        <v>190413</v>
      </c>
      <c r="E475" t="s">
        <v>13</v>
      </c>
      <c r="F475" t="s">
        <v>14</v>
      </c>
      <c r="G475" t="s">
        <v>15</v>
      </c>
      <c r="H475">
        <v>4662</v>
      </c>
      <c r="I475">
        <v>523.5</v>
      </c>
      <c r="J475" s="2">
        <v>19.12</v>
      </c>
      <c r="K475">
        <v>4</v>
      </c>
      <c r="L475" s="1">
        <v>37918.730000000003</v>
      </c>
      <c r="M475">
        <f t="shared" si="49"/>
        <v>10</v>
      </c>
      <c r="N475">
        <f t="shared" si="50"/>
        <v>3791.8730000000005</v>
      </c>
      <c r="O475">
        <f t="shared" si="51"/>
        <v>19041.3</v>
      </c>
      <c r="P475">
        <f t="shared" si="52"/>
        <v>112.29086229086229</v>
      </c>
      <c r="Q475" t="str">
        <f t="shared" si="53"/>
        <v>Mature (8-12 years)</v>
      </c>
      <c r="R475" t="str">
        <f t="shared" si="54"/>
        <v>Average</v>
      </c>
      <c r="S475" t="str">
        <f t="shared" si="55"/>
        <v>Very High</v>
      </c>
    </row>
    <row r="476" spans="1:19" x14ac:dyDescent="0.3">
      <c r="A476">
        <v>475</v>
      </c>
      <c r="B476" t="s">
        <v>28</v>
      </c>
      <c r="C476">
        <v>2013</v>
      </c>
      <c r="D476">
        <v>17087</v>
      </c>
      <c r="E476" t="s">
        <v>26</v>
      </c>
      <c r="F476" t="s">
        <v>18</v>
      </c>
      <c r="G476" t="s">
        <v>15</v>
      </c>
      <c r="H476">
        <v>2250</v>
      </c>
      <c r="I476">
        <v>118.1</v>
      </c>
      <c r="J476" s="2">
        <v>7.2</v>
      </c>
      <c r="K476">
        <v>2</v>
      </c>
      <c r="L476" s="1">
        <v>77656.850000000006</v>
      </c>
      <c r="M476">
        <f t="shared" si="49"/>
        <v>11</v>
      </c>
      <c r="N476">
        <f t="shared" si="50"/>
        <v>7059.7136363636373</v>
      </c>
      <c r="O476">
        <f t="shared" si="51"/>
        <v>1553.3636363636363</v>
      </c>
      <c r="P476">
        <f t="shared" si="52"/>
        <v>52.488888888888887</v>
      </c>
      <c r="Q476" t="str">
        <f t="shared" si="53"/>
        <v>Mature (8-12 years)</v>
      </c>
      <c r="R476" t="str">
        <f t="shared" si="54"/>
        <v>Low</v>
      </c>
      <c r="S476" t="str">
        <f t="shared" si="55"/>
        <v>Medium</v>
      </c>
    </row>
    <row r="477" spans="1:19" x14ac:dyDescent="0.3">
      <c r="A477">
        <v>476</v>
      </c>
      <c r="B477" t="s">
        <v>19</v>
      </c>
      <c r="C477">
        <v>2006</v>
      </c>
      <c r="D477">
        <v>159834</v>
      </c>
      <c r="E477" t="s">
        <v>22</v>
      </c>
      <c r="F477" t="s">
        <v>18</v>
      </c>
      <c r="G477" t="s">
        <v>20</v>
      </c>
      <c r="H477">
        <v>3896</v>
      </c>
      <c r="I477">
        <v>358.8</v>
      </c>
      <c r="J477" s="2">
        <v>15.34</v>
      </c>
      <c r="K477">
        <v>2</v>
      </c>
      <c r="L477" s="1">
        <v>36713.800000000003</v>
      </c>
      <c r="M477">
        <f t="shared" si="49"/>
        <v>18</v>
      </c>
      <c r="N477">
        <f t="shared" si="50"/>
        <v>2039.6555555555558</v>
      </c>
      <c r="O477">
        <f t="shared" si="51"/>
        <v>8879.6666666666661</v>
      </c>
      <c r="P477">
        <f t="shared" si="52"/>
        <v>92.094455852156059</v>
      </c>
      <c r="Q477" t="str">
        <f t="shared" si="53"/>
        <v>Old (12+ years)</v>
      </c>
      <c r="R477" t="str">
        <f t="shared" si="54"/>
        <v>Average</v>
      </c>
      <c r="S477" t="str">
        <f t="shared" si="55"/>
        <v>Very High</v>
      </c>
    </row>
    <row r="478" spans="1:19" x14ac:dyDescent="0.3">
      <c r="A478">
        <v>477</v>
      </c>
      <c r="B478" t="s">
        <v>16</v>
      </c>
      <c r="C478">
        <v>2019</v>
      </c>
      <c r="D478">
        <v>87617</v>
      </c>
      <c r="E478" t="s">
        <v>13</v>
      </c>
      <c r="F478" t="s">
        <v>18</v>
      </c>
      <c r="G478" t="s">
        <v>23</v>
      </c>
      <c r="H478">
        <v>4061</v>
      </c>
      <c r="I478">
        <v>526.1</v>
      </c>
      <c r="J478" s="2">
        <v>23.75</v>
      </c>
      <c r="K478">
        <v>6</v>
      </c>
      <c r="L478" s="1">
        <v>30612.93</v>
      </c>
      <c r="M478">
        <f t="shared" si="49"/>
        <v>5</v>
      </c>
      <c r="N478">
        <f t="shared" si="50"/>
        <v>6122.5860000000002</v>
      </c>
      <c r="O478">
        <f t="shared" si="51"/>
        <v>17523.400000000001</v>
      </c>
      <c r="P478">
        <f t="shared" si="52"/>
        <v>129.54937207584339</v>
      </c>
      <c r="Q478" t="str">
        <f t="shared" si="53"/>
        <v>Recent (4-7 years)</v>
      </c>
      <c r="R478" t="str">
        <f t="shared" si="54"/>
        <v>Good</v>
      </c>
      <c r="S478" t="str">
        <f t="shared" si="55"/>
        <v>Very High</v>
      </c>
    </row>
    <row r="479" spans="1:19" x14ac:dyDescent="0.3">
      <c r="A479">
        <v>478</v>
      </c>
      <c r="B479" t="s">
        <v>30</v>
      </c>
      <c r="C479">
        <v>2009</v>
      </c>
      <c r="D479">
        <v>105483</v>
      </c>
      <c r="E479" t="s">
        <v>17</v>
      </c>
      <c r="F479" t="s">
        <v>14</v>
      </c>
      <c r="G479" t="s">
        <v>20</v>
      </c>
      <c r="H479">
        <v>1964</v>
      </c>
      <c r="I479">
        <v>366.5</v>
      </c>
      <c r="J479" s="2">
        <v>22.34</v>
      </c>
      <c r="K479">
        <v>6</v>
      </c>
      <c r="L479" s="1">
        <v>88470.21</v>
      </c>
      <c r="M479">
        <f t="shared" si="49"/>
        <v>15</v>
      </c>
      <c r="N479">
        <f t="shared" si="50"/>
        <v>5898.0140000000001</v>
      </c>
      <c r="O479">
        <f t="shared" si="51"/>
        <v>7032.2</v>
      </c>
      <c r="P479">
        <f t="shared" si="52"/>
        <v>186.60896130346234</v>
      </c>
      <c r="Q479" t="str">
        <f t="shared" si="53"/>
        <v>Old (12+ years)</v>
      </c>
      <c r="R479" t="str">
        <f t="shared" si="54"/>
        <v>Good</v>
      </c>
      <c r="S479" t="str">
        <f t="shared" si="55"/>
        <v>Very High</v>
      </c>
    </row>
    <row r="480" spans="1:19" x14ac:dyDescent="0.3">
      <c r="A480">
        <v>479</v>
      </c>
      <c r="B480" t="s">
        <v>21</v>
      </c>
      <c r="C480">
        <v>2008</v>
      </c>
      <c r="D480">
        <v>14596</v>
      </c>
      <c r="E480" t="s">
        <v>26</v>
      </c>
      <c r="F480" t="s">
        <v>14</v>
      </c>
      <c r="G480" t="s">
        <v>20</v>
      </c>
      <c r="H480">
        <v>2669</v>
      </c>
      <c r="I480">
        <v>442.1</v>
      </c>
      <c r="J480" s="2">
        <v>29.77</v>
      </c>
      <c r="K480">
        <v>7</v>
      </c>
      <c r="L480" s="1">
        <v>7718.05</v>
      </c>
      <c r="M480">
        <f t="shared" si="49"/>
        <v>16</v>
      </c>
      <c r="N480">
        <f t="shared" si="50"/>
        <v>482.37812500000001</v>
      </c>
      <c r="O480">
        <f t="shared" si="51"/>
        <v>912.25</v>
      </c>
      <c r="P480">
        <f t="shared" si="52"/>
        <v>165.64256275758711</v>
      </c>
      <c r="Q480" t="str">
        <f t="shared" si="53"/>
        <v>Old (12+ years)</v>
      </c>
      <c r="R480" t="str">
        <f t="shared" si="54"/>
        <v>Excellent</v>
      </c>
      <c r="S480" t="str">
        <f t="shared" si="55"/>
        <v>Very High</v>
      </c>
    </row>
    <row r="481" spans="1:19" x14ac:dyDescent="0.3">
      <c r="A481">
        <v>480</v>
      </c>
      <c r="B481" t="s">
        <v>30</v>
      </c>
      <c r="C481">
        <v>2024</v>
      </c>
      <c r="D481">
        <v>112539</v>
      </c>
      <c r="E481" t="s">
        <v>26</v>
      </c>
      <c r="F481" t="s">
        <v>18</v>
      </c>
      <c r="G481" t="s">
        <v>15</v>
      </c>
      <c r="H481">
        <v>2619</v>
      </c>
      <c r="I481">
        <v>248.3</v>
      </c>
      <c r="J481" s="2">
        <v>11.95</v>
      </c>
      <c r="K481">
        <v>2</v>
      </c>
      <c r="L481" s="1">
        <v>14087.91</v>
      </c>
      <c r="M481">
        <f t="shared" si="49"/>
        <v>0</v>
      </c>
      <c r="N481">
        <f t="shared" si="50"/>
        <v>14087.91</v>
      </c>
      <c r="O481">
        <f t="shared" si="51"/>
        <v>112539</v>
      </c>
      <c r="P481">
        <f t="shared" si="52"/>
        <v>94.807178312332951</v>
      </c>
      <c r="Q481" t="str">
        <f t="shared" si="53"/>
        <v>New (0-3 years)</v>
      </c>
      <c r="R481" t="str">
        <f t="shared" si="54"/>
        <v>Low</v>
      </c>
      <c r="S481" t="str">
        <f t="shared" si="55"/>
        <v>Very High</v>
      </c>
    </row>
    <row r="482" spans="1:19" x14ac:dyDescent="0.3">
      <c r="A482">
        <v>481</v>
      </c>
      <c r="B482" t="s">
        <v>16</v>
      </c>
      <c r="C482">
        <v>2008</v>
      </c>
      <c r="D482">
        <v>23313</v>
      </c>
      <c r="E482" t="s">
        <v>26</v>
      </c>
      <c r="F482" t="s">
        <v>18</v>
      </c>
      <c r="G482" t="s">
        <v>20</v>
      </c>
      <c r="H482">
        <v>3505</v>
      </c>
      <c r="I482">
        <v>91.8</v>
      </c>
      <c r="J482" s="2">
        <v>17.45</v>
      </c>
      <c r="K482">
        <v>2</v>
      </c>
      <c r="L482" s="1">
        <v>3794.22</v>
      </c>
      <c r="M482">
        <f t="shared" si="49"/>
        <v>16</v>
      </c>
      <c r="N482">
        <f t="shared" si="50"/>
        <v>237.13874999999999</v>
      </c>
      <c r="O482">
        <f t="shared" si="51"/>
        <v>1457.0625</v>
      </c>
      <c r="P482">
        <f t="shared" si="52"/>
        <v>26.191155492154067</v>
      </c>
      <c r="Q482" t="str">
        <f t="shared" si="53"/>
        <v>Old (12+ years)</v>
      </c>
      <c r="R482" t="str">
        <f t="shared" si="54"/>
        <v>Average</v>
      </c>
      <c r="S482" t="str">
        <f t="shared" si="55"/>
        <v>Low</v>
      </c>
    </row>
    <row r="483" spans="1:19" x14ac:dyDescent="0.3">
      <c r="A483">
        <v>482</v>
      </c>
      <c r="B483" t="s">
        <v>24</v>
      </c>
      <c r="C483">
        <v>2022</v>
      </c>
      <c r="D483">
        <v>118175</v>
      </c>
      <c r="E483" t="s">
        <v>26</v>
      </c>
      <c r="F483" t="s">
        <v>14</v>
      </c>
      <c r="G483" t="s">
        <v>23</v>
      </c>
      <c r="H483">
        <v>4315</v>
      </c>
      <c r="I483">
        <v>296.39999999999998</v>
      </c>
      <c r="J483" s="2">
        <v>13.24</v>
      </c>
      <c r="K483">
        <v>6</v>
      </c>
      <c r="L483" s="1">
        <v>20894.349999999999</v>
      </c>
      <c r="M483">
        <f t="shared" si="49"/>
        <v>2</v>
      </c>
      <c r="N483">
        <f t="shared" si="50"/>
        <v>10447.174999999999</v>
      </c>
      <c r="O483">
        <f t="shared" si="51"/>
        <v>59087.5</v>
      </c>
      <c r="P483">
        <f t="shared" si="52"/>
        <v>68.690614136732322</v>
      </c>
      <c r="Q483" t="str">
        <f t="shared" si="53"/>
        <v>New (0-3 years)</v>
      </c>
      <c r="R483" t="str">
        <f t="shared" si="54"/>
        <v>Low</v>
      </c>
      <c r="S483" t="str">
        <f t="shared" si="55"/>
        <v>Very High</v>
      </c>
    </row>
    <row r="484" spans="1:19" x14ac:dyDescent="0.3">
      <c r="A484">
        <v>483</v>
      </c>
      <c r="B484" t="s">
        <v>21</v>
      </c>
      <c r="C484">
        <v>2008</v>
      </c>
      <c r="D484">
        <v>119914</v>
      </c>
      <c r="E484" t="s">
        <v>17</v>
      </c>
      <c r="F484" t="s">
        <v>14</v>
      </c>
      <c r="G484" t="s">
        <v>20</v>
      </c>
      <c r="H484">
        <v>2142</v>
      </c>
      <c r="I484">
        <v>260.89999999999998</v>
      </c>
      <c r="J484" s="2">
        <v>16.02</v>
      </c>
      <c r="K484">
        <v>6</v>
      </c>
      <c r="L484" s="1">
        <v>11071.83</v>
      </c>
      <c r="M484">
        <f t="shared" si="49"/>
        <v>16</v>
      </c>
      <c r="N484">
        <f t="shared" si="50"/>
        <v>691.989375</v>
      </c>
      <c r="O484">
        <f t="shared" si="51"/>
        <v>7494.625</v>
      </c>
      <c r="P484">
        <f t="shared" si="52"/>
        <v>121.80205415499533</v>
      </c>
      <c r="Q484" t="str">
        <f t="shared" si="53"/>
        <v>Old (12+ years)</v>
      </c>
      <c r="R484" t="str">
        <f t="shared" si="54"/>
        <v>Average</v>
      </c>
      <c r="S484" t="str">
        <f t="shared" si="55"/>
        <v>Very High</v>
      </c>
    </row>
    <row r="485" spans="1:19" x14ac:dyDescent="0.3">
      <c r="A485">
        <v>484</v>
      </c>
      <c r="B485" t="s">
        <v>30</v>
      </c>
      <c r="C485">
        <v>2021</v>
      </c>
      <c r="D485">
        <v>28705</v>
      </c>
      <c r="E485" t="s">
        <v>22</v>
      </c>
      <c r="F485" t="s">
        <v>18</v>
      </c>
      <c r="G485" t="s">
        <v>20</v>
      </c>
      <c r="H485">
        <v>3026</v>
      </c>
      <c r="I485">
        <v>525.6</v>
      </c>
      <c r="J485" s="2">
        <v>26.42</v>
      </c>
      <c r="K485">
        <v>6</v>
      </c>
      <c r="L485" s="1">
        <v>119508.88</v>
      </c>
      <c r="M485">
        <f t="shared" si="49"/>
        <v>3</v>
      </c>
      <c r="N485">
        <f t="shared" si="50"/>
        <v>39836.293333333335</v>
      </c>
      <c r="O485">
        <f t="shared" si="51"/>
        <v>9568.3333333333339</v>
      </c>
      <c r="P485">
        <f t="shared" si="52"/>
        <v>173.69464639788501</v>
      </c>
      <c r="Q485" t="str">
        <f t="shared" si="53"/>
        <v>New (0-3 years)</v>
      </c>
      <c r="R485" t="str">
        <f t="shared" si="54"/>
        <v>Excellent</v>
      </c>
      <c r="S485" t="str">
        <f t="shared" si="55"/>
        <v>Very High</v>
      </c>
    </row>
    <row r="486" spans="1:19" x14ac:dyDescent="0.3">
      <c r="A486">
        <v>485</v>
      </c>
      <c r="B486" t="s">
        <v>19</v>
      </c>
      <c r="C486">
        <v>2016</v>
      </c>
      <c r="D486">
        <v>78445</v>
      </c>
      <c r="E486" t="s">
        <v>26</v>
      </c>
      <c r="F486" t="s">
        <v>14</v>
      </c>
      <c r="G486" t="s">
        <v>20</v>
      </c>
      <c r="H486">
        <v>1879</v>
      </c>
      <c r="I486">
        <v>176.6</v>
      </c>
      <c r="J486" s="2">
        <v>22.11</v>
      </c>
      <c r="K486">
        <v>4</v>
      </c>
      <c r="L486" s="1">
        <v>36790.769999999997</v>
      </c>
      <c r="M486">
        <f t="shared" si="49"/>
        <v>8</v>
      </c>
      <c r="N486">
        <f t="shared" si="50"/>
        <v>4598.8462499999996</v>
      </c>
      <c r="O486">
        <f t="shared" si="51"/>
        <v>9805.625</v>
      </c>
      <c r="P486">
        <f t="shared" si="52"/>
        <v>93.98616285258116</v>
      </c>
      <c r="Q486" t="str">
        <f t="shared" si="53"/>
        <v>Mature (8-12 years)</v>
      </c>
      <c r="R486" t="str">
        <f t="shared" si="54"/>
        <v>Good</v>
      </c>
      <c r="S486" t="str">
        <f t="shared" si="55"/>
        <v>High</v>
      </c>
    </row>
    <row r="487" spans="1:19" x14ac:dyDescent="0.3">
      <c r="A487">
        <v>486</v>
      </c>
      <c r="B487" t="s">
        <v>25</v>
      </c>
      <c r="C487">
        <v>2021</v>
      </c>
      <c r="D487">
        <v>108892</v>
      </c>
      <c r="E487" t="s">
        <v>13</v>
      </c>
      <c r="F487" t="s">
        <v>18</v>
      </c>
      <c r="G487" t="s">
        <v>15</v>
      </c>
      <c r="H487">
        <v>3579</v>
      </c>
      <c r="I487">
        <v>581.4</v>
      </c>
      <c r="J487" s="2">
        <v>27.06</v>
      </c>
      <c r="K487">
        <v>5</v>
      </c>
      <c r="L487" s="1">
        <v>20464.36</v>
      </c>
      <c r="M487">
        <f t="shared" si="49"/>
        <v>3</v>
      </c>
      <c r="N487">
        <f t="shared" si="50"/>
        <v>6821.4533333333338</v>
      </c>
      <c r="O487">
        <f t="shared" si="51"/>
        <v>36297.333333333336</v>
      </c>
      <c r="P487">
        <f t="shared" si="52"/>
        <v>162.44761106454317</v>
      </c>
      <c r="Q487" t="str">
        <f t="shared" si="53"/>
        <v>New (0-3 years)</v>
      </c>
      <c r="R487" t="str">
        <f t="shared" si="54"/>
        <v>Excellent</v>
      </c>
      <c r="S487" t="str">
        <f t="shared" si="55"/>
        <v>Very High</v>
      </c>
    </row>
    <row r="488" spans="1:19" x14ac:dyDescent="0.3">
      <c r="A488">
        <v>487</v>
      </c>
      <c r="B488" t="s">
        <v>29</v>
      </c>
      <c r="C488">
        <v>2014</v>
      </c>
      <c r="D488">
        <v>7023</v>
      </c>
      <c r="E488" t="s">
        <v>22</v>
      </c>
      <c r="F488" t="s">
        <v>14</v>
      </c>
      <c r="G488" t="s">
        <v>23</v>
      </c>
      <c r="H488">
        <v>3328</v>
      </c>
      <c r="I488">
        <v>576.6</v>
      </c>
      <c r="J488" s="2">
        <v>10.09</v>
      </c>
      <c r="K488">
        <v>5</v>
      </c>
      <c r="L488" s="1">
        <v>31196.560000000001</v>
      </c>
      <c r="M488">
        <f t="shared" si="49"/>
        <v>10</v>
      </c>
      <c r="N488">
        <f t="shared" si="50"/>
        <v>3119.6559999999999</v>
      </c>
      <c r="O488">
        <f t="shared" si="51"/>
        <v>702.3</v>
      </c>
      <c r="P488">
        <f t="shared" si="52"/>
        <v>173.25721153846155</v>
      </c>
      <c r="Q488" t="str">
        <f t="shared" si="53"/>
        <v>Mature (8-12 years)</v>
      </c>
      <c r="R488" t="str">
        <f t="shared" si="54"/>
        <v>Low</v>
      </c>
      <c r="S488" t="str">
        <f t="shared" si="55"/>
        <v>Very High</v>
      </c>
    </row>
    <row r="489" spans="1:19" x14ac:dyDescent="0.3">
      <c r="A489">
        <v>488</v>
      </c>
      <c r="B489" t="s">
        <v>25</v>
      </c>
      <c r="C489">
        <v>2005</v>
      </c>
      <c r="D489">
        <v>124654</v>
      </c>
      <c r="E489" t="s">
        <v>26</v>
      </c>
      <c r="F489" t="s">
        <v>18</v>
      </c>
      <c r="G489" t="s">
        <v>15</v>
      </c>
      <c r="H489">
        <v>1613</v>
      </c>
      <c r="I489">
        <v>178.7</v>
      </c>
      <c r="J489" s="2">
        <v>26.83</v>
      </c>
      <c r="K489">
        <v>2</v>
      </c>
      <c r="L489" s="1">
        <v>112526.69</v>
      </c>
      <c r="M489">
        <f t="shared" si="49"/>
        <v>19</v>
      </c>
      <c r="N489">
        <f t="shared" si="50"/>
        <v>5922.4573684210527</v>
      </c>
      <c r="O489">
        <f t="shared" si="51"/>
        <v>6560.7368421052633</v>
      </c>
      <c r="P489">
        <f t="shared" si="52"/>
        <v>110.78735275883446</v>
      </c>
      <c r="Q489" t="str">
        <f t="shared" si="53"/>
        <v>Old (12+ years)</v>
      </c>
      <c r="R489" t="str">
        <f t="shared" si="54"/>
        <v>Excellent</v>
      </c>
      <c r="S489" t="str">
        <f t="shared" si="55"/>
        <v>High</v>
      </c>
    </row>
    <row r="490" spans="1:19" x14ac:dyDescent="0.3">
      <c r="A490">
        <v>489</v>
      </c>
      <c r="B490" t="s">
        <v>16</v>
      </c>
      <c r="C490">
        <v>2022</v>
      </c>
      <c r="D490">
        <v>195868</v>
      </c>
      <c r="E490" t="s">
        <v>22</v>
      </c>
      <c r="F490" t="s">
        <v>18</v>
      </c>
      <c r="G490" t="s">
        <v>15</v>
      </c>
      <c r="H490">
        <v>2831</v>
      </c>
      <c r="I490">
        <v>234.9</v>
      </c>
      <c r="J490" s="2">
        <v>6.49</v>
      </c>
      <c r="K490">
        <v>4</v>
      </c>
      <c r="L490" s="1">
        <v>63858.75</v>
      </c>
      <c r="M490">
        <f t="shared" si="49"/>
        <v>2</v>
      </c>
      <c r="N490">
        <f t="shared" si="50"/>
        <v>31929.375</v>
      </c>
      <c r="O490">
        <f t="shared" si="51"/>
        <v>97934</v>
      </c>
      <c r="P490">
        <f t="shared" si="52"/>
        <v>82.974214058636534</v>
      </c>
      <c r="Q490" t="str">
        <f t="shared" si="53"/>
        <v>New (0-3 years)</v>
      </c>
      <c r="R490" t="str">
        <f t="shared" si="54"/>
        <v>Low</v>
      </c>
      <c r="S490" t="str">
        <f t="shared" si="55"/>
        <v>Very High</v>
      </c>
    </row>
    <row r="491" spans="1:19" x14ac:dyDescent="0.3">
      <c r="A491">
        <v>490</v>
      </c>
      <c r="B491" t="s">
        <v>28</v>
      </c>
      <c r="C491">
        <v>2022</v>
      </c>
      <c r="D491">
        <v>85073</v>
      </c>
      <c r="E491" t="s">
        <v>13</v>
      </c>
      <c r="F491" t="s">
        <v>14</v>
      </c>
      <c r="G491" t="s">
        <v>15</v>
      </c>
      <c r="H491">
        <v>1122</v>
      </c>
      <c r="I491">
        <v>541.5</v>
      </c>
      <c r="J491" s="2">
        <v>27.21</v>
      </c>
      <c r="K491">
        <v>6</v>
      </c>
      <c r="L491" s="1">
        <v>45683.72</v>
      </c>
      <c r="M491">
        <f t="shared" si="49"/>
        <v>2</v>
      </c>
      <c r="N491">
        <f t="shared" si="50"/>
        <v>22841.86</v>
      </c>
      <c r="O491">
        <f t="shared" si="51"/>
        <v>42536.5</v>
      </c>
      <c r="P491">
        <f t="shared" si="52"/>
        <v>482.62032085561492</v>
      </c>
      <c r="Q491" t="str">
        <f t="shared" si="53"/>
        <v>New (0-3 years)</v>
      </c>
      <c r="R491" t="str">
        <f t="shared" si="54"/>
        <v>Excellent</v>
      </c>
      <c r="S491" t="str">
        <f t="shared" si="55"/>
        <v>Very High</v>
      </c>
    </row>
    <row r="492" spans="1:19" x14ac:dyDescent="0.3">
      <c r="A492">
        <v>491</v>
      </c>
      <c r="B492" t="s">
        <v>29</v>
      </c>
      <c r="C492">
        <v>2018</v>
      </c>
      <c r="D492">
        <v>97197</v>
      </c>
      <c r="E492" t="s">
        <v>26</v>
      </c>
      <c r="F492" t="s">
        <v>18</v>
      </c>
      <c r="G492" t="s">
        <v>15</v>
      </c>
      <c r="H492">
        <v>3769</v>
      </c>
      <c r="I492">
        <v>581.29999999999995</v>
      </c>
      <c r="J492" s="2">
        <v>13.23</v>
      </c>
      <c r="K492">
        <v>2</v>
      </c>
      <c r="L492" s="1">
        <v>105186.8</v>
      </c>
      <c r="M492">
        <f t="shared" si="49"/>
        <v>6</v>
      </c>
      <c r="N492">
        <f t="shared" si="50"/>
        <v>17531.133333333335</v>
      </c>
      <c r="O492">
        <f t="shared" si="51"/>
        <v>16199.5</v>
      </c>
      <c r="P492">
        <f t="shared" si="52"/>
        <v>154.23189174847437</v>
      </c>
      <c r="Q492" t="str">
        <f t="shared" si="53"/>
        <v>Recent (4-7 years)</v>
      </c>
      <c r="R492" t="str">
        <f t="shared" si="54"/>
        <v>Low</v>
      </c>
      <c r="S492" t="str">
        <f t="shared" si="55"/>
        <v>Very High</v>
      </c>
    </row>
    <row r="493" spans="1:19" x14ac:dyDescent="0.3">
      <c r="A493">
        <v>492</v>
      </c>
      <c r="B493" t="s">
        <v>12</v>
      </c>
      <c r="C493">
        <v>2019</v>
      </c>
      <c r="D493">
        <v>69429</v>
      </c>
      <c r="E493" t="s">
        <v>13</v>
      </c>
      <c r="F493" t="s">
        <v>18</v>
      </c>
      <c r="G493" t="s">
        <v>15</v>
      </c>
      <c r="H493">
        <v>1703</v>
      </c>
      <c r="I493">
        <v>288.3</v>
      </c>
      <c r="J493" s="2">
        <v>12.86</v>
      </c>
      <c r="K493">
        <v>4</v>
      </c>
      <c r="L493" s="1">
        <v>49213.86</v>
      </c>
      <c r="M493">
        <f t="shared" si="49"/>
        <v>5</v>
      </c>
      <c r="N493">
        <f t="shared" si="50"/>
        <v>9842.7720000000008</v>
      </c>
      <c r="O493">
        <f t="shared" si="51"/>
        <v>13885.8</v>
      </c>
      <c r="P493">
        <f t="shared" si="52"/>
        <v>169.28948913681739</v>
      </c>
      <c r="Q493" t="str">
        <f t="shared" si="53"/>
        <v>Recent (4-7 years)</v>
      </c>
      <c r="R493" t="str">
        <f t="shared" si="54"/>
        <v>Low</v>
      </c>
      <c r="S493" t="str">
        <f t="shared" si="55"/>
        <v>Very High</v>
      </c>
    </row>
    <row r="494" spans="1:19" x14ac:dyDescent="0.3">
      <c r="A494">
        <v>493</v>
      </c>
      <c r="B494" t="s">
        <v>19</v>
      </c>
      <c r="C494">
        <v>2016</v>
      </c>
      <c r="D494">
        <v>109195</v>
      </c>
      <c r="E494" t="s">
        <v>17</v>
      </c>
      <c r="F494" t="s">
        <v>18</v>
      </c>
      <c r="G494" t="s">
        <v>23</v>
      </c>
      <c r="H494">
        <v>2341</v>
      </c>
      <c r="I494">
        <v>219.8</v>
      </c>
      <c r="J494" s="2">
        <v>17.8</v>
      </c>
      <c r="K494">
        <v>7</v>
      </c>
      <c r="L494" s="1">
        <v>42196</v>
      </c>
      <c r="M494">
        <f t="shared" si="49"/>
        <v>8</v>
      </c>
      <c r="N494">
        <f t="shared" si="50"/>
        <v>5274.5</v>
      </c>
      <c r="O494">
        <f t="shared" si="51"/>
        <v>13649.375</v>
      </c>
      <c r="P494">
        <f t="shared" si="52"/>
        <v>93.891499359248186</v>
      </c>
      <c r="Q494" t="str">
        <f t="shared" si="53"/>
        <v>Mature (8-12 years)</v>
      </c>
      <c r="R494" t="str">
        <f t="shared" si="54"/>
        <v>Average</v>
      </c>
      <c r="S494" t="str">
        <f t="shared" si="55"/>
        <v>Very High</v>
      </c>
    </row>
    <row r="495" spans="1:19" x14ac:dyDescent="0.3">
      <c r="A495">
        <v>494</v>
      </c>
      <c r="B495" t="s">
        <v>12</v>
      </c>
      <c r="C495">
        <v>2008</v>
      </c>
      <c r="D495">
        <v>197699</v>
      </c>
      <c r="E495" t="s">
        <v>26</v>
      </c>
      <c r="F495" t="s">
        <v>14</v>
      </c>
      <c r="G495" t="s">
        <v>20</v>
      </c>
      <c r="H495">
        <v>4303</v>
      </c>
      <c r="I495">
        <v>334.6</v>
      </c>
      <c r="J495" s="2">
        <v>28.52</v>
      </c>
      <c r="K495">
        <v>4</v>
      </c>
      <c r="L495" s="1">
        <v>27252.06</v>
      </c>
      <c r="M495">
        <f t="shared" si="49"/>
        <v>16</v>
      </c>
      <c r="N495">
        <f t="shared" si="50"/>
        <v>1703.2537500000001</v>
      </c>
      <c r="O495">
        <f t="shared" si="51"/>
        <v>12356.1875</v>
      </c>
      <c r="P495">
        <f t="shared" si="52"/>
        <v>77.759702533116439</v>
      </c>
      <c r="Q495" t="str">
        <f t="shared" si="53"/>
        <v>Old (12+ years)</v>
      </c>
      <c r="R495" t="str">
        <f t="shared" si="54"/>
        <v>Excellent</v>
      </c>
      <c r="S495" t="str">
        <f t="shared" si="55"/>
        <v>Very High</v>
      </c>
    </row>
    <row r="496" spans="1:19" x14ac:dyDescent="0.3">
      <c r="A496">
        <v>495</v>
      </c>
      <c r="B496" t="s">
        <v>21</v>
      </c>
      <c r="C496">
        <v>2007</v>
      </c>
      <c r="D496">
        <v>38848</v>
      </c>
      <c r="E496" t="s">
        <v>26</v>
      </c>
      <c r="F496" t="s">
        <v>14</v>
      </c>
      <c r="G496" t="s">
        <v>15</v>
      </c>
      <c r="H496">
        <v>3453</v>
      </c>
      <c r="I496">
        <v>425.2</v>
      </c>
      <c r="J496" s="2">
        <v>6.19</v>
      </c>
      <c r="K496">
        <v>2</v>
      </c>
      <c r="L496" s="1">
        <v>47202.23</v>
      </c>
      <c r="M496">
        <f t="shared" si="49"/>
        <v>17</v>
      </c>
      <c r="N496">
        <f t="shared" si="50"/>
        <v>2776.6017647058825</v>
      </c>
      <c r="O496">
        <f t="shared" si="51"/>
        <v>2285.1764705882351</v>
      </c>
      <c r="P496">
        <f t="shared" si="52"/>
        <v>123.1392991601506</v>
      </c>
      <c r="Q496" t="str">
        <f t="shared" si="53"/>
        <v>Old (12+ years)</v>
      </c>
      <c r="R496" t="str">
        <f t="shared" si="54"/>
        <v>Low</v>
      </c>
      <c r="S496" t="str">
        <f t="shared" si="55"/>
        <v>Very High</v>
      </c>
    </row>
    <row r="497" spans="1:19" x14ac:dyDescent="0.3">
      <c r="A497">
        <v>496</v>
      </c>
      <c r="B497" t="s">
        <v>29</v>
      </c>
      <c r="C497">
        <v>2024</v>
      </c>
      <c r="D497">
        <v>173876</v>
      </c>
      <c r="E497" t="s">
        <v>26</v>
      </c>
      <c r="F497" t="s">
        <v>14</v>
      </c>
      <c r="G497" t="s">
        <v>15</v>
      </c>
      <c r="H497">
        <v>3276</v>
      </c>
      <c r="I497">
        <v>193.1</v>
      </c>
      <c r="J497" s="2">
        <v>13.81</v>
      </c>
      <c r="K497">
        <v>5</v>
      </c>
      <c r="L497" s="1">
        <v>40052.07</v>
      </c>
      <c r="M497">
        <f t="shared" si="49"/>
        <v>0</v>
      </c>
      <c r="N497">
        <f t="shared" si="50"/>
        <v>40052.07</v>
      </c>
      <c r="O497">
        <f t="shared" si="51"/>
        <v>173876</v>
      </c>
      <c r="P497">
        <f t="shared" si="52"/>
        <v>58.943833943833944</v>
      </c>
      <c r="Q497" t="str">
        <f t="shared" si="53"/>
        <v>New (0-3 years)</v>
      </c>
      <c r="R497" t="str">
        <f t="shared" si="54"/>
        <v>Low</v>
      </c>
      <c r="S497" t="str">
        <f t="shared" si="55"/>
        <v>High</v>
      </c>
    </row>
    <row r="498" spans="1:19" x14ac:dyDescent="0.3">
      <c r="A498">
        <v>497</v>
      </c>
      <c r="B498" t="s">
        <v>12</v>
      </c>
      <c r="C498">
        <v>2016</v>
      </c>
      <c r="D498">
        <v>151451</v>
      </c>
      <c r="E498" t="s">
        <v>26</v>
      </c>
      <c r="F498" t="s">
        <v>18</v>
      </c>
      <c r="G498" t="s">
        <v>23</v>
      </c>
      <c r="H498">
        <v>4140</v>
      </c>
      <c r="I498">
        <v>452.4</v>
      </c>
      <c r="J498" s="2">
        <v>26.41</v>
      </c>
      <c r="K498">
        <v>6</v>
      </c>
      <c r="L498" s="1">
        <v>82244.56</v>
      </c>
      <c r="M498">
        <f t="shared" si="49"/>
        <v>8</v>
      </c>
      <c r="N498">
        <f t="shared" si="50"/>
        <v>10280.57</v>
      </c>
      <c r="O498">
        <f t="shared" si="51"/>
        <v>18931.375</v>
      </c>
      <c r="P498">
        <f t="shared" si="52"/>
        <v>109.27536231884058</v>
      </c>
      <c r="Q498" t="str">
        <f t="shared" si="53"/>
        <v>Mature (8-12 years)</v>
      </c>
      <c r="R498" t="str">
        <f t="shared" si="54"/>
        <v>Excellent</v>
      </c>
      <c r="S498" t="str">
        <f t="shared" si="55"/>
        <v>Very High</v>
      </c>
    </row>
    <row r="499" spans="1:19" x14ac:dyDescent="0.3">
      <c r="A499">
        <v>498</v>
      </c>
      <c r="B499" t="s">
        <v>12</v>
      </c>
      <c r="C499">
        <v>2011</v>
      </c>
      <c r="D499">
        <v>195736</v>
      </c>
      <c r="E499" t="s">
        <v>17</v>
      </c>
      <c r="F499" t="s">
        <v>14</v>
      </c>
      <c r="G499" t="s">
        <v>23</v>
      </c>
      <c r="H499">
        <v>1941</v>
      </c>
      <c r="I499">
        <v>68.900000000000006</v>
      </c>
      <c r="J499" s="2">
        <v>14.9</v>
      </c>
      <c r="K499">
        <v>7</v>
      </c>
      <c r="L499" s="1">
        <v>36881.18</v>
      </c>
      <c r="M499">
        <f t="shared" si="49"/>
        <v>13</v>
      </c>
      <c r="N499">
        <f t="shared" si="50"/>
        <v>2837.0138461538463</v>
      </c>
      <c r="O499">
        <f t="shared" si="51"/>
        <v>15056.615384615385</v>
      </c>
      <c r="P499">
        <f t="shared" si="52"/>
        <v>35.497166409067496</v>
      </c>
      <c r="Q499" t="str">
        <f t="shared" si="53"/>
        <v>Old (12+ years)</v>
      </c>
      <c r="R499" t="str">
        <f t="shared" si="54"/>
        <v>Low</v>
      </c>
      <c r="S499" t="str">
        <f t="shared" si="55"/>
        <v>Low</v>
      </c>
    </row>
    <row r="500" spans="1:19" x14ac:dyDescent="0.3">
      <c r="A500">
        <v>499</v>
      </c>
      <c r="B500" t="s">
        <v>30</v>
      </c>
      <c r="C500">
        <v>2015</v>
      </c>
      <c r="D500">
        <v>32766</v>
      </c>
      <c r="E500" t="s">
        <v>26</v>
      </c>
      <c r="F500" t="s">
        <v>18</v>
      </c>
      <c r="G500" t="s">
        <v>20</v>
      </c>
      <c r="H500">
        <v>1649</v>
      </c>
      <c r="I500">
        <v>67.599999999999994</v>
      </c>
      <c r="J500" s="2">
        <v>9.98</v>
      </c>
      <c r="K500">
        <v>4</v>
      </c>
      <c r="L500" s="1">
        <v>70532.37</v>
      </c>
      <c r="M500">
        <f t="shared" si="49"/>
        <v>9</v>
      </c>
      <c r="N500">
        <f t="shared" si="50"/>
        <v>7836.9299999999994</v>
      </c>
      <c r="O500">
        <f t="shared" si="51"/>
        <v>3640.6666666666665</v>
      </c>
      <c r="P500">
        <f t="shared" si="52"/>
        <v>40.994542146755606</v>
      </c>
      <c r="Q500" t="str">
        <f t="shared" si="53"/>
        <v>Mature (8-12 years)</v>
      </c>
      <c r="R500" t="str">
        <f t="shared" si="54"/>
        <v>Low</v>
      </c>
      <c r="S500" t="str">
        <f t="shared" si="55"/>
        <v>Low</v>
      </c>
    </row>
    <row r="501" spans="1:19" x14ac:dyDescent="0.3">
      <c r="A501">
        <v>500</v>
      </c>
      <c r="B501" t="s">
        <v>25</v>
      </c>
      <c r="C501">
        <v>2005</v>
      </c>
      <c r="D501">
        <v>73099</v>
      </c>
      <c r="E501" t="s">
        <v>22</v>
      </c>
      <c r="F501" t="s">
        <v>18</v>
      </c>
      <c r="G501" t="s">
        <v>23</v>
      </c>
      <c r="H501">
        <v>1166</v>
      </c>
      <c r="I501">
        <v>256.3</v>
      </c>
      <c r="J501" s="2">
        <v>15.62</v>
      </c>
      <c r="K501">
        <v>2</v>
      </c>
      <c r="L501" s="1">
        <v>10709.38</v>
      </c>
      <c r="M501">
        <f t="shared" si="49"/>
        <v>19</v>
      </c>
      <c r="N501">
        <f t="shared" si="50"/>
        <v>563.65157894736842</v>
      </c>
      <c r="O501">
        <f t="shared" si="51"/>
        <v>3847.3157894736842</v>
      </c>
      <c r="P501">
        <f t="shared" si="52"/>
        <v>219.811320754717</v>
      </c>
      <c r="Q501" t="str">
        <f t="shared" si="53"/>
        <v>Old (12+ years)</v>
      </c>
      <c r="R501" t="str">
        <f t="shared" si="54"/>
        <v>Average</v>
      </c>
      <c r="S501" t="str">
        <f t="shared" si="55"/>
        <v>Very High</v>
      </c>
    </row>
    <row r="502" spans="1:19" x14ac:dyDescent="0.3">
      <c r="A502">
        <v>501</v>
      </c>
      <c r="B502" t="s">
        <v>30</v>
      </c>
      <c r="C502">
        <v>2010</v>
      </c>
      <c r="D502">
        <v>172132</v>
      </c>
      <c r="E502" t="s">
        <v>26</v>
      </c>
      <c r="F502" t="s">
        <v>14</v>
      </c>
      <c r="G502" t="s">
        <v>20</v>
      </c>
      <c r="H502">
        <v>3697</v>
      </c>
      <c r="I502">
        <v>237.9</v>
      </c>
      <c r="J502" s="2">
        <v>14.64</v>
      </c>
      <c r="K502">
        <v>2</v>
      </c>
      <c r="L502" s="1">
        <v>25380.83</v>
      </c>
      <c r="M502">
        <f t="shared" si="49"/>
        <v>14</v>
      </c>
      <c r="N502">
        <f t="shared" si="50"/>
        <v>1812.9164285714287</v>
      </c>
      <c r="O502">
        <f t="shared" si="51"/>
        <v>12295.142857142857</v>
      </c>
      <c r="P502">
        <f t="shared" si="52"/>
        <v>64.349472545307009</v>
      </c>
      <c r="Q502" t="str">
        <f t="shared" si="53"/>
        <v>Old (12+ years)</v>
      </c>
      <c r="R502" t="str">
        <f t="shared" si="54"/>
        <v>Low</v>
      </c>
      <c r="S502" t="str">
        <f t="shared" si="55"/>
        <v>Very High</v>
      </c>
    </row>
    <row r="503" spans="1:19" x14ac:dyDescent="0.3">
      <c r="A503">
        <v>502</v>
      </c>
      <c r="B503" t="s">
        <v>29</v>
      </c>
      <c r="C503">
        <v>2019</v>
      </c>
      <c r="D503">
        <v>74122</v>
      </c>
      <c r="E503" t="s">
        <v>17</v>
      </c>
      <c r="F503" t="s">
        <v>14</v>
      </c>
      <c r="G503" t="s">
        <v>15</v>
      </c>
      <c r="H503">
        <v>1889</v>
      </c>
      <c r="I503">
        <v>216.8</v>
      </c>
      <c r="J503" s="2">
        <v>27.89</v>
      </c>
      <c r="K503">
        <v>6</v>
      </c>
      <c r="L503" s="1">
        <v>50666.42</v>
      </c>
      <c r="M503">
        <f t="shared" si="49"/>
        <v>5</v>
      </c>
      <c r="N503">
        <f t="shared" si="50"/>
        <v>10133.284</v>
      </c>
      <c r="O503">
        <f t="shared" si="51"/>
        <v>14824.4</v>
      </c>
      <c r="P503">
        <f t="shared" si="52"/>
        <v>114.76971942826893</v>
      </c>
      <c r="Q503" t="str">
        <f t="shared" si="53"/>
        <v>Recent (4-7 years)</v>
      </c>
      <c r="R503" t="str">
        <f t="shared" si="54"/>
        <v>Excellent</v>
      </c>
      <c r="S503" t="str">
        <f t="shared" si="55"/>
        <v>Very High</v>
      </c>
    </row>
    <row r="504" spans="1:19" x14ac:dyDescent="0.3">
      <c r="A504">
        <v>503</v>
      </c>
      <c r="B504" t="s">
        <v>29</v>
      </c>
      <c r="C504">
        <v>2019</v>
      </c>
      <c r="D504">
        <v>152159</v>
      </c>
      <c r="E504" t="s">
        <v>26</v>
      </c>
      <c r="F504" t="s">
        <v>18</v>
      </c>
      <c r="G504" t="s">
        <v>15</v>
      </c>
      <c r="H504">
        <v>4841</v>
      </c>
      <c r="I504">
        <v>315</v>
      </c>
      <c r="J504" s="2">
        <v>24.05</v>
      </c>
      <c r="K504">
        <v>2</v>
      </c>
      <c r="L504" s="1">
        <v>112623.06</v>
      </c>
      <c r="M504">
        <f t="shared" si="49"/>
        <v>5</v>
      </c>
      <c r="N504">
        <f t="shared" si="50"/>
        <v>22524.612000000001</v>
      </c>
      <c r="O504">
        <f t="shared" si="51"/>
        <v>30431.8</v>
      </c>
      <c r="P504">
        <f t="shared" si="52"/>
        <v>65.069200578392895</v>
      </c>
      <c r="Q504" t="str">
        <f t="shared" si="53"/>
        <v>Recent (4-7 years)</v>
      </c>
      <c r="R504" t="str">
        <f t="shared" si="54"/>
        <v>Good</v>
      </c>
      <c r="S504" t="str">
        <f t="shared" si="55"/>
        <v>Very High</v>
      </c>
    </row>
    <row r="505" spans="1:19" x14ac:dyDescent="0.3">
      <c r="A505">
        <v>504</v>
      </c>
      <c r="B505" t="s">
        <v>16</v>
      </c>
      <c r="C505">
        <v>2023</v>
      </c>
      <c r="D505">
        <v>53868</v>
      </c>
      <c r="E505" t="s">
        <v>22</v>
      </c>
      <c r="F505" t="s">
        <v>18</v>
      </c>
      <c r="G505" t="s">
        <v>20</v>
      </c>
      <c r="H505">
        <v>2838</v>
      </c>
      <c r="I505">
        <v>219.6</v>
      </c>
      <c r="J505" s="2">
        <v>17.63</v>
      </c>
      <c r="K505">
        <v>2</v>
      </c>
      <c r="L505" s="1">
        <v>47138.48</v>
      </c>
      <c r="M505">
        <f t="shared" si="49"/>
        <v>1</v>
      </c>
      <c r="N505">
        <f t="shared" si="50"/>
        <v>47138.48</v>
      </c>
      <c r="O505">
        <f t="shared" si="51"/>
        <v>53868</v>
      </c>
      <c r="P505">
        <f t="shared" si="52"/>
        <v>77.378435517970402</v>
      </c>
      <c r="Q505" t="str">
        <f t="shared" si="53"/>
        <v>New (0-3 years)</v>
      </c>
      <c r="R505" t="str">
        <f t="shared" si="54"/>
        <v>Average</v>
      </c>
      <c r="S505" t="str">
        <f t="shared" si="55"/>
        <v>Very High</v>
      </c>
    </row>
    <row r="506" spans="1:19" x14ac:dyDescent="0.3">
      <c r="A506">
        <v>505</v>
      </c>
      <c r="B506" t="s">
        <v>30</v>
      </c>
      <c r="C506">
        <v>2015</v>
      </c>
      <c r="D506">
        <v>124119</v>
      </c>
      <c r="E506" t="s">
        <v>17</v>
      </c>
      <c r="F506" t="s">
        <v>14</v>
      </c>
      <c r="G506" t="s">
        <v>23</v>
      </c>
      <c r="H506">
        <v>3660</v>
      </c>
      <c r="I506">
        <v>147.69999999999999</v>
      </c>
      <c r="J506" s="2">
        <v>29.71</v>
      </c>
      <c r="K506">
        <v>6</v>
      </c>
      <c r="L506" s="1">
        <v>80696.67</v>
      </c>
      <c r="M506">
        <f t="shared" si="49"/>
        <v>9</v>
      </c>
      <c r="N506">
        <f t="shared" si="50"/>
        <v>8966.2966666666671</v>
      </c>
      <c r="O506">
        <f t="shared" si="51"/>
        <v>13791</v>
      </c>
      <c r="P506">
        <f t="shared" si="52"/>
        <v>40.355191256830594</v>
      </c>
      <c r="Q506" t="str">
        <f t="shared" si="53"/>
        <v>Mature (8-12 years)</v>
      </c>
      <c r="R506" t="str">
        <f t="shared" si="54"/>
        <v>Excellent</v>
      </c>
      <c r="S506" t="str">
        <f t="shared" si="55"/>
        <v>Medium</v>
      </c>
    </row>
    <row r="507" spans="1:19" x14ac:dyDescent="0.3">
      <c r="A507">
        <v>506</v>
      </c>
      <c r="B507" t="s">
        <v>27</v>
      </c>
      <c r="C507">
        <v>2006</v>
      </c>
      <c r="D507">
        <v>159297</v>
      </c>
      <c r="E507" t="s">
        <v>17</v>
      </c>
      <c r="F507" t="s">
        <v>14</v>
      </c>
      <c r="G507" t="s">
        <v>20</v>
      </c>
      <c r="H507">
        <v>2654</v>
      </c>
      <c r="I507">
        <v>213.3</v>
      </c>
      <c r="J507" s="2">
        <v>16.63</v>
      </c>
      <c r="K507">
        <v>7</v>
      </c>
      <c r="L507" s="1">
        <v>32845.21</v>
      </c>
      <c r="M507">
        <f t="shared" si="49"/>
        <v>18</v>
      </c>
      <c r="N507">
        <f t="shared" si="50"/>
        <v>1824.7338888888889</v>
      </c>
      <c r="O507">
        <f t="shared" si="51"/>
        <v>8849.8333333333339</v>
      </c>
      <c r="P507">
        <f t="shared" si="52"/>
        <v>80.369253956292397</v>
      </c>
      <c r="Q507" t="str">
        <f t="shared" si="53"/>
        <v>Old (12+ years)</v>
      </c>
      <c r="R507" t="str">
        <f t="shared" si="54"/>
        <v>Average</v>
      </c>
      <c r="S507" t="str">
        <f t="shared" si="55"/>
        <v>Very High</v>
      </c>
    </row>
    <row r="508" spans="1:19" x14ac:dyDescent="0.3">
      <c r="A508">
        <v>507</v>
      </c>
      <c r="B508" t="s">
        <v>25</v>
      </c>
      <c r="C508">
        <v>2018</v>
      </c>
      <c r="D508">
        <v>100286</v>
      </c>
      <c r="E508" t="s">
        <v>22</v>
      </c>
      <c r="F508" t="s">
        <v>14</v>
      </c>
      <c r="G508" t="s">
        <v>23</v>
      </c>
      <c r="H508">
        <v>1294</v>
      </c>
      <c r="I508">
        <v>585.9</v>
      </c>
      <c r="J508" s="2">
        <v>6.46</v>
      </c>
      <c r="K508">
        <v>5</v>
      </c>
      <c r="L508" s="1">
        <v>17862.93</v>
      </c>
      <c r="M508">
        <f t="shared" si="49"/>
        <v>6</v>
      </c>
      <c r="N508">
        <f t="shared" si="50"/>
        <v>2977.1550000000002</v>
      </c>
      <c r="O508">
        <f t="shared" si="51"/>
        <v>16714.333333333332</v>
      </c>
      <c r="P508">
        <f t="shared" si="52"/>
        <v>452.78207109737247</v>
      </c>
      <c r="Q508" t="str">
        <f t="shared" si="53"/>
        <v>Recent (4-7 years)</v>
      </c>
      <c r="R508" t="str">
        <f t="shared" si="54"/>
        <v>Low</v>
      </c>
      <c r="S508" t="str">
        <f t="shared" si="55"/>
        <v>Very High</v>
      </c>
    </row>
    <row r="509" spans="1:19" x14ac:dyDescent="0.3">
      <c r="A509">
        <v>508</v>
      </c>
      <c r="B509" t="s">
        <v>29</v>
      </c>
      <c r="C509">
        <v>2006</v>
      </c>
      <c r="D509">
        <v>11643</v>
      </c>
      <c r="E509" t="s">
        <v>22</v>
      </c>
      <c r="F509" t="s">
        <v>18</v>
      </c>
      <c r="G509" t="s">
        <v>15</v>
      </c>
      <c r="H509">
        <v>3982</v>
      </c>
      <c r="I509">
        <v>270.2</v>
      </c>
      <c r="J509" s="2">
        <v>11.56</v>
      </c>
      <c r="K509">
        <v>5</v>
      </c>
      <c r="L509" s="1">
        <v>9848.7800000000007</v>
      </c>
      <c r="M509">
        <f t="shared" si="49"/>
        <v>18</v>
      </c>
      <c r="N509">
        <f t="shared" si="50"/>
        <v>547.15444444444449</v>
      </c>
      <c r="O509">
        <f t="shared" si="51"/>
        <v>646.83333333333337</v>
      </c>
      <c r="P509">
        <f t="shared" si="52"/>
        <v>67.855349070818676</v>
      </c>
      <c r="Q509" t="str">
        <f t="shared" si="53"/>
        <v>Old (12+ years)</v>
      </c>
      <c r="R509" t="str">
        <f t="shared" si="54"/>
        <v>Low</v>
      </c>
      <c r="S509" t="str">
        <f t="shared" si="55"/>
        <v>Very High</v>
      </c>
    </row>
    <row r="510" spans="1:19" x14ac:dyDescent="0.3">
      <c r="A510">
        <v>509</v>
      </c>
      <c r="B510" t="s">
        <v>16</v>
      </c>
      <c r="C510">
        <v>2008</v>
      </c>
      <c r="D510">
        <v>41727</v>
      </c>
      <c r="E510" t="s">
        <v>22</v>
      </c>
      <c r="F510" t="s">
        <v>18</v>
      </c>
      <c r="G510" t="s">
        <v>23</v>
      </c>
      <c r="H510">
        <v>2584</v>
      </c>
      <c r="I510">
        <v>289</v>
      </c>
      <c r="J510" s="2">
        <v>15.9</v>
      </c>
      <c r="K510">
        <v>4</v>
      </c>
      <c r="L510" s="1">
        <v>38733.379999999997</v>
      </c>
      <c r="M510">
        <f t="shared" si="49"/>
        <v>16</v>
      </c>
      <c r="N510">
        <f t="shared" si="50"/>
        <v>2420.8362499999998</v>
      </c>
      <c r="O510">
        <f t="shared" si="51"/>
        <v>2607.9375</v>
      </c>
      <c r="P510">
        <f t="shared" si="52"/>
        <v>111.84210526315789</v>
      </c>
      <c r="Q510" t="str">
        <f t="shared" si="53"/>
        <v>Old (12+ years)</v>
      </c>
      <c r="R510" t="str">
        <f t="shared" si="54"/>
        <v>Average</v>
      </c>
      <c r="S510" t="str">
        <f t="shared" si="55"/>
        <v>Very High</v>
      </c>
    </row>
    <row r="511" spans="1:19" x14ac:dyDescent="0.3">
      <c r="A511">
        <v>510</v>
      </c>
      <c r="B511" t="s">
        <v>30</v>
      </c>
      <c r="C511">
        <v>2021</v>
      </c>
      <c r="D511">
        <v>147077</v>
      </c>
      <c r="E511" t="s">
        <v>22</v>
      </c>
      <c r="F511" t="s">
        <v>18</v>
      </c>
      <c r="G511" t="s">
        <v>20</v>
      </c>
      <c r="H511">
        <v>4310</v>
      </c>
      <c r="I511">
        <v>362.9</v>
      </c>
      <c r="J511" s="2">
        <v>8.92</v>
      </c>
      <c r="K511">
        <v>7</v>
      </c>
      <c r="L511" s="1">
        <v>21446.34</v>
      </c>
      <c r="M511">
        <f t="shared" si="49"/>
        <v>3</v>
      </c>
      <c r="N511">
        <f t="shared" si="50"/>
        <v>7148.78</v>
      </c>
      <c r="O511">
        <f t="shared" si="51"/>
        <v>49025.666666666664</v>
      </c>
      <c r="P511">
        <f t="shared" si="52"/>
        <v>84.199535962877036</v>
      </c>
      <c r="Q511" t="str">
        <f t="shared" si="53"/>
        <v>New (0-3 years)</v>
      </c>
      <c r="R511" t="str">
        <f t="shared" si="54"/>
        <v>Low</v>
      </c>
      <c r="S511" t="str">
        <f t="shared" si="55"/>
        <v>Very High</v>
      </c>
    </row>
    <row r="512" spans="1:19" x14ac:dyDescent="0.3">
      <c r="A512">
        <v>511</v>
      </c>
      <c r="B512" t="s">
        <v>25</v>
      </c>
      <c r="C512">
        <v>2007</v>
      </c>
      <c r="D512">
        <v>114079</v>
      </c>
      <c r="E512" t="s">
        <v>22</v>
      </c>
      <c r="F512" t="s">
        <v>18</v>
      </c>
      <c r="G512" t="s">
        <v>20</v>
      </c>
      <c r="H512">
        <v>4586</v>
      </c>
      <c r="I512">
        <v>590.70000000000005</v>
      </c>
      <c r="J512" s="2">
        <v>28.69</v>
      </c>
      <c r="K512">
        <v>4</v>
      </c>
      <c r="L512" s="1">
        <v>23359.22</v>
      </c>
      <c r="M512">
        <f t="shared" si="49"/>
        <v>17</v>
      </c>
      <c r="N512">
        <f t="shared" si="50"/>
        <v>1374.0717647058825</v>
      </c>
      <c r="O512">
        <f t="shared" si="51"/>
        <v>6710.5294117647063</v>
      </c>
      <c r="P512">
        <f t="shared" si="52"/>
        <v>128.80505887483645</v>
      </c>
      <c r="Q512" t="str">
        <f t="shared" si="53"/>
        <v>Old (12+ years)</v>
      </c>
      <c r="R512" t="str">
        <f t="shared" si="54"/>
        <v>Excellent</v>
      </c>
      <c r="S512" t="str">
        <f t="shared" si="55"/>
        <v>Very High</v>
      </c>
    </row>
    <row r="513" spans="1:19" x14ac:dyDescent="0.3">
      <c r="A513">
        <v>512</v>
      </c>
      <c r="B513" t="s">
        <v>30</v>
      </c>
      <c r="C513">
        <v>2017</v>
      </c>
      <c r="D513">
        <v>70697</v>
      </c>
      <c r="E513" t="s">
        <v>17</v>
      </c>
      <c r="F513" t="s">
        <v>18</v>
      </c>
      <c r="G513" t="s">
        <v>15</v>
      </c>
      <c r="H513">
        <v>4930</v>
      </c>
      <c r="I513">
        <v>175.3</v>
      </c>
      <c r="J513" s="2">
        <v>24.17</v>
      </c>
      <c r="K513">
        <v>5</v>
      </c>
      <c r="L513" s="1">
        <v>92008.84</v>
      </c>
      <c r="M513">
        <f t="shared" si="49"/>
        <v>7</v>
      </c>
      <c r="N513">
        <f t="shared" si="50"/>
        <v>13144.119999999999</v>
      </c>
      <c r="O513">
        <f t="shared" si="51"/>
        <v>10099.571428571429</v>
      </c>
      <c r="P513">
        <f t="shared" si="52"/>
        <v>35.557809330628807</v>
      </c>
      <c r="Q513" t="str">
        <f t="shared" si="53"/>
        <v>Recent (4-7 years)</v>
      </c>
      <c r="R513" t="str">
        <f t="shared" si="54"/>
        <v>Good</v>
      </c>
      <c r="S513" t="str">
        <f t="shared" si="55"/>
        <v>High</v>
      </c>
    </row>
    <row r="514" spans="1:19" x14ac:dyDescent="0.3">
      <c r="A514">
        <v>513</v>
      </c>
      <c r="B514" t="s">
        <v>12</v>
      </c>
      <c r="C514">
        <v>2013</v>
      </c>
      <c r="D514">
        <v>21029</v>
      </c>
      <c r="E514" t="s">
        <v>17</v>
      </c>
      <c r="F514" t="s">
        <v>14</v>
      </c>
      <c r="G514" t="s">
        <v>23</v>
      </c>
      <c r="H514">
        <v>1798</v>
      </c>
      <c r="I514">
        <v>421.5</v>
      </c>
      <c r="J514" s="2">
        <v>11.71</v>
      </c>
      <c r="K514">
        <v>6</v>
      </c>
      <c r="L514" s="1">
        <v>4853.05</v>
      </c>
      <c r="M514">
        <f t="shared" si="49"/>
        <v>11</v>
      </c>
      <c r="N514">
        <f t="shared" si="50"/>
        <v>441.18636363636364</v>
      </c>
      <c r="O514">
        <f t="shared" si="51"/>
        <v>1911.7272727272727</v>
      </c>
      <c r="P514">
        <f t="shared" si="52"/>
        <v>234.42714126807564</v>
      </c>
      <c r="Q514" t="str">
        <f t="shared" si="53"/>
        <v>Mature (8-12 years)</v>
      </c>
      <c r="R514" t="str">
        <f t="shared" si="54"/>
        <v>Low</v>
      </c>
      <c r="S514" t="str">
        <f t="shared" si="55"/>
        <v>Very High</v>
      </c>
    </row>
    <row r="515" spans="1:19" x14ac:dyDescent="0.3">
      <c r="A515">
        <v>514</v>
      </c>
      <c r="B515" t="s">
        <v>16</v>
      </c>
      <c r="C515">
        <v>2011</v>
      </c>
      <c r="D515">
        <v>150298</v>
      </c>
      <c r="E515" t="s">
        <v>26</v>
      </c>
      <c r="F515" t="s">
        <v>14</v>
      </c>
      <c r="G515" t="s">
        <v>23</v>
      </c>
      <c r="H515">
        <v>2251</v>
      </c>
      <c r="I515">
        <v>441</v>
      </c>
      <c r="J515" s="2">
        <v>19.77</v>
      </c>
      <c r="K515">
        <v>2</v>
      </c>
      <c r="L515" s="1">
        <v>68263.78</v>
      </c>
      <c r="M515">
        <f t="shared" ref="M515:M578" si="56">2024-C515</f>
        <v>13</v>
      </c>
      <c r="N515">
        <f t="shared" ref="N515:N578" si="57">IF(M515&gt;0, L515/M515, L515)</f>
        <v>5251.0599999999995</v>
      </c>
      <c r="O515">
        <f t="shared" ref="O515:O578" si="58">IF(M515&gt;0, D515/M515, D515)</f>
        <v>11561.384615384615</v>
      </c>
      <c r="P515">
        <f t="shared" ref="P515:P578" si="59">IF(H515&gt;0, I515/(H515/1000), 0)</f>
        <v>195.91292758773878</v>
      </c>
      <c r="Q515" t="str">
        <f t="shared" ref="Q515:Q578" si="60">IF(M515&lt;=3, "New (0-3 years)",
   IF(M515&lt;=7, "Recent (4-7 years)",
   IF(M515&lt;=12, "Mature (8-12 years)",
   "Old (12+ years)")))</f>
        <v>Old (12+ years)</v>
      </c>
      <c r="R515" t="str">
        <f t="shared" ref="R515:R578" si="61">IF(J515&gt;=25, "Excellent",
   IF(J515&gt;=20, "Good",
   IF(J515&gt;=15, "Average",
   "Low")))</f>
        <v>Average</v>
      </c>
      <c r="S515" t="str">
        <f t="shared" ref="S515:S578" si="62">IF(I515&gt;=200, "Very High",
   IF(I515&gt;=150, "High",
   IF(I515&gt;=100, "Medium",
   "Low")))</f>
        <v>Very High</v>
      </c>
    </row>
    <row r="516" spans="1:19" x14ac:dyDescent="0.3">
      <c r="A516">
        <v>515</v>
      </c>
      <c r="B516" t="s">
        <v>25</v>
      </c>
      <c r="C516">
        <v>2019</v>
      </c>
      <c r="D516">
        <v>199718</v>
      </c>
      <c r="E516" t="s">
        <v>26</v>
      </c>
      <c r="F516" t="s">
        <v>18</v>
      </c>
      <c r="G516" t="s">
        <v>23</v>
      </c>
      <c r="H516">
        <v>2551</v>
      </c>
      <c r="I516">
        <v>380.1</v>
      </c>
      <c r="J516" s="2">
        <v>23.04</v>
      </c>
      <c r="K516">
        <v>5</v>
      </c>
      <c r="L516" s="1">
        <v>47396.98</v>
      </c>
      <c r="M516">
        <f t="shared" si="56"/>
        <v>5</v>
      </c>
      <c r="N516">
        <f t="shared" si="57"/>
        <v>9479.3960000000006</v>
      </c>
      <c r="O516">
        <f t="shared" si="58"/>
        <v>39943.599999999999</v>
      </c>
      <c r="P516">
        <f t="shared" si="59"/>
        <v>149.00039200313603</v>
      </c>
      <c r="Q516" t="str">
        <f t="shared" si="60"/>
        <v>Recent (4-7 years)</v>
      </c>
      <c r="R516" t="str">
        <f t="shared" si="61"/>
        <v>Good</v>
      </c>
      <c r="S516" t="str">
        <f t="shared" si="62"/>
        <v>Very High</v>
      </c>
    </row>
    <row r="517" spans="1:19" x14ac:dyDescent="0.3">
      <c r="A517">
        <v>516</v>
      </c>
      <c r="B517" t="s">
        <v>24</v>
      </c>
      <c r="C517">
        <v>2015</v>
      </c>
      <c r="D517">
        <v>196675</v>
      </c>
      <c r="E517" t="s">
        <v>13</v>
      </c>
      <c r="F517" t="s">
        <v>18</v>
      </c>
      <c r="G517" t="s">
        <v>15</v>
      </c>
      <c r="H517">
        <v>3080</v>
      </c>
      <c r="I517">
        <v>89.6</v>
      </c>
      <c r="J517" s="2">
        <v>28.53</v>
      </c>
      <c r="K517">
        <v>7</v>
      </c>
      <c r="L517" s="1">
        <v>62266.35</v>
      </c>
      <c r="M517">
        <f t="shared" si="56"/>
        <v>9</v>
      </c>
      <c r="N517">
        <f t="shared" si="57"/>
        <v>6918.4833333333336</v>
      </c>
      <c r="O517">
        <f t="shared" si="58"/>
        <v>21852.777777777777</v>
      </c>
      <c r="P517">
        <f t="shared" si="59"/>
        <v>29.09090909090909</v>
      </c>
      <c r="Q517" t="str">
        <f t="shared" si="60"/>
        <v>Mature (8-12 years)</v>
      </c>
      <c r="R517" t="str">
        <f t="shared" si="61"/>
        <v>Excellent</v>
      </c>
      <c r="S517" t="str">
        <f t="shared" si="62"/>
        <v>Low</v>
      </c>
    </row>
    <row r="518" spans="1:19" x14ac:dyDescent="0.3">
      <c r="A518">
        <v>517</v>
      </c>
      <c r="B518" t="s">
        <v>21</v>
      </c>
      <c r="C518">
        <v>2024</v>
      </c>
      <c r="D518">
        <v>164803</v>
      </c>
      <c r="E518" t="s">
        <v>26</v>
      </c>
      <c r="F518" t="s">
        <v>14</v>
      </c>
      <c r="G518" t="s">
        <v>23</v>
      </c>
      <c r="H518">
        <v>3734</v>
      </c>
      <c r="I518">
        <v>419</v>
      </c>
      <c r="J518" s="2">
        <v>27.04</v>
      </c>
      <c r="K518">
        <v>5</v>
      </c>
      <c r="L518" s="1">
        <v>68851.14</v>
      </c>
      <c r="M518">
        <f t="shared" si="56"/>
        <v>0</v>
      </c>
      <c r="N518">
        <f t="shared" si="57"/>
        <v>68851.14</v>
      </c>
      <c r="O518">
        <f t="shared" si="58"/>
        <v>164803</v>
      </c>
      <c r="P518">
        <f t="shared" si="59"/>
        <v>112.21210498125335</v>
      </c>
      <c r="Q518" t="str">
        <f t="shared" si="60"/>
        <v>New (0-3 years)</v>
      </c>
      <c r="R518" t="str">
        <f t="shared" si="61"/>
        <v>Excellent</v>
      </c>
      <c r="S518" t="str">
        <f t="shared" si="62"/>
        <v>Very High</v>
      </c>
    </row>
    <row r="519" spans="1:19" x14ac:dyDescent="0.3">
      <c r="A519">
        <v>518</v>
      </c>
      <c r="B519" t="s">
        <v>21</v>
      </c>
      <c r="C519">
        <v>2006</v>
      </c>
      <c r="D519">
        <v>114458</v>
      </c>
      <c r="E519" t="s">
        <v>26</v>
      </c>
      <c r="F519" t="s">
        <v>14</v>
      </c>
      <c r="G519" t="s">
        <v>20</v>
      </c>
      <c r="H519">
        <v>4534</v>
      </c>
      <c r="I519">
        <v>75.900000000000006</v>
      </c>
      <c r="J519" s="2">
        <v>17.88</v>
      </c>
      <c r="K519">
        <v>7</v>
      </c>
      <c r="L519" s="1">
        <v>39664.019999999997</v>
      </c>
      <c r="M519">
        <f t="shared" si="56"/>
        <v>18</v>
      </c>
      <c r="N519">
        <f t="shared" si="57"/>
        <v>2203.5566666666664</v>
      </c>
      <c r="O519">
        <f t="shared" si="58"/>
        <v>6358.7777777777774</v>
      </c>
      <c r="P519">
        <f t="shared" si="59"/>
        <v>16.740185266872519</v>
      </c>
      <c r="Q519" t="str">
        <f t="shared" si="60"/>
        <v>Old (12+ years)</v>
      </c>
      <c r="R519" t="str">
        <f t="shared" si="61"/>
        <v>Average</v>
      </c>
      <c r="S519" t="str">
        <f t="shared" si="62"/>
        <v>Low</v>
      </c>
    </row>
    <row r="520" spans="1:19" x14ac:dyDescent="0.3">
      <c r="A520">
        <v>519</v>
      </c>
      <c r="B520" t="s">
        <v>25</v>
      </c>
      <c r="C520">
        <v>2019</v>
      </c>
      <c r="D520">
        <v>115384</v>
      </c>
      <c r="E520" t="s">
        <v>22</v>
      </c>
      <c r="F520" t="s">
        <v>14</v>
      </c>
      <c r="G520" t="s">
        <v>23</v>
      </c>
      <c r="H520">
        <v>4146</v>
      </c>
      <c r="I520">
        <v>373.8</v>
      </c>
      <c r="J520" s="2">
        <v>24.37</v>
      </c>
      <c r="K520">
        <v>7</v>
      </c>
      <c r="L520" s="1">
        <v>37527.74</v>
      </c>
      <c r="M520">
        <f t="shared" si="56"/>
        <v>5</v>
      </c>
      <c r="N520">
        <f t="shared" si="57"/>
        <v>7505.5479999999998</v>
      </c>
      <c r="O520">
        <f t="shared" si="58"/>
        <v>23076.799999999999</v>
      </c>
      <c r="P520">
        <f t="shared" si="59"/>
        <v>90.159189580318383</v>
      </c>
      <c r="Q520" t="str">
        <f t="shared" si="60"/>
        <v>Recent (4-7 years)</v>
      </c>
      <c r="R520" t="str">
        <f t="shared" si="61"/>
        <v>Good</v>
      </c>
      <c r="S520" t="str">
        <f t="shared" si="62"/>
        <v>Very High</v>
      </c>
    </row>
    <row r="521" spans="1:19" x14ac:dyDescent="0.3">
      <c r="A521">
        <v>520</v>
      </c>
      <c r="B521" t="s">
        <v>30</v>
      </c>
      <c r="C521">
        <v>2018</v>
      </c>
      <c r="D521">
        <v>73926</v>
      </c>
      <c r="E521" t="s">
        <v>22</v>
      </c>
      <c r="F521" t="s">
        <v>14</v>
      </c>
      <c r="G521" t="s">
        <v>15</v>
      </c>
      <c r="H521">
        <v>2673</v>
      </c>
      <c r="I521">
        <v>454.2</v>
      </c>
      <c r="J521" s="2">
        <v>19.05</v>
      </c>
      <c r="K521">
        <v>7</v>
      </c>
      <c r="L521" s="1">
        <v>88808.02</v>
      </c>
      <c r="M521">
        <f t="shared" si="56"/>
        <v>6</v>
      </c>
      <c r="N521">
        <f t="shared" si="57"/>
        <v>14801.336666666668</v>
      </c>
      <c r="O521">
        <f t="shared" si="58"/>
        <v>12321</v>
      </c>
      <c r="P521">
        <f t="shared" si="59"/>
        <v>169.92143658810323</v>
      </c>
      <c r="Q521" t="str">
        <f t="shared" si="60"/>
        <v>Recent (4-7 years)</v>
      </c>
      <c r="R521" t="str">
        <f t="shared" si="61"/>
        <v>Average</v>
      </c>
      <c r="S521" t="str">
        <f t="shared" si="62"/>
        <v>Very High</v>
      </c>
    </row>
    <row r="522" spans="1:19" x14ac:dyDescent="0.3">
      <c r="A522">
        <v>521</v>
      </c>
      <c r="B522" t="s">
        <v>16</v>
      </c>
      <c r="C522">
        <v>2024</v>
      </c>
      <c r="D522">
        <v>142069</v>
      </c>
      <c r="E522" t="s">
        <v>26</v>
      </c>
      <c r="F522" t="s">
        <v>18</v>
      </c>
      <c r="G522" t="s">
        <v>23</v>
      </c>
      <c r="H522">
        <v>4603</v>
      </c>
      <c r="I522">
        <v>158.1</v>
      </c>
      <c r="J522" s="2">
        <v>18.82</v>
      </c>
      <c r="K522">
        <v>4</v>
      </c>
      <c r="L522" s="1">
        <v>104939.41</v>
      </c>
      <c r="M522">
        <f t="shared" si="56"/>
        <v>0</v>
      </c>
      <c r="N522">
        <f t="shared" si="57"/>
        <v>104939.41</v>
      </c>
      <c r="O522">
        <f t="shared" si="58"/>
        <v>142069</v>
      </c>
      <c r="P522">
        <f t="shared" si="59"/>
        <v>34.347164892461436</v>
      </c>
      <c r="Q522" t="str">
        <f t="shared" si="60"/>
        <v>New (0-3 years)</v>
      </c>
      <c r="R522" t="str">
        <f t="shared" si="61"/>
        <v>Average</v>
      </c>
      <c r="S522" t="str">
        <f t="shared" si="62"/>
        <v>High</v>
      </c>
    </row>
    <row r="523" spans="1:19" x14ac:dyDescent="0.3">
      <c r="A523">
        <v>522</v>
      </c>
      <c r="B523" t="s">
        <v>21</v>
      </c>
      <c r="C523">
        <v>2015</v>
      </c>
      <c r="D523">
        <v>60506</v>
      </c>
      <c r="E523" t="s">
        <v>13</v>
      </c>
      <c r="F523" t="s">
        <v>14</v>
      </c>
      <c r="G523" t="s">
        <v>23</v>
      </c>
      <c r="H523">
        <v>2779</v>
      </c>
      <c r="I523">
        <v>511.3</v>
      </c>
      <c r="J523" s="2">
        <v>7.87</v>
      </c>
      <c r="K523">
        <v>6</v>
      </c>
      <c r="L523" s="1">
        <v>25532.05</v>
      </c>
      <c r="M523">
        <f t="shared" si="56"/>
        <v>9</v>
      </c>
      <c r="N523">
        <f t="shared" si="57"/>
        <v>2836.8944444444442</v>
      </c>
      <c r="O523">
        <f t="shared" si="58"/>
        <v>6722.8888888888887</v>
      </c>
      <c r="P523">
        <f t="shared" si="59"/>
        <v>183.98704569989206</v>
      </c>
      <c r="Q523" t="str">
        <f t="shared" si="60"/>
        <v>Mature (8-12 years)</v>
      </c>
      <c r="R523" t="str">
        <f t="shared" si="61"/>
        <v>Low</v>
      </c>
      <c r="S523" t="str">
        <f t="shared" si="62"/>
        <v>Very High</v>
      </c>
    </row>
    <row r="524" spans="1:19" x14ac:dyDescent="0.3">
      <c r="A524">
        <v>523</v>
      </c>
      <c r="B524" t="s">
        <v>16</v>
      </c>
      <c r="C524">
        <v>2007</v>
      </c>
      <c r="D524">
        <v>83229</v>
      </c>
      <c r="E524" t="s">
        <v>22</v>
      </c>
      <c r="F524" t="s">
        <v>18</v>
      </c>
      <c r="G524" t="s">
        <v>20</v>
      </c>
      <c r="H524">
        <v>1498</v>
      </c>
      <c r="I524">
        <v>57</v>
      </c>
      <c r="J524" s="2">
        <v>8.15</v>
      </c>
      <c r="K524">
        <v>5</v>
      </c>
      <c r="L524" s="1">
        <v>14421.39</v>
      </c>
      <c r="M524">
        <f t="shared" si="56"/>
        <v>17</v>
      </c>
      <c r="N524">
        <f t="shared" si="57"/>
        <v>848.31705882352935</v>
      </c>
      <c r="O524">
        <f t="shared" si="58"/>
        <v>4895.8235294117649</v>
      </c>
      <c r="P524">
        <f t="shared" si="59"/>
        <v>38.050734312416559</v>
      </c>
      <c r="Q524" t="str">
        <f t="shared" si="60"/>
        <v>Old (12+ years)</v>
      </c>
      <c r="R524" t="str">
        <f t="shared" si="61"/>
        <v>Low</v>
      </c>
      <c r="S524" t="str">
        <f t="shared" si="62"/>
        <v>Low</v>
      </c>
    </row>
    <row r="525" spans="1:19" x14ac:dyDescent="0.3">
      <c r="A525">
        <v>524</v>
      </c>
      <c r="B525" t="s">
        <v>21</v>
      </c>
      <c r="C525">
        <v>2021</v>
      </c>
      <c r="D525">
        <v>185887</v>
      </c>
      <c r="E525" t="s">
        <v>26</v>
      </c>
      <c r="F525" t="s">
        <v>14</v>
      </c>
      <c r="G525" t="s">
        <v>23</v>
      </c>
      <c r="H525">
        <v>2112</v>
      </c>
      <c r="I525">
        <v>512.5</v>
      </c>
      <c r="J525" s="2">
        <v>18.239999999999998</v>
      </c>
      <c r="K525">
        <v>6</v>
      </c>
      <c r="L525" s="1">
        <v>108042.11</v>
      </c>
      <c r="M525">
        <f t="shared" si="56"/>
        <v>3</v>
      </c>
      <c r="N525">
        <f t="shared" si="57"/>
        <v>36014.036666666667</v>
      </c>
      <c r="O525">
        <f t="shared" si="58"/>
        <v>61962.333333333336</v>
      </c>
      <c r="P525">
        <f t="shared" si="59"/>
        <v>242.66098484848484</v>
      </c>
      <c r="Q525" t="str">
        <f t="shared" si="60"/>
        <v>New (0-3 years)</v>
      </c>
      <c r="R525" t="str">
        <f t="shared" si="61"/>
        <v>Average</v>
      </c>
      <c r="S525" t="str">
        <f t="shared" si="62"/>
        <v>Very High</v>
      </c>
    </row>
    <row r="526" spans="1:19" x14ac:dyDescent="0.3">
      <c r="A526">
        <v>525</v>
      </c>
      <c r="B526" t="s">
        <v>12</v>
      </c>
      <c r="C526">
        <v>2016</v>
      </c>
      <c r="D526">
        <v>47092</v>
      </c>
      <c r="E526" t="s">
        <v>26</v>
      </c>
      <c r="F526" t="s">
        <v>14</v>
      </c>
      <c r="G526" t="s">
        <v>20</v>
      </c>
      <c r="H526">
        <v>3762</v>
      </c>
      <c r="I526">
        <v>297.8</v>
      </c>
      <c r="J526" s="2">
        <v>11.72</v>
      </c>
      <c r="K526">
        <v>2</v>
      </c>
      <c r="L526" s="1">
        <v>43937.77</v>
      </c>
      <c r="M526">
        <f t="shared" si="56"/>
        <v>8</v>
      </c>
      <c r="N526">
        <f t="shared" si="57"/>
        <v>5492.2212499999996</v>
      </c>
      <c r="O526">
        <f t="shared" si="58"/>
        <v>5886.5</v>
      </c>
      <c r="P526">
        <f t="shared" si="59"/>
        <v>79.160021265284428</v>
      </c>
      <c r="Q526" t="str">
        <f t="shared" si="60"/>
        <v>Mature (8-12 years)</v>
      </c>
      <c r="R526" t="str">
        <f t="shared" si="61"/>
        <v>Low</v>
      </c>
      <c r="S526" t="str">
        <f t="shared" si="62"/>
        <v>Very High</v>
      </c>
    </row>
    <row r="527" spans="1:19" x14ac:dyDescent="0.3">
      <c r="A527">
        <v>526</v>
      </c>
      <c r="B527" t="s">
        <v>30</v>
      </c>
      <c r="C527">
        <v>2019</v>
      </c>
      <c r="D527">
        <v>67539</v>
      </c>
      <c r="E527" t="s">
        <v>17</v>
      </c>
      <c r="F527" t="s">
        <v>14</v>
      </c>
      <c r="G527" t="s">
        <v>20</v>
      </c>
      <c r="H527">
        <v>3738</v>
      </c>
      <c r="I527">
        <v>161.80000000000001</v>
      </c>
      <c r="J527" s="2">
        <v>5.53</v>
      </c>
      <c r="K527">
        <v>5</v>
      </c>
      <c r="L527" s="1">
        <v>67504.13</v>
      </c>
      <c r="M527">
        <f t="shared" si="56"/>
        <v>5</v>
      </c>
      <c r="N527">
        <f t="shared" si="57"/>
        <v>13500.826000000001</v>
      </c>
      <c r="O527">
        <f t="shared" si="58"/>
        <v>13507.8</v>
      </c>
      <c r="P527">
        <f t="shared" si="59"/>
        <v>43.285179240235422</v>
      </c>
      <c r="Q527" t="str">
        <f t="shared" si="60"/>
        <v>Recent (4-7 years)</v>
      </c>
      <c r="R527" t="str">
        <f t="shared" si="61"/>
        <v>Low</v>
      </c>
      <c r="S527" t="str">
        <f t="shared" si="62"/>
        <v>High</v>
      </c>
    </row>
    <row r="528" spans="1:19" x14ac:dyDescent="0.3">
      <c r="A528">
        <v>527</v>
      </c>
      <c r="B528" t="s">
        <v>12</v>
      </c>
      <c r="C528">
        <v>2020</v>
      </c>
      <c r="D528">
        <v>157889</v>
      </c>
      <c r="E528" t="s">
        <v>13</v>
      </c>
      <c r="F528" t="s">
        <v>18</v>
      </c>
      <c r="G528" t="s">
        <v>15</v>
      </c>
      <c r="H528">
        <v>3100</v>
      </c>
      <c r="I528">
        <v>114.9</v>
      </c>
      <c r="J528" s="2">
        <v>23.07</v>
      </c>
      <c r="K528">
        <v>6</v>
      </c>
      <c r="L528" s="1">
        <v>45066.55</v>
      </c>
      <c r="M528">
        <f t="shared" si="56"/>
        <v>4</v>
      </c>
      <c r="N528">
        <f t="shared" si="57"/>
        <v>11266.637500000001</v>
      </c>
      <c r="O528">
        <f t="shared" si="58"/>
        <v>39472.25</v>
      </c>
      <c r="P528">
        <f t="shared" si="59"/>
        <v>37.064516129032256</v>
      </c>
      <c r="Q528" t="str">
        <f t="shared" si="60"/>
        <v>Recent (4-7 years)</v>
      </c>
      <c r="R528" t="str">
        <f t="shared" si="61"/>
        <v>Good</v>
      </c>
      <c r="S528" t="str">
        <f t="shared" si="62"/>
        <v>Medium</v>
      </c>
    </row>
    <row r="529" spans="1:19" x14ac:dyDescent="0.3">
      <c r="A529">
        <v>528</v>
      </c>
      <c r="B529" t="s">
        <v>21</v>
      </c>
      <c r="C529">
        <v>2009</v>
      </c>
      <c r="D529">
        <v>173933</v>
      </c>
      <c r="E529" t="s">
        <v>17</v>
      </c>
      <c r="F529" t="s">
        <v>18</v>
      </c>
      <c r="G529" t="s">
        <v>20</v>
      </c>
      <c r="H529">
        <v>3997</v>
      </c>
      <c r="I529">
        <v>573.9</v>
      </c>
      <c r="J529" s="2">
        <v>5.81</v>
      </c>
      <c r="K529">
        <v>6</v>
      </c>
      <c r="L529" s="1">
        <v>17718.87</v>
      </c>
      <c r="M529">
        <f t="shared" si="56"/>
        <v>15</v>
      </c>
      <c r="N529">
        <f t="shared" si="57"/>
        <v>1181.258</v>
      </c>
      <c r="O529">
        <f t="shared" si="58"/>
        <v>11595.533333333333</v>
      </c>
      <c r="P529">
        <f t="shared" si="59"/>
        <v>143.58268701526146</v>
      </c>
      <c r="Q529" t="str">
        <f t="shared" si="60"/>
        <v>Old (12+ years)</v>
      </c>
      <c r="R529" t="str">
        <f t="shared" si="61"/>
        <v>Low</v>
      </c>
      <c r="S529" t="str">
        <f t="shared" si="62"/>
        <v>Very High</v>
      </c>
    </row>
    <row r="530" spans="1:19" x14ac:dyDescent="0.3">
      <c r="A530">
        <v>529</v>
      </c>
      <c r="B530" t="s">
        <v>24</v>
      </c>
      <c r="C530">
        <v>2024</v>
      </c>
      <c r="D530">
        <v>18428</v>
      </c>
      <c r="E530" t="s">
        <v>13</v>
      </c>
      <c r="F530" t="s">
        <v>14</v>
      </c>
      <c r="G530" t="s">
        <v>20</v>
      </c>
      <c r="H530">
        <v>926</v>
      </c>
      <c r="I530">
        <v>80.7</v>
      </c>
      <c r="J530" s="2">
        <v>19.88</v>
      </c>
      <c r="K530">
        <v>2</v>
      </c>
      <c r="L530" s="1">
        <v>71951.8</v>
      </c>
      <c r="M530">
        <f t="shared" si="56"/>
        <v>0</v>
      </c>
      <c r="N530">
        <f t="shared" si="57"/>
        <v>71951.8</v>
      </c>
      <c r="O530">
        <f t="shared" si="58"/>
        <v>18428</v>
      </c>
      <c r="P530">
        <f t="shared" si="59"/>
        <v>87.149028077753783</v>
      </c>
      <c r="Q530" t="str">
        <f t="shared" si="60"/>
        <v>New (0-3 years)</v>
      </c>
      <c r="R530" t="str">
        <f t="shared" si="61"/>
        <v>Average</v>
      </c>
      <c r="S530" t="str">
        <f t="shared" si="62"/>
        <v>Low</v>
      </c>
    </row>
    <row r="531" spans="1:19" x14ac:dyDescent="0.3">
      <c r="A531">
        <v>530</v>
      </c>
      <c r="B531" t="s">
        <v>24</v>
      </c>
      <c r="C531">
        <v>2010</v>
      </c>
      <c r="D531">
        <v>180006</v>
      </c>
      <c r="E531" t="s">
        <v>22</v>
      </c>
      <c r="F531" t="s">
        <v>18</v>
      </c>
      <c r="G531" t="s">
        <v>15</v>
      </c>
      <c r="H531">
        <v>1991</v>
      </c>
      <c r="I531">
        <v>151.5</v>
      </c>
      <c r="J531" s="2">
        <v>18.48</v>
      </c>
      <c r="K531">
        <v>7</v>
      </c>
      <c r="L531" s="1">
        <v>64441.48</v>
      </c>
      <c r="M531">
        <f t="shared" si="56"/>
        <v>14</v>
      </c>
      <c r="N531">
        <f t="shared" si="57"/>
        <v>4602.9628571428575</v>
      </c>
      <c r="O531">
        <f t="shared" si="58"/>
        <v>12857.571428571429</v>
      </c>
      <c r="P531">
        <f t="shared" si="59"/>
        <v>76.092415871421395</v>
      </c>
      <c r="Q531" t="str">
        <f t="shared" si="60"/>
        <v>Old (12+ years)</v>
      </c>
      <c r="R531" t="str">
        <f t="shared" si="61"/>
        <v>Average</v>
      </c>
      <c r="S531" t="str">
        <f t="shared" si="62"/>
        <v>High</v>
      </c>
    </row>
    <row r="532" spans="1:19" x14ac:dyDescent="0.3">
      <c r="A532">
        <v>531</v>
      </c>
      <c r="B532" t="s">
        <v>12</v>
      </c>
      <c r="C532">
        <v>2023</v>
      </c>
      <c r="D532">
        <v>146330</v>
      </c>
      <c r="E532" t="s">
        <v>13</v>
      </c>
      <c r="F532" t="s">
        <v>18</v>
      </c>
      <c r="G532" t="s">
        <v>20</v>
      </c>
      <c r="H532">
        <v>3439</v>
      </c>
      <c r="I532">
        <v>234.8</v>
      </c>
      <c r="J532" s="2">
        <v>29.22</v>
      </c>
      <c r="K532">
        <v>5</v>
      </c>
      <c r="L532" s="1">
        <v>26750.25</v>
      </c>
      <c r="M532">
        <f t="shared" si="56"/>
        <v>1</v>
      </c>
      <c r="N532">
        <f t="shared" si="57"/>
        <v>26750.25</v>
      </c>
      <c r="O532">
        <f t="shared" si="58"/>
        <v>146330</v>
      </c>
      <c r="P532">
        <f t="shared" si="59"/>
        <v>68.275661529514394</v>
      </c>
      <c r="Q532" t="str">
        <f t="shared" si="60"/>
        <v>New (0-3 years)</v>
      </c>
      <c r="R532" t="str">
        <f t="shared" si="61"/>
        <v>Excellent</v>
      </c>
      <c r="S532" t="str">
        <f t="shared" si="62"/>
        <v>Very High</v>
      </c>
    </row>
    <row r="533" spans="1:19" x14ac:dyDescent="0.3">
      <c r="A533">
        <v>532</v>
      </c>
      <c r="B533" t="s">
        <v>24</v>
      </c>
      <c r="C533">
        <v>2009</v>
      </c>
      <c r="D533">
        <v>62775</v>
      </c>
      <c r="E533" t="s">
        <v>26</v>
      </c>
      <c r="F533" t="s">
        <v>14</v>
      </c>
      <c r="G533" t="s">
        <v>15</v>
      </c>
      <c r="H533">
        <v>4716</v>
      </c>
      <c r="I533">
        <v>387.3</v>
      </c>
      <c r="J533" s="2">
        <v>17.11</v>
      </c>
      <c r="K533">
        <v>5</v>
      </c>
      <c r="L533" s="1">
        <v>55868.68</v>
      </c>
      <c r="M533">
        <f t="shared" si="56"/>
        <v>15</v>
      </c>
      <c r="N533">
        <f t="shared" si="57"/>
        <v>3724.5786666666668</v>
      </c>
      <c r="O533">
        <f t="shared" si="58"/>
        <v>4185</v>
      </c>
      <c r="P533">
        <f t="shared" si="59"/>
        <v>82.12468193384224</v>
      </c>
      <c r="Q533" t="str">
        <f t="shared" si="60"/>
        <v>Old (12+ years)</v>
      </c>
      <c r="R533" t="str">
        <f t="shared" si="61"/>
        <v>Average</v>
      </c>
      <c r="S533" t="str">
        <f t="shared" si="62"/>
        <v>Very High</v>
      </c>
    </row>
    <row r="534" spans="1:19" x14ac:dyDescent="0.3">
      <c r="A534">
        <v>533</v>
      </c>
      <c r="B534" t="s">
        <v>21</v>
      </c>
      <c r="C534">
        <v>2007</v>
      </c>
      <c r="D534">
        <v>10469</v>
      </c>
      <c r="E534" t="s">
        <v>26</v>
      </c>
      <c r="F534" t="s">
        <v>14</v>
      </c>
      <c r="G534" t="s">
        <v>23</v>
      </c>
      <c r="H534">
        <v>2166</v>
      </c>
      <c r="I534">
        <v>345.1</v>
      </c>
      <c r="J534" s="2">
        <v>6.59</v>
      </c>
      <c r="K534">
        <v>2</v>
      </c>
      <c r="L534" s="1">
        <v>96242.86</v>
      </c>
      <c r="M534">
        <f t="shared" si="56"/>
        <v>17</v>
      </c>
      <c r="N534">
        <f t="shared" si="57"/>
        <v>5661.3447058823531</v>
      </c>
      <c r="O534">
        <f t="shared" si="58"/>
        <v>615.82352941176475</v>
      </c>
      <c r="P534">
        <f t="shared" si="59"/>
        <v>159.32594644506003</v>
      </c>
      <c r="Q534" t="str">
        <f t="shared" si="60"/>
        <v>Old (12+ years)</v>
      </c>
      <c r="R534" t="str">
        <f t="shared" si="61"/>
        <v>Low</v>
      </c>
      <c r="S534" t="str">
        <f t="shared" si="62"/>
        <v>Very High</v>
      </c>
    </row>
    <row r="535" spans="1:19" x14ac:dyDescent="0.3">
      <c r="A535">
        <v>534</v>
      </c>
      <c r="B535" t="s">
        <v>25</v>
      </c>
      <c r="C535">
        <v>2005</v>
      </c>
      <c r="D535">
        <v>33854</v>
      </c>
      <c r="E535" t="s">
        <v>13</v>
      </c>
      <c r="F535" t="s">
        <v>18</v>
      </c>
      <c r="G535" t="s">
        <v>15</v>
      </c>
      <c r="H535">
        <v>1819</v>
      </c>
      <c r="I535">
        <v>110.4</v>
      </c>
      <c r="J535" s="2">
        <v>18.79</v>
      </c>
      <c r="K535">
        <v>7</v>
      </c>
      <c r="L535" s="1">
        <v>72079.850000000006</v>
      </c>
      <c r="M535">
        <f t="shared" si="56"/>
        <v>19</v>
      </c>
      <c r="N535">
        <f t="shared" si="57"/>
        <v>3793.6763157894738</v>
      </c>
      <c r="O535">
        <f t="shared" si="58"/>
        <v>1781.7894736842106</v>
      </c>
      <c r="P535">
        <f t="shared" si="59"/>
        <v>60.692688290269381</v>
      </c>
      <c r="Q535" t="str">
        <f t="shared" si="60"/>
        <v>Old (12+ years)</v>
      </c>
      <c r="R535" t="str">
        <f t="shared" si="61"/>
        <v>Average</v>
      </c>
      <c r="S535" t="str">
        <f t="shared" si="62"/>
        <v>Medium</v>
      </c>
    </row>
    <row r="536" spans="1:19" x14ac:dyDescent="0.3">
      <c r="A536">
        <v>535</v>
      </c>
      <c r="B536" t="s">
        <v>12</v>
      </c>
      <c r="C536">
        <v>2010</v>
      </c>
      <c r="D536">
        <v>142328</v>
      </c>
      <c r="E536" t="s">
        <v>13</v>
      </c>
      <c r="F536" t="s">
        <v>18</v>
      </c>
      <c r="G536" t="s">
        <v>20</v>
      </c>
      <c r="H536">
        <v>4879</v>
      </c>
      <c r="I536">
        <v>202.2</v>
      </c>
      <c r="J536" s="2">
        <v>26.03</v>
      </c>
      <c r="K536">
        <v>5</v>
      </c>
      <c r="L536" s="1">
        <v>14339.33</v>
      </c>
      <c r="M536">
        <f t="shared" si="56"/>
        <v>14</v>
      </c>
      <c r="N536">
        <f t="shared" si="57"/>
        <v>1024.2378571428571</v>
      </c>
      <c r="O536">
        <f t="shared" si="58"/>
        <v>10166.285714285714</v>
      </c>
      <c r="P536">
        <f t="shared" si="59"/>
        <v>41.442918630866984</v>
      </c>
      <c r="Q536" t="str">
        <f t="shared" si="60"/>
        <v>Old (12+ years)</v>
      </c>
      <c r="R536" t="str">
        <f t="shared" si="61"/>
        <v>Excellent</v>
      </c>
      <c r="S536" t="str">
        <f t="shared" si="62"/>
        <v>Very High</v>
      </c>
    </row>
    <row r="537" spans="1:19" x14ac:dyDescent="0.3">
      <c r="A537">
        <v>536</v>
      </c>
      <c r="B537" t="s">
        <v>28</v>
      </c>
      <c r="C537">
        <v>2019</v>
      </c>
      <c r="D537">
        <v>81256</v>
      </c>
      <c r="E537" t="s">
        <v>13</v>
      </c>
      <c r="F537" t="s">
        <v>18</v>
      </c>
      <c r="G537" t="s">
        <v>15</v>
      </c>
      <c r="H537">
        <v>1484</v>
      </c>
      <c r="I537">
        <v>173.7</v>
      </c>
      <c r="J537" s="2">
        <v>29.92</v>
      </c>
      <c r="K537">
        <v>5</v>
      </c>
      <c r="L537" s="1">
        <v>67118.52</v>
      </c>
      <c r="M537">
        <f t="shared" si="56"/>
        <v>5</v>
      </c>
      <c r="N537">
        <f t="shared" si="57"/>
        <v>13423.704000000002</v>
      </c>
      <c r="O537">
        <f t="shared" si="58"/>
        <v>16251.2</v>
      </c>
      <c r="P537">
        <f t="shared" si="59"/>
        <v>117.04851752021563</v>
      </c>
      <c r="Q537" t="str">
        <f t="shared" si="60"/>
        <v>Recent (4-7 years)</v>
      </c>
      <c r="R537" t="str">
        <f t="shared" si="61"/>
        <v>Excellent</v>
      </c>
      <c r="S537" t="str">
        <f t="shared" si="62"/>
        <v>High</v>
      </c>
    </row>
    <row r="538" spans="1:19" x14ac:dyDescent="0.3">
      <c r="A538">
        <v>537</v>
      </c>
      <c r="B538" t="s">
        <v>30</v>
      </c>
      <c r="C538">
        <v>2006</v>
      </c>
      <c r="D538">
        <v>170009</v>
      </c>
      <c r="E538" t="s">
        <v>17</v>
      </c>
      <c r="F538" t="s">
        <v>14</v>
      </c>
      <c r="G538" t="s">
        <v>20</v>
      </c>
      <c r="H538">
        <v>4429</v>
      </c>
      <c r="I538">
        <v>159.6</v>
      </c>
      <c r="J538" s="2">
        <v>15.76</v>
      </c>
      <c r="K538">
        <v>5</v>
      </c>
      <c r="L538" s="1">
        <v>85220.38</v>
      </c>
      <c r="M538">
        <f t="shared" si="56"/>
        <v>18</v>
      </c>
      <c r="N538">
        <f t="shared" si="57"/>
        <v>4734.4655555555555</v>
      </c>
      <c r="O538">
        <f t="shared" si="58"/>
        <v>9444.9444444444453</v>
      </c>
      <c r="P538">
        <f t="shared" si="59"/>
        <v>36.035222397832463</v>
      </c>
      <c r="Q538" t="str">
        <f t="shared" si="60"/>
        <v>Old (12+ years)</v>
      </c>
      <c r="R538" t="str">
        <f t="shared" si="61"/>
        <v>Average</v>
      </c>
      <c r="S538" t="str">
        <f t="shared" si="62"/>
        <v>High</v>
      </c>
    </row>
    <row r="539" spans="1:19" x14ac:dyDescent="0.3">
      <c r="A539">
        <v>538</v>
      </c>
      <c r="B539" t="s">
        <v>24</v>
      </c>
      <c r="C539">
        <v>2007</v>
      </c>
      <c r="D539">
        <v>104134</v>
      </c>
      <c r="E539" t="s">
        <v>13</v>
      </c>
      <c r="F539" t="s">
        <v>14</v>
      </c>
      <c r="G539" t="s">
        <v>23</v>
      </c>
      <c r="H539">
        <v>3687</v>
      </c>
      <c r="I539">
        <v>270.2</v>
      </c>
      <c r="J539" s="2">
        <v>13.01</v>
      </c>
      <c r="K539">
        <v>7</v>
      </c>
      <c r="L539" s="1">
        <v>95746.3</v>
      </c>
      <c r="M539">
        <f t="shared" si="56"/>
        <v>17</v>
      </c>
      <c r="N539">
        <f t="shared" si="57"/>
        <v>5632.1352941176474</v>
      </c>
      <c r="O539">
        <f t="shared" si="58"/>
        <v>6125.5294117647063</v>
      </c>
      <c r="P539">
        <f t="shared" si="59"/>
        <v>73.284513154326007</v>
      </c>
      <c r="Q539" t="str">
        <f t="shared" si="60"/>
        <v>Old (12+ years)</v>
      </c>
      <c r="R539" t="str">
        <f t="shared" si="61"/>
        <v>Low</v>
      </c>
      <c r="S539" t="str">
        <f t="shared" si="62"/>
        <v>Very High</v>
      </c>
    </row>
    <row r="540" spans="1:19" x14ac:dyDescent="0.3">
      <c r="A540">
        <v>539</v>
      </c>
      <c r="B540" t="s">
        <v>24</v>
      </c>
      <c r="C540">
        <v>2021</v>
      </c>
      <c r="D540">
        <v>137723</v>
      </c>
      <c r="E540" t="s">
        <v>22</v>
      </c>
      <c r="F540" t="s">
        <v>18</v>
      </c>
      <c r="G540" t="s">
        <v>15</v>
      </c>
      <c r="H540">
        <v>2262</v>
      </c>
      <c r="I540">
        <v>434.3</v>
      </c>
      <c r="J540" s="2">
        <v>27.67</v>
      </c>
      <c r="K540">
        <v>2</v>
      </c>
      <c r="L540" s="1">
        <v>76606.759999999995</v>
      </c>
      <c r="M540">
        <f t="shared" si="56"/>
        <v>3</v>
      </c>
      <c r="N540">
        <f t="shared" si="57"/>
        <v>25535.586666666666</v>
      </c>
      <c r="O540">
        <f t="shared" si="58"/>
        <v>45907.666666666664</v>
      </c>
      <c r="P540">
        <f t="shared" si="59"/>
        <v>191.99823165340408</v>
      </c>
      <c r="Q540" t="str">
        <f t="shared" si="60"/>
        <v>New (0-3 years)</v>
      </c>
      <c r="R540" t="str">
        <f t="shared" si="61"/>
        <v>Excellent</v>
      </c>
      <c r="S540" t="str">
        <f t="shared" si="62"/>
        <v>Very High</v>
      </c>
    </row>
    <row r="541" spans="1:19" x14ac:dyDescent="0.3">
      <c r="A541">
        <v>540</v>
      </c>
      <c r="B541" t="s">
        <v>29</v>
      </c>
      <c r="C541">
        <v>2016</v>
      </c>
      <c r="D541">
        <v>186360</v>
      </c>
      <c r="E541" t="s">
        <v>17</v>
      </c>
      <c r="F541" t="s">
        <v>14</v>
      </c>
      <c r="G541" t="s">
        <v>23</v>
      </c>
      <c r="H541">
        <v>4886</v>
      </c>
      <c r="I541">
        <v>161.80000000000001</v>
      </c>
      <c r="J541" s="2">
        <v>9.7799999999999994</v>
      </c>
      <c r="K541">
        <v>5</v>
      </c>
      <c r="L541" s="1">
        <v>20861.009999999998</v>
      </c>
      <c r="M541">
        <f t="shared" si="56"/>
        <v>8</v>
      </c>
      <c r="N541">
        <f t="shared" si="57"/>
        <v>2607.6262499999998</v>
      </c>
      <c r="O541">
        <f t="shared" si="58"/>
        <v>23295</v>
      </c>
      <c r="P541">
        <f t="shared" si="59"/>
        <v>33.115022513303316</v>
      </c>
      <c r="Q541" t="str">
        <f t="shared" si="60"/>
        <v>Mature (8-12 years)</v>
      </c>
      <c r="R541" t="str">
        <f t="shared" si="61"/>
        <v>Low</v>
      </c>
      <c r="S541" t="str">
        <f t="shared" si="62"/>
        <v>High</v>
      </c>
    </row>
    <row r="542" spans="1:19" x14ac:dyDescent="0.3">
      <c r="A542">
        <v>541</v>
      </c>
      <c r="B542" t="s">
        <v>27</v>
      </c>
      <c r="C542">
        <v>2022</v>
      </c>
      <c r="D542">
        <v>89730</v>
      </c>
      <c r="E542" t="s">
        <v>17</v>
      </c>
      <c r="F542" t="s">
        <v>14</v>
      </c>
      <c r="G542" t="s">
        <v>20</v>
      </c>
      <c r="H542">
        <v>3061</v>
      </c>
      <c r="I542">
        <v>245.3</v>
      </c>
      <c r="J542" s="2">
        <v>20.39</v>
      </c>
      <c r="K542">
        <v>6</v>
      </c>
      <c r="L542" s="1">
        <v>86090.27</v>
      </c>
      <c r="M542">
        <f t="shared" si="56"/>
        <v>2</v>
      </c>
      <c r="N542">
        <f t="shared" si="57"/>
        <v>43045.135000000002</v>
      </c>
      <c r="O542">
        <f t="shared" si="58"/>
        <v>44865</v>
      </c>
      <c r="P542">
        <f t="shared" si="59"/>
        <v>80.137210062071219</v>
      </c>
      <c r="Q542" t="str">
        <f t="shared" si="60"/>
        <v>New (0-3 years)</v>
      </c>
      <c r="R542" t="str">
        <f t="shared" si="61"/>
        <v>Good</v>
      </c>
      <c r="S542" t="str">
        <f t="shared" si="62"/>
        <v>Very High</v>
      </c>
    </row>
    <row r="543" spans="1:19" x14ac:dyDescent="0.3">
      <c r="A543">
        <v>542</v>
      </c>
      <c r="B543" t="s">
        <v>12</v>
      </c>
      <c r="C543">
        <v>2019</v>
      </c>
      <c r="D543">
        <v>161123</v>
      </c>
      <c r="E543" t="s">
        <v>13</v>
      </c>
      <c r="F543" t="s">
        <v>18</v>
      </c>
      <c r="G543" t="s">
        <v>20</v>
      </c>
      <c r="H543">
        <v>4980</v>
      </c>
      <c r="I543">
        <v>258.89999999999998</v>
      </c>
      <c r="J543" s="2">
        <v>15.14</v>
      </c>
      <c r="K543">
        <v>7</v>
      </c>
      <c r="L543" s="1">
        <v>82249</v>
      </c>
      <c r="M543">
        <f t="shared" si="56"/>
        <v>5</v>
      </c>
      <c r="N543">
        <f t="shared" si="57"/>
        <v>16449.8</v>
      </c>
      <c r="O543">
        <f t="shared" si="58"/>
        <v>32224.6</v>
      </c>
      <c r="P543">
        <f t="shared" si="59"/>
        <v>51.98795180722891</v>
      </c>
      <c r="Q543" t="str">
        <f t="shared" si="60"/>
        <v>Recent (4-7 years)</v>
      </c>
      <c r="R543" t="str">
        <f t="shared" si="61"/>
        <v>Average</v>
      </c>
      <c r="S543" t="str">
        <f t="shared" si="62"/>
        <v>Very High</v>
      </c>
    </row>
    <row r="544" spans="1:19" x14ac:dyDescent="0.3">
      <c r="A544">
        <v>543</v>
      </c>
      <c r="B544" t="s">
        <v>19</v>
      </c>
      <c r="C544">
        <v>2016</v>
      </c>
      <c r="D544">
        <v>32386</v>
      </c>
      <c r="E544" t="s">
        <v>22</v>
      </c>
      <c r="F544" t="s">
        <v>18</v>
      </c>
      <c r="G544" t="s">
        <v>23</v>
      </c>
      <c r="H544">
        <v>3641</v>
      </c>
      <c r="I544">
        <v>586.79999999999995</v>
      </c>
      <c r="J544" s="2">
        <v>6.03</v>
      </c>
      <c r="K544">
        <v>4</v>
      </c>
      <c r="L544" s="1">
        <v>5857.95</v>
      </c>
      <c r="M544">
        <f t="shared" si="56"/>
        <v>8</v>
      </c>
      <c r="N544">
        <f t="shared" si="57"/>
        <v>732.24374999999998</v>
      </c>
      <c r="O544">
        <f t="shared" si="58"/>
        <v>4048.25</v>
      </c>
      <c r="P544">
        <f t="shared" si="59"/>
        <v>161.16451524306507</v>
      </c>
      <c r="Q544" t="str">
        <f t="shared" si="60"/>
        <v>Mature (8-12 years)</v>
      </c>
      <c r="R544" t="str">
        <f t="shared" si="61"/>
        <v>Low</v>
      </c>
      <c r="S544" t="str">
        <f t="shared" si="62"/>
        <v>Very High</v>
      </c>
    </row>
    <row r="545" spans="1:19" x14ac:dyDescent="0.3">
      <c r="A545">
        <v>544</v>
      </c>
      <c r="B545" t="s">
        <v>24</v>
      </c>
      <c r="C545">
        <v>2020</v>
      </c>
      <c r="D545">
        <v>152256</v>
      </c>
      <c r="E545" t="s">
        <v>17</v>
      </c>
      <c r="F545" t="s">
        <v>14</v>
      </c>
      <c r="G545" t="s">
        <v>15</v>
      </c>
      <c r="H545">
        <v>2567</v>
      </c>
      <c r="I545">
        <v>574.6</v>
      </c>
      <c r="J545" s="2">
        <v>13.68</v>
      </c>
      <c r="K545">
        <v>2</v>
      </c>
      <c r="L545" s="1">
        <v>51174.48</v>
      </c>
      <c r="M545">
        <f t="shared" si="56"/>
        <v>4</v>
      </c>
      <c r="N545">
        <f t="shared" si="57"/>
        <v>12793.62</v>
      </c>
      <c r="O545">
        <f t="shared" si="58"/>
        <v>38064</v>
      </c>
      <c r="P545">
        <f t="shared" si="59"/>
        <v>223.84105960264901</v>
      </c>
      <c r="Q545" t="str">
        <f t="shared" si="60"/>
        <v>Recent (4-7 years)</v>
      </c>
      <c r="R545" t="str">
        <f t="shared" si="61"/>
        <v>Low</v>
      </c>
      <c r="S545" t="str">
        <f t="shared" si="62"/>
        <v>Very High</v>
      </c>
    </row>
    <row r="546" spans="1:19" x14ac:dyDescent="0.3">
      <c r="A546">
        <v>545</v>
      </c>
      <c r="B546" t="s">
        <v>30</v>
      </c>
      <c r="C546">
        <v>2012</v>
      </c>
      <c r="D546">
        <v>38787</v>
      </c>
      <c r="E546" t="s">
        <v>26</v>
      </c>
      <c r="F546" t="s">
        <v>14</v>
      </c>
      <c r="G546" t="s">
        <v>15</v>
      </c>
      <c r="H546">
        <v>4980</v>
      </c>
      <c r="I546">
        <v>488.1</v>
      </c>
      <c r="J546" s="2">
        <v>11.63</v>
      </c>
      <c r="K546">
        <v>6</v>
      </c>
      <c r="L546" s="1">
        <v>41955.18</v>
      </c>
      <c r="M546">
        <f t="shared" si="56"/>
        <v>12</v>
      </c>
      <c r="N546">
        <f t="shared" si="57"/>
        <v>3496.2649999999999</v>
      </c>
      <c r="O546">
        <f t="shared" si="58"/>
        <v>3232.25</v>
      </c>
      <c r="P546">
        <f t="shared" si="59"/>
        <v>98.012048192771076</v>
      </c>
      <c r="Q546" t="str">
        <f t="shared" si="60"/>
        <v>Mature (8-12 years)</v>
      </c>
      <c r="R546" t="str">
        <f t="shared" si="61"/>
        <v>Low</v>
      </c>
      <c r="S546" t="str">
        <f t="shared" si="62"/>
        <v>Very High</v>
      </c>
    </row>
    <row r="547" spans="1:19" x14ac:dyDescent="0.3">
      <c r="A547">
        <v>546</v>
      </c>
      <c r="B547" t="s">
        <v>28</v>
      </c>
      <c r="C547">
        <v>2018</v>
      </c>
      <c r="D547">
        <v>26621</v>
      </c>
      <c r="E547" t="s">
        <v>17</v>
      </c>
      <c r="F547" t="s">
        <v>18</v>
      </c>
      <c r="G547" t="s">
        <v>20</v>
      </c>
      <c r="H547">
        <v>4360</v>
      </c>
      <c r="I547">
        <v>175.3</v>
      </c>
      <c r="J547" s="2">
        <v>22.15</v>
      </c>
      <c r="K547">
        <v>5</v>
      </c>
      <c r="L547" s="1">
        <v>81321.210000000006</v>
      </c>
      <c r="M547">
        <f t="shared" si="56"/>
        <v>6</v>
      </c>
      <c r="N547">
        <f t="shared" si="57"/>
        <v>13553.535000000002</v>
      </c>
      <c r="O547">
        <f t="shared" si="58"/>
        <v>4436.833333333333</v>
      </c>
      <c r="P547">
        <f t="shared" si="59"/>
        <v>40.206422018348626</v>
      </c>
      <c r="Q547" t="str">
        <f t="shared" si="60"/>
        <v>Recent (4-7 years)</v>
      </c>
      <c r="R547" t="str">
        <f t="shared" si="61"/>
        <v>Good</v>
      </c>
      <c r="S547" t="str">
        <f t="shared" si="62"/>
        <v>High</v>
      </c>
    </row>
    <row r="548" spans="1:19" x14ac:dyDescent="0.3">
      <c r="A548">
        <v>547</v>
      </c>
      <c r="B548" t="s">
        <v>24</v>
      </c>
      <c r="C548">
        <v>2021</v>
      </c>
      <c r="D548">
        <v>82984</v>
      </c>
      <c r="E548" t="s">
        <v>13</v>
      </c>
      <c r="F548" t="s">
        <v>14</v>
      </c>
      <c r="G548" t="s">
        <v>23</v>
      </c>
      <c r="H548">
        <v>2912</v>
      </c>
      <c r="I548">
        <v>78.099999999999994</v>
      </c>
      <c r="J548" s="2">
        <v>28.72</v>
      </c>
      <c r="K548">
        <v>4</v>
      </c>
      <c r="L548" s="1">
        <v>28287.89</v>
      </c>
      <c r="M548">
        <f t="shared" si="56"/>
        <v>3</v>
      </c>
      <c r="N548">
        <f t="shared" si="57"/>
        <v>9429.2966666666671</v>
      </c>
      <c r="O548">
        <f t="shared" si="58"/>
        <v>27661.333333333332</v>
      </c>
      <c r="P548">
        <f t="shared" si="59"/>
        <v>26.820054945054945</v>
      </c>
      <c r="Q548" t="str">
        <f t="shared" si="60"/>
        <v>New (0-3 years)</v>
      </c>
      <c r="R548" t="str">
        <f t="shared" si="61"/>
        <v>Excellent</v>
      </c>
      <c r="S548" t="str">
        <f t="shared" si="62"/>
        <v>Low</v>
      </c>
    </row>
    <row r="549" spans="1:19" x14ac:dyDescent="0.3">
      <c r="A549">
        <v>548</v>
      </c>
      <c r="B549" t="s">
        <v>28</v>
      </c>
      <c r="C549">
        <v>2012</v>
      </c>
      <c r="D549">
        <v>195864</v>
      </c>
      <c r="E549" t="s">
        <v>22</v>
      </c>
      <c r="F549" t="s">
        <v>14</v>
      </c>
      <c r="G549" t="s">
        <v>23</v>
      </c>
      <c r="H549">
        <v>1426</v>
      </c>
      <c r="I549">
        <v>217.5</v>
      </c>
      <c r="J549" s="2">
        <v>11.7</v>
      </c>
      <c r="K549">
        <v>2</v>
      </c>
      <c r="L549" s="1">
        <v>72132.009999999995</v>
      </c>
      <c r="M549">
        <f t="shared" si="56"/>
        <v>12</v>
      </c>
      <c r="N549">
        <f t="shared" si="57"/>
        <v>6011.0008333333326</v>
      </c>
      <c r="O549">
        <f t="shared" si="58"/>
        <v>16322</v>
      </c>
      <c r="P549">
        <f t="shared" si="59"/>
        <v>152.52454417952316</v>
      </c>
      <c r="Q549" t="str">
        <f t="shared" si="60"/>
        <v>Mature (8-12 years)</v>
      </c>
      <c r="R549" t="str">
        <f t="shared" si="61"/>
        <v>Low</v>
      </c>
      <c r="S549" t="str">
        <f t="shared" si="62"/>
        <v>Very High</v>
      </c>
    </row>
    <row r="550" spans="1:19" x14ac:dyDescent="0.3">
      <c r="A550">
        <v>549</v>
      </c>
      <c r="B550" t="s">
        <v>21</v>
      </c>
      <c r="C550">
        <v>2019</v>
      </c>
      <c r="D550">
        <v>181325</v>
      </c>
      <c r="E550" t="s">
        <v>13</v>
      </c>
      <c r="F550" t="s">
        <v>18</v>
      </c>
      <c r="G550" t="s">
        <v>15</v>
      </c>
      <c r="H550">
        <v>4959</v>
      </c>
      <c r="I550">
        <v>189.4</v>
      </c>
      <c r="J550" s="2">
        <v>25.29</v>
      </c>
      <c r="K550">
        <v>7</v>
      </c>
      <c r="L550" s="1">
        <v>109845.1</v>
      </c>
      <c r="M550">
        <f t="shared" si="56"/>
        <v>5</v>
      </c>
      <c r="N550">
        <f t="shared" si="57"/>
        <v>21969.02</v>
      </c>
      <c r="O550">
        <f t="shared" si="58"/>
        <v>36265</v>
      </c>
      <c r="P550">
        <f t="shared" si="59"/>
        <v>38.193184109699537</v>
      </c>
      <c r="Q550" t="str">
        <f t="shared" si="60"/>
        <v>Recent (4-7 years)</v>
      </c>
      <c r="R550" t="str">
        <f t="shared" si="61"/>
        <v>Excellent</v>
      </c>
      <c r="S550" t="str">
        <f t="shared" si="62"/>
        <v>High</v>
      </c>
    </row>
    <row r="551" spans="1:19" x14ac:dyDescent="0.3">
      <c r="A551">
        <v>550</v>
      </c>
      <c r="B551" t="s">
        <v>21</v>
      </c>
      <c r="C551">
        <v>2018</v>
      </c>
      <c r="D551">
        <v>39051</v>
      </c>
      <c r="E551" t="s">
        <v>26</v>
      </c>
      <c r="F551" t="s">
        <v>18</v>
      </c>
      <c r="G551" t="s">
        <v>15</v>
      </c>
      <c r="H551">
        <v>4214</v>
      </c>
      <c r="I551">
        <v>323.3</v>
      </c>
      <c r="J551" s="2">
        <v>6.38</v>
      </c>
      <c r="K551">
        <v>4</v>
      </c>
      <c r="L551" s="1">
        <v>96342.88</v>
      </c>
      <c r="M551">
        <f t="shared" si="56"/>
        <v>6</v>
      </c>
      <c r="N551">
        <f t="shared" si="57"/>
        <v>16057.146666666667</v>
      </c>
      <c r="O551">
        <f t="shared" si="58"/>
        <v>6508.5</v>
      </c>
      <c r="P551">
        <f t="shared" si="59"/>
        <v>76.720455624110102</v>
      </c>
      <c r="Q551" t="str">
        <f t="shared" si="60"/>
        <v>Recent (4-7 years)</v>
      </c>
      <c r="R551" t="str">
        <f t="shared" si="61"/>
        <v>Low</v>
      </c>
      <c r="S551" t="str">
        <f t="shared" si="62"/>
        <v>Very High</v>
      </c>
    </row>
    <row r="552" spans="1:19" x14ac:dyDescent="0.3">
      <c r="A552">
        <v>551</v>
      </c>
      <c r="B552" t="s">
        <v>27</v>
      </c>
      <c r="C552">
        <v>2022</v>
      </c>
      <c r="D552">
        <v>54811</v>
      </c>
      <c r="E552" t="s">
        <v>26</v>
      </c>
      <c r="F552" t="s">
        <v>14</v>
      </c>
      <c r="G552" t="s">
        <v>15</v>
      </c>
      <c r="H552">
        <v>2175</v>
      </c>
      <c r="I552">
        <v>475.5</v>
      </c>
      <c r="J552" s="2">
        <v>18.45</v>
      </c>
      <c r="K552">
        <v>4</v>
      </c>
      <c r="L552" s="1">
        <v>110810.56</v>
      </c>
      <c r="M552">
        <f t="shared" si="56"/>
        <v>2</v>
      </c>
      <c r="N552">
        <f t="shared" si="57"/>
        <v>55405.279999999999</v>
      </c>
      <c r="O552">
        <f t="shared" si="58"/>
        <v>27405.5</v>
      </c>
      <c r="P552">
        <f t="shared" si="59"/>
        <v>218.62068965517244</v>
      </c>
      <c r="Q552" t="str">
        <f t="shared" si="60"/>
        <v>New (0-3 years)</v>
      </c>
      <c r="R552" t="str">
        <f t="shared" si="61"/>
        <v>Average</v>
      </c>
      <c r="S552" t="str">
        <f t="shared" si="62"/>
        <v>Very High</v>
      </c>
    </row>
    <row r="553" spans="1:19" x14ac:dyDescent="0.3">
      <c r="A553">
        <v>552</v>
      </c>
      <c r="B553" t="s">
        <v>25</v>
      </c>
      <c r="C553">
        <v>2024</v>
      </c>
      <c r="D553">
        <v>35447</v>
      </c>
      <c r="E553" t="s">
        <v>26</v>
      </c>
      <c r="F553" t="s">
        <v>14</v>
      </c>
      <c r="G553" t="s">
        <v>23</v>
      </c>
      <c r="H553">
        <v>1981</v>
      </c>
      <c r="I553">
        <v>520.70000000000005</v>
      </c>
      <c r="J553" s="2">
        <v>6.76</v>
      </c>
      <c r="K553">
        <v>6</v>
      </c>
      <c r="L553" s="1">
        <v>117485.2</v>
      </c>
      <c r="M553">
        <f t="shared" si="56"/>
        <v>0</v>
      </c>
      <c r="N553">
        <f t="shared" si="57"/>
        <v>117485.2</v>
      </c>
      <c r="O553">
        <f t="shared" si="58"/>
        <v>35447</v>
      </c>
      <c r="P553">
        <f t="shared" si="59"/>
        <v>262.8470469459869</v>
      </c>
      <c r="Q553" t="str">
        <f t="shared" si="60"/>
        <v>New (0-3 years)</v>
      </c>
      <c r="R553" t="str">
        <f t="shared" si="61"/>
        <v>Low</v>
      </c>
      <c r="S553" t="str">
        <f t="shared" si="62"/>
        <v>Very High</v>
      </c>
    </row>
    <row r="554" spans="1:19" x14ac:dyDescent="0.3">
      <c r="A554">
        <v>553</v>
      </c>
      <c r="B554" t="s">
        <v>19</v>
      </c>
      <c r="C554">
        <v>2011</v>
      </c>
      <c r="D554">
        <v>133046</v>
      </c>
      <c r="E554" t="s">
        <v>13</v>
      </c>
      <c r="F554" t="s">
        <v>14</v>
      </c>
      <c r="G554" t="s">
        <v>15</v>
      </c>
      <c r="H554">
        <v>1290</v>
      </c>
      <c r="I554">
        <v>513.1</v>
      </c>
      <c r="J554" s="2">
        <v>28.35</v>
      </c>
      <c r="K554">
        <v>2</v>
      </c>
      <c r="L554" s="1">
        <v>4248.3999999999996</v>
      </c>
      <c r="M554">
        <f t="shared" si="56"/>
        <v>13</v>
      </c>
      <c r="N554">
        <f t="shared" si="57"/>
        <v>326.79999999999995</v>
      </c>
      <c r="O554">
        <f t="shared" si="58"/>
        <v>10234.307692307691</v>
      </c>
      <c r="P554">
        <f t="shared" si="59"/>
        <v>397.75193798449612</v>
      </c>
      <c r="Q554" t="str">
        <f t="shared" si="60"/>
        <v>Old (12+ years)</v>
      </c>
      <c r="R554" t="str">
        <f t="shared" si="61"/>
        <v>Excellent</v>
      </c>
      <c r="S554" t="str">
        <f t="shared" si="62"/>
        <v>Very High</v>
      </c>
    </row>
    <row r="555" spans="1:19" x14ac:dyDescent="0.3">
      <c r="A555">
        <v>554</v>
      </c>
      <c r="B555" t="s">
        <v>29</v>
      </c>
      <c r="C555">
        <v>2007</v>
      </c>
      <c r="D555">
        <v>166326</v>
      </c>
      <c r="E555" t="s">
        <v>17</v>
      </c>
      <c r="F555" t="s">
        <v>18</v>
      </c>
      <c r="G555" t="s">
        <v>15</v>
      </c>
      <c r="H555">
        <v>4529</v>
      </c>
      <c r="I555">
        <v>241.4</v>
      </c>
      <c r="J555" s="2">
        <v>24.16</v>
      </c>
      <c r="K555">
        <v>6</v>
      </c>
      <c r="L555" s="1">
        <v>75860.73</v>
      </c>
      <c r="M555">
        <f t="shared" si="56"/>
        <v>17</v>
      </c>
      <c r="N555">
        <f t="shared" si="57"/>
        <v>4462.395882352941</v>
      </c>
      <c r="O555">
        <f t="shared" si="58"/>
        <v>9783.8823529411766</v>
      </c>
      <c r="P555">
        <f t="shared" si="59"/>
        <v>53.300949436961801</v>
      </c>
      <c r="Q555" t="str">
        <f t="shared" si="60"/>
        <v>Old (12+ years)</v>
      </c>
      <c r="R555" t="str">
        <f t="shared" si="61"/>
        <v>Good</v>
      </c>
      <c r="S555" t="str">
        <f t="shared" si="62"/>
        <v>Very High</v>
      </c>
    </row>
    <row r="556" spans="1:19" x14ac:dyDescent="0.3">
      <c r="A556">
        <v>555</v>
      </c>
      <c r="B556" t="s">
        <v>27</v>
      </c>
      <c r="C556">
        <v>2016</v>
      </c>
      <c r="D556">
        <v>89045</v>
      </c>
      <c r="E556" t="s">
        <v>13</v>
      </c>
      <c r="F556" t="s">
        <v>14</v>
      </c>
      <c r="G556" t="s">
        <v>20</v>
      </c>
      <c r="H556">
        <v>4334</v>
      </c>
      <c r="I556">
        <v>424.9</v>
      </c>
      <c r="J556" s="2">
        <v>21.45</v>
      </c>
      <c r="K556">
        <v>6</v>
      </c>
      <c r="L556" s="1">
        <v>51302.21</v>
      </c>
      <c r="M556">
        <f t="shared" si="56"/>
        <v>8</v>
      </c>
      <c r="N556">
        <f t="shared" si="57"/>
        <v>6412.7762499999999</v>
      </c>
      <c r="O556">
        <f t="shared" si="58"/>
        <v>11130.625</v>
      </c>
      <c r="P556">
        <f t="shared" si="59"/>
        <v>98.038763267189665</v>
      </c>
      <c r="Q556" t="str">
        <f t="shared" si="60"/>
        <v>Mature (8-12 years)</v>
      </c>
      <c r="R556" t="str">
        <f t="shared" si="61"/>
        <v>Good</v>
      </c>
      <c r="S556" t="str">
        <f t="shared" si="62"/>
        <v>Very High</v>
      </c>
    </row>
    <row r="557" spans="1:19" x14ac:dyDescent="0.3">
      <c r="A557">
        <v>556</v>
      </c>
      <c r="B557" t="s">
        <v>16</v>
      </c>
      <c r="C557">
        <v>2007</v>
      </c>
      <c r="D557">
        <v>121859</v>
      </c>
      <c r="E557" t="s">
        <v>22</v>
      </c>
      <c r="F557" t="s">
        <v>14</v>
      </c>
      <c r="G557" t="s">
        <v>15</v>
      </c>
      <c r="H557">
        <v>4096</v>
      </c>
      <c r="I557">
        <v>215.2</v>
      </c>
      <c r="J557" s="2">
        <v>25.6</v>
      </c>
      <c r="K557">
        <v>5</v>
      </c>
      <c r="L557" s="1">
        <v>103602.98</v>
      </c>
      <c r="M557">
        <f t="shared" si="56"/>
        <v>17</v>
      </c>
      <c r="N557">
        <f t="shared" si="57"/>
        <v>6094.2929411764708</v>
      </c>
      <c r="O557">
        <f t="shared" si="58"/>
        <v>7168.1764705882351</v>
      </c>
      <c r="P557">
        <f t="shared" si="59"/>
        <v>52.539062499999993</v>
      </c>
      <c r="Q557" t="str">
        <f t="shared" si="60"/>
        <v>Old (12+ years)</v>
      </c>
      <c r="R557" t="str">
        <f t="shared" si="61"/>
        <v>Excellent</v>
      </c>
      <c r="S557" t="str">
        <f t="shared" si="62"/>
        <v>Very High</v>
      </c>
    </row>
    <row r="558" spans="1:19" x14ac:dyDescent="0.3">
      <c r="A558">
        <v>557</v>
      </c>
      <c r="B558" t="s">
        <v>29</v>
      </c>
      <c r="C558">
        <v>2024</v>
      </c>
      <c r="D558">
        <v>193490</v>
      </c>
      <c r="E558" t="s">
        <v>17</v>
      </c>
      <c r="F558" t="s">
        <v>18</v>
      </c>
      <c r="G558" t="s">
        <v>15</v>
      </c>
      <c r="H558">
        <v>2740</v>
      </c>
      <c r="I558">
        <v>74.099999999999994</v>
      </c>
      <c r="J558" s="2">
        <v>21.19</v>
      </c>
      <c r="K558">
        <v>7</v>
      </c>
      <c r="L558" s="1">
        <v>32462.32</v>
      </c>
      <c r="M558">
        <f t="shared" si="56"/>
        <v>0</v>
      </c>
      <c r="N558">
        <f t="shared" si="57"/>
        <v>32462.32</v>
      </c>
      <c r="O558">
        <f t="shared" si="58"/>
        <v>193490</v>
      </c>
      <c r="P558">
        <f t="shared" si="59"/>
        <v>27.043795620437951</v>
      </c>
      <c r="Q558" t="str">
        <f t="shared" si="60"/>
        <v>New (0-3 years)</v>
      </c>
      <c r="R558" t="str">
        <f t="shared" si="61"/>
        <v>Good</v>
      </c>
      <c r="S558" t="str">
        <f t="shared" si="62"/>
        <v>Low</v>
      </c>
    </row>
    <row r="559" spans="1:19" x14ac:dyDescent="0.3">
      <c r="A559">
        <v>558</v>
      </c>
      <c r="B559" t="s">
        <v>12</v>
      </c>
      <c r="C559">
        <v>2018</v>
      </c>
      <c r="D559">
        <v>150544</v>
      </c>
      <c r="E559" t="s">
        <v>26</v>
      </c>
      <c r="F559" t="s">
        <v>18</v>
      </c>
      <c r="G559" t="s">
        <v>23</v>
      </c>
      <c r="H559">
        <v>2682</v>
      </c>
      <c r="I559">
        <v>432.9</v>
      </c>
      <c r="J559" s="2">
        <v>29.22</v>
      </c>
      <c r="K559">
        <v>4</v>
      </c>
      <c r="L559" s="1">
        <v>117780.45</v>
      </c>
      <c r="M559">
        <f t="shared" si="56"/>
        <v>6</v>
      </c>
      <c r="N559">
        <f t="shared" si="57"/>
        <v>19630.075000000001</v>
      </c>
      <c r="O559">
        <f t="shared" si="58"/>
        <v>25090.666666666668</v>
      </c>
      <c r="P559">
        <f t="shared" si="59"/>
        <v>161.40939597315435</v>
      </c>
      <c r="Q559" t="str">
        <f t="shared" si="60"/>
        <v>Recent (4-7 years)</v>
      </c>
      <c r="R559" t="str">
        <f t="shared" si="61"/>
        <v>Excellent</v>
      </c>
      <c r="S559" t="str">
        <f t="shared" si="62"/>
        <v>Very High</v>
      </c>
    </row>
    <row r="560" spans="1:19" x14ac:dyDescent="0.3">
      <c r="A560">
        <v>559</v>
      </c>
      <c r="B560" t="s">
        <v>30</v>
      </c>
      <c r="C560">
        <v>2019</v>
      </c>
      <c r="D560">
        <v>8471</v>
      </c>
      <c r="E560" t="s">
        <v>13</v>
      </c>
      <c r="F560" t="s">
        <v>14</v>
      </c>
      <c r="G560" t="s">
        <v>23</v>
      </c>
      <c r="H560">
        <v>3787</v>
      </c>
      <c r="I560">
        <v>45.5</v>
      </c>
      <c r="J560" s="2">
        <v>22.85</v>
      </c>
      <c r="K560">
        <v>2</v>
      </c>
      <c r="L560" s="1">
        <v>74803.83</v>
      </c>
      <c r="M560">
        <f t="shared" si="56"/>
        <v>5</v>
      </c>
      <c r="N560">
        <f t="shared" si="57"/>
        <v>14960.766</v>
      </c>
      <c r="O560">
        <f t="shared" si="58"/>
        <v>1694.2</v>
      </c>
      <c r="P560">
        <f t="shared" si="59"/>
        <v>12.014787430683919</v>
      </c>
      <c r="Q560" t="str">
        <f t="shared" si="60"/>
        <v>Recent (4-7 years)</v>
      </c>
      <c r="R560" t="str">
        <f t="shared" si="61"/>
        <v>Good</v>
      </c>
      <c r="S560" t="str">
        <f t="shared" si="62"/>
        <v>Low</v>
      </c>
    </row>
    <row r="561" spans="1:19" x14ac:dyDescent="0.3">
      <c r="A561">
        <v>560</v>
      </c>
      <c r="B561" t="s">
        <v>16</v>
      </c>
      <c r="C561">
        <v>2018</v>
      </c>
      <c r="D561">
        <v>125312</v>
      </c>
      <c r="E561" t="s">
        <v>26</v>
      </c>
      <c r="F561" t="s">
        <v>18</v>
      </c>
      <c r="G561" t="s">
        <v>20</v>
      </c>
      <c r="H561">
        <v>3959</v>
      </c>
      <c r="I561">
        <v>269.10000000000002</v>
      </c>
      <c r="J561" s="2">
        <v>28.12</v>
      </c>
      <c r="K561">
        <v>7</v>
      </c>
      <c r="L561" s="1">
        <v>95843.88</v>
      </c>
      <c r="M561">
        <f t="shared" si="56"/>
        <v>6</v>
      </c>
      <c r="N561">
        <f t="shared" si="57"/>
        <v>15973.980000000001</v>
      </c>
      <c r="O561">
        <f t="shared" si="58"/>
        <v>20885.333333333332</v>
      </c>
      <c r="P561">
        <f t="shared" si="59"/>
        <v>67.971710027784795</v>
      </c>
      <c r="Q561" t="str">
        <f t="shared" si="60"/>
        <v>Recent (4-7 years)</v>
      </c>
      <c r="R561" t="str">
        <f t="shared" si="61"/>
        <v>Excellent</v>
      </c>
      <c r="S561" t="str">
        <f t="shared" si="62"/>
        <v>Very High</v>
      </c>
    </row>
    <row r="562" spans="1:19" x14ac:dyDescent="0.3">
      <c r="A562">
        <v>561</v>
      </c>
      <c r="B562" t="s">
        <v>16</v>
      </c>
      <c r="C562">
        <v>2011</v>
      </c>
      <c r="D562">
        <v>144401</v>
      </c>
      <c r="E562" t="s">
        <v>26</v>
      </c>
      <c r="F562" t="s">
        <v>18</v>
      </c>
      <c r="G562" t="s">
        <v>15</v>
      </c>
      <c r="H562">
        <v>1481</v>
      </c>
      <c r="I562">
        <v>224.5</v>
      </c>
      <c r="J562" s="2">
        <v>17.93</v>
      </c>
      <c r="K562">
        <v>7</v>
      </c>
      <c r="L562" s="1">
        <v>13015.15</v>
      </c>
      <c r="M562">
        <f t="shared" si="56"/>
        <v>13</v>
      </c>
      <c r="N562">
        <f t="shared" si="57"/>
        <v>1001.1653846153846</v>
      </c>
      <c r="O562">
        <f t="shared" si="58"/>
        <v>11107.76923076923</v>
      </c>
      <c r="P562">
        <f t="shared" si="59"/>
        <v>151.5867656988521</v>
      </c>
      <c r="Q562" t="str">
        <f t="shared" si="60"/>
        <v>Old (12+ years)</v>
      </c>
      <c r="R562" t="str">
        <f t="shared" si="61"/>
        <v>Average</v>
      </c>
      <c r="S562" t="str">
        <f t="shared" si="62"/>
        <v>Very High</v>
      </c>
    </row>
    <row r="563" spans="1:19" x14ac:dyDescent="0.3">
      <c r="A563">
        <v>562</v>
      </c>
      <c r="B563" t="s">
        <v>27</v>
      </c>
      <c r="C563">
        <v>2021</v>
      </c>
      <c r="D563">
        <v>170937</v>
      </c>
      <c r="E563" t="s">
        <v>22</v>
      </c>
      <c r="F563" t="s">
        <v>14</v>
      </c>
      <c r="G563" t="s">
        <v>20</v>
      </c>
      <c r="H563">
        <v>1873</v>
      </c>
      <c r="I563">
        <v>428.3</v>
      </c>
      <c r="J563" s="2">
        <v>7.93</v>
      </c>
      <c r="K563">
        <v>2</v>
      </c>
      <c r="L563" s="1">
        <v>24464.57</v>
      </c>
      <c r="M563">
        <f t="shared" si="56"/>
        <v>3</v>
      </c>
      <c r="N563">
        <f t="shared" si="57"/>
        <v>8154.8566666666666</v>
      </c>
      <c r="O563">
        <f t="shared" si="58"/>
        <v>56979</v>
      </c>
      <c r="P563">
        <f t="shared" si="59"/>
        <v>228.67058195408435</v>
      </c>
      <c r="Q563" t="str">
        <f t="shared" si="60"/>
        <v>New (0-3 years)</v>
      </c>
      <c r="R563" t="str">
        <f t="shared" si="61"/>
        <v>Low</v>
      </c>
      <c r="S563" t="str">
        <f t="shared" si="62"/>
        <v>Very High</v>
      </c>
    </row>
    <row r="564" spans="1:19" x14ac:dyDescent="0.3">
      <c r="A564">
        <v>563</v>
      </c>
      <c r="B564" t="s">
        <v>25</v>
      </c>
      <c r="C564">
        <v>2016</v>
      </c>
      <c r="D564">
        <v>51850</v>
      </c>
      <c r="E564" t="s">
        <v>17</v>
      </c>
      <c r="F564" t="s">
        <v>18</v>
      </c>
      <c r="G564" t="s">
        <v>23</v>
      </c>
      <c r="H564">
        <v>3187</v>
      </c>
      <c r="I564">
        <v>469.1</v>
      </c>
      <c r="J564" s="2">
        <v>18.2</v>
      </c>
      <c r="K564">
        <v>7</v>
      </c>
      <c r="L564" s="1">
        <v>91733.23</v>
      </c>
      <c r="M564">
        <f t="shared" si="56"/>
        <v>8</v>
      </c>
      <c r="N564">
        <f t="shared" si="57"/>
        <v>11466.653749999999</v>
      </c>
      <c r="O564">
        <f t="shared" si="58"/>
        <v>6481.25</v>
      </c>
      <c r="P564">
        <f t="shared" si="59"/>
        <v>147.19171634766241</v>
      </c>
      <c r="Q564" t="str">
        <f t="shared" si="60"/>
        <v>Mature (8-12 years)</v>
      </c>
      <c r="R564" t="str">
        <f t="shared" si="61"/>
        <v>Average</v>
      </c>
      <c r="S564" t="str">
        <f t="shared" si="62"/>
        <v>Very High</v>
      </c>
    </row>
    <row r="565" spans="1:19" x14ac:dyDescent="0.3">
      <c r="A565">
        <v>564</v>
      </c>
      <c r="B565" t="s">
        <v>27</v>
      </c>
      <c r="C565">
        <v>2024</v>
      </c>
      <c r="D565">
        <v>59220</v>
      </c>
      <c r="E565" t="s">
        <v>22</v>
      </c>
      <c r="F565" t="s">
        <v>18</v>
      </c>
      <c r="G565" t="s">
        <v>20</v>
      </c>
      <c r="H565">
        <v>3194</v>
      </c>
      <c r="I565">
        <v>210.3</v>
      </c>
      <c r="J565" s="2">
        <v>8.17</v>
      </c>
      <c r="K565">
        <v>5</v>
      </c>
      <c r="L565" s="1">
        <v>5572.42</v>
      </c>
      <c r="M565">
        <f t="shared" si="56"/>
        <v>0</v>
      </c>
      <c r="N565">
        <f t="shared" si="57"/>
        <v>5572.42</v>
      </c>
      <c r="O565">
        <f t="shared" si="58"/>
        <v>59220</v>
      </c>
      <c r="P565">
        <f t="shared" si="59"/>
        <v>65.842204132748904</v>
      </c>
      <c r="Q565" t="str">
        <f t="shared" si="60"/>
        <v>New (0-3 years)</v>
      </c>
      <c r="R565" t="str">
        <f t="shared" si="61"/>
        <v>Low</v>
      </c>
      <c r="S565" t="str">
        <f t="shared" si="62"/>
        <v>Very High</v>
      </c>
    </row>
    <row r="566" spans="1:19" x14ac:dyDescent="0.3">
      <c r="A566">
        <v>565</v>
      </c>
      <c r="B566" t="s">
        <v>12</v>
      </c>
      <c r="C566">
        <v>2008</v>
      </c>
      <c r="D566">
        <v>98808</v>
      </c>
      <c r="E566" t="s">
        <v>22</v>
      </c>
      <c r="F566" t="s">
        <v>14</v>
      </c>
      <c r="G566" t="s">
        <v>23</v>
      </c>
      <c r="H566">
        <v>3493</v>
      </c>
      <c r="I566">
        <v>494.5</v>
      </c>
      <c r="J566" s="2">
        <v>19.809999999999999</v>
      </c>
      <c r="K566">
        <v>7</v>
      </c>
      <c r="L566" s="1">
        <v>98574.720000000001</v>
      </c>
      <c r="M566">
        <f t="shared" si="56"/>
        <v>16</v>
      </c>
      <c r="N566">
        <f t="shared" si="57"/>
        <v>6160.92</v>
      </c>
      <c r="O566">
        <f t="shared" si="58"/>
        <v>6175.5</v>
      </c>
      <c r="P566">
        <f t="shared" si="59"/>
        <v>141.56885198969368</v>
      </c>
      <c r="Q566" t="str">
        <f t="shared" si="60"/>
        <v>Old (12+ years)</v>
      </c>
      <c r="R566" t="str">
        <f t="shared" si="61"/>
        <v>Average</v>
      </c>
      <c r="S566" t="str">
        <f t="shared" si="62"/>
        <v>Very High</v>
      </c>
    </row>
    <row r="567" spans="1:19" x14ac:dyDescent="0.3">
      <c r="A567">
        <v>566</v>
      </c>
      <c r="B567" t="s">
        <v>24</v>
      </c>
      <c r="C567">
        <v>2013</v>
      </c>
      <c r="D567">
        <v>142469</v>
      </c>
      <c r="E567" t="s">
        <v>22</v>
      </c>
      <c r="F567" t="s">
        <v>18</v>
      </c>
      <c r="G567" t="s">
        <v>20</v>
      </c>
      <c r="H567">
        <v>2170</v>
      </c>
      <c r="I567">
        <v>204.6</v>
      </c>
      <c r="J567" s="2">
        <v>17.059999999999999</v>
      </c>
      <c r="K567">
        <v>5</v>
      </c>
      <c r="L567" s="1">
        <v>4632.04</v>
      </c>
      <c r="M567">
        <f t="shared" si="56"/>
        <v>11</v>
      </c>
      <c r="N567">
        <f t="shared" si="57"/>
        <v>421.09454545454543</v>
      </c>
      <c r="O567">
        <f t="shared" si="58"/>
        <v>12951.727272727272</v>
      </c>
      <c r="P567">
        <f t="shared" si="59"/>
        <v>94.285714285714292</v>
      </c>
      <c r="Q567" t="str">
        <f t="shared" si="60"/>
        <v>Mature (8-12 years)</v>
      </c>
      <c r="R567" t="str">
        <f t="shared" si="61"/>
        <v>Average</v>
      </c>
      <c r="S567" t="str">
        <f t="shared" si="62"/>
        <v>Very High</v>
      </c>
    </row>
    <row r="568" spans="1:19" x14ac:dyDescent="0.3">
      <c r="A568">
        <v>567</v>
      </c>
      <c r="B568" t="s">
        <v>24</v>
      </c>
      <c r="C568">
        <v>2010</v>
      </c>
      <c r="D568">
        <v>171597</v>
      </c>
      <c r="E568" t="s">
        <v>26</v>
      </c>
      <c r="F568" t="s">
        <v>14</v>
      </c>
      <c r="G568" t="s">
        <v>20</v>
      </c>
      <c r="H568">
        <v>2956</v>
      </c>
      <c r="I568">
        <v>289.89999999999998</v>
      </c>
      <c r="J568" s="2">
        <v>20.56</v>
      </c>
      <c r="K568">
        <v>4</v>
      </c>
      <c r="L568" s="1">
        <v>79882.899999999994</v>
      </c>
      <c r="M568">
        <f t="shared" si="56"/>
        <v>14</v>
      </c>
      <c r="N568">
        <f t="shared" si="57"/>
        <v>5705.9214285714279</v>
      </c>
      <c r="O568">
        <f t="shared" si="58"/>
        <v>12256.928571428571</v>
      </c>
      <c r="P568">
        <f t="shared" si="59"/>
        <v>98.071718538565619</v>
      </c>
      <c r="Q568" t="str">
        <f t="shared" si="60"/>
        <v>Old (12+ years)</v>
      </c>
      <c r="R568" t="str">
        <f t="shared" si="61"/>
        <v>Good</v>
      </c>
      <c r="S568" t="str">
        <f t="shared" si="62"/>
        <v>Very High</v>
      </c>
    </row>
    <row r="569" spans="1:19" x14ac:dyDescent="0.3">
      <c r="A569">
        <v>568</v>
      </c>
      <c r="B569" t="s">
        <v>25</v>
      </c>
      <c r="C569">
        <v>2020</v>
      </c>
      <c r="D569">
        <v>58072</v>
      </c>
      <c r="E569" t="s">
        <v>22</v>
      </c>
      <c r="F569" t="s">
        <v>14</v>
      </c>
      <c r="G569" t="s">
        <v>15</v>
      </c>
      <c r="H569">
        <v>3380</v>
      </c>
      <c r="I569">
        <v>447.1</v>
      </c>
      <c r="J569" s="2">
        <v>5.25</v>
      </c>
      <c r="K569">
        <v>4</v>
      </c>
      <c r="L569" s="1">
        <v>45715.99</v>
      </c>
      <c r="M569">
        <f t="shared" si="56"/>
        <v>4</v>
      </c>
      <c r="N569">
        <f t="shared" si="57"/>
        <v>11428.997499999999</v>
      </c>
      <c r="O569">
        <f t="shared" si="58"/>
        <v>14518</v>
      </c>
      <c r="P569">
        <f t="shared" si="59"/>
        <v>132.27810650887574</v>
      </c>
      <c r="Q569" t="str">
        <f t="shared" si="60"/>
        <v>Recent (4-7 years)</v>
      </c>
      <c r="R569" t="str">
        <f t="shared" si="61"/>
        <v>Low</v>
      </c>
      <c r="S569" t="str">
        <f t="shared" si="62"/>
        <v>Very High</v>
      </c>
    </row>
    <row r="570" spans="1:19" x14ac:dyDescent="0.3">
      <c r="A570">
        <v>569</v>
      </c>
      <c r="B570" t="s">
        <v>12</v>
      </c>
      <c r="C570">
        <v>2006</v>
      </c>
      <c r="D570">
        <v>88820</v>
      </c>
      <c r="E570" t="s">
        <v>22</v>
      </c>
      <c r="F570" t="s">
        <v>18</v>
      </c>
      <c r="G570" t="s">
        <v>20</v>
      </c>
      <c r="H570">
        <v>2959</v>
      </c>
      <c r="I570">
        <v>428</v>
      </c>
      <c r="J570" s="2">
        <v>9.8699999999999992</v>
      </c>
      <c r="K570">
        <v>6</v>
      </c>
      <c r="L570" s="1">
        <v>74544.899999999994</v>
      </c>
      <c r="M570">
        <f t="shared" si="56"/>
        <v>18</v>
      </c>
      <c r="N570">
        <f t="shared" si="57"/>
        <v>4141.3833333333332</v>
      </c>
      <c r="O570">
        <f t="shared" si="58"/>
        <v>4934.4444444444443</v>
      </c>
      <c r="P570">
        <f t="shared" si="59"/>
        <v>144.64346062859073</v>
      </c>
      <c r="Q570" t="str">
        <f t="shared" si="60"/>
        <v>Old (12+ years)</v>
      </c>
      <c r="R570" t="str">
        <f t="shared" si="61"/>
        <v>Low</v>
      </c>
      <c r="S570" t="str">
        <f t="shared" si="62"/>
        <v>Very High</v>
      </c>
    </row>
    <row r="571" spans="1:19" x14ac:dyDescent="0.3">
      <c r="A571">
        <v>570</v>
      </c>
      <c r="B571" t="s">
        <v>25</v>
      </c>
      <c r="C571">
        <v>2012</v>
      </c>
      <c r="D571">
        <v>28284</v>
      </c>
      <c r="E571" t="s">
        <v>17</v>
      </c>
      <c r="F571" t="s">
        <v>18</v>
      </c>
      <c r="G571" t="s">
        <v>15</v>
      </c>
      <c r="H571">
        <v>4048</v>
      </c>
      <c r="I571">
        <v>592.9</v>
      </c>
      <c r="J571" s="2">
        <v>17.28</v>
      </c>
      <c r="K571">
        <v>5</v>
      </c>
      <c r="L571" s="1">
        <v>84435.67</v>
      </c>
      <c r="M571">
        <f t="shared" si="56"/>
        <v>12</v>
      </c>
      <c r="N571">
        <f t="shared" si="57"/>
        <v>7036.3058333333329</v>
      </c>
      <c r="O571">
        <f t="shared" si="58"/>
        <v>2357</v>
      </c>
      <c r="P571">
        <f t="shared" si="59"/>
        <v>146.46739130434781</v>
      </c>
      <c r="Q571" t="str">
        <f t="shared" si="60"/>
        <v>Mature (8-12 years)</v>
      </c>
      <c r="R571" t="str">
        <f t="shared" si="61"/>
        <v>Average</v>
      </c>
      <c r="S571" t="str">
        <f t="shared" si="62"/>
        <v>Very High</v>
      </c>
    </row>
    <row r="572" spans="1:19" x14ac:dyDescent="0.3">
      <c r="A572">
        <v>571</v>
      </c>
      <c r="B572" t="s">
        <v>28</v>
      </c>
      <c r="C572">
        <v>2015</v>
      </c>
      <c r="D572">
        <v>197402</v>
      </c>
      <c r="E572" t="s">
        <v>17</v>
      </c>
      <c r="F572" t="s">
        <v>18</v>
      </c>
      <c r="G572" t="s">
        <v>15</v>
      </c>
      <c r="H572">
        <v>4531</v>
      </c>
      <c r="I572">
        <v>166.1</v>
      </c>
      <c r="J572" s="2">
        <v>28.76</v>
      </c>
      <c r="K572">
        <v>4</v>
      </c>
      <c r="L572" s="1">
        <v>43069.599999999999</v>
      </c>
      <c r="M572">
        <f t="shared" si="56"/>
        <v>9</v>
      </c>
      <c r="N572">
        <f t="shared" si="57"/>
        <v>4785.5111111111109</v>
      </c>
      <c r="O572">
        <f t="shared" si="58"/>
        <v>21933.555555555555</v>
      </c>
      <c r="P572">
        <f t="shared" si="59"/>
        <v>36.658574266166411</v>
      </c>
      <c r="Q572" t="str">
        <f t="shared" si="60"/>
        <v>Mature (8-12 years)</v>
      </c>
      <c r="R572" t="str">
        <f t="shared" si="61"/>
        <v>Excellent</v>
      </c>
      <c r="S572" t="str">
        <f t="shared" si="62"/>
        <v>High</v>
      </c>
    </row>
    <row r="573" spans="1:19" x14ac:dyDescent="0.3">
      <c r="A573">
        <v>572</v>
      </c>
      <c r="B573" t="s">
        <v>24</v>
      </c>
      <c r="C573">
        <v>2017</v>
      </c>
      <c r="D573">
        <v>88369</v>
      </c>
      <c r="E573" t="s">
        <v>22</v>
      </c>
      <c r="F573" t="s">
        <v>14</v>
      </c>
      <c r="G573" t="s">
        <v>15</v>
      </c>
      <c r="H573">
        <v>4629</v>
      </c>
      <c r="I573">
        <v>410.9</v>
      </c>
      <c r="J573" s="2">
        <v>14.59</v>
      </c>
      <c r="K573">
        <v>7</v>
      </c>
      <c r="L573" s="1">
        <v>15631.61</v>
      </c>
      <c r="M573">
        <f t="shared" si="56"/>
        <v>7</v>
      </c>
      <c r="N573">
        <f t="shared" si="57"/>
        <v>2233.0871428571431</v>
      </c>
      <c r="O573">
        <f t="shared" si="58"/>
        <v>12624.142857142857</v>
      </c>
      <c r="P573">
        <f t="shared" si="59"/>
        <v>88.766472240224672</v>
      </c>
      <c r="Q573" t="str">
        <f t="shared" si="60"/>
        <v>Recent (4-7 years)</v>
      </c>
      <c r="R573" t="str">
        <f t="shared" si="61"/>
        <v>Low</v>
      </c>
      <c r="S573" t="str">
        <f t="shared" si="62"/>
        <v>Very High</v>
      </c>
    </row>
    <row r="574" spans="1:19" x14ac:dyDescent="0.3">
      <c r="A574">
        <v>573</v>
      </c>
      <c r="B574" t="s">
        <v>16</v>
      </c>
      <c r="C574">
        <v>2021</v>
      </c>
      <c r="D574">
        <v>30122</v>
      </c>
      <c r="E574" t="s">
        <v>17</v>
      </c>
      <c r="F574" t="s">
        <v>18</v>
      </c>
      <c r="G574" t="s">
        <v>15</v>
      </c>
      <c r="H574">
        <v>2427</v>
      </c>
      <c r="I574">
        <v>381.4</v>
      </c>
      <c r="J574" s="2">
        <v>15.61</v>
      </c>
      <c r="K574">
        <v>2</v>
      </c>
      <c r="L574" s="1">
        <v>11148.57</v>
      </c>
      <c r="M574">
        <f t="shared" si="56"/>
        <v>3</v>
      </c>
      <c r="N574">
        <f t="shared" si="57"/>
        <v>3716.19</v>
      </c>
      <c r="O574">
        <f t="shared" si="58"/>
        <v>10040.666666666666</v>
      </c>
      <c r="P574">
        <f t="shared" si="59"/>
        <v>157.14874330449112</v>
      </c>
      <c r="Q574" t="str">
        <f t="shared" si="60"/>
        <v>New (0-3 years)</v>
      </c>
      <c r="R574" t="str">
        <f t="shared" si="61"/>
        <v>Average</v>
      </c>
      <c r="S574" t="str">
        <f t="shared" si="62"/>
        <v>Very High</v>
      </c>
    </row>
    <row r="575" spans="1:19" x14ac:dyDescent="0.3">
      <c r="A575">
        <v>574</v>
      </c>
      <c r="B575" t="s">
        <v>19</v>
      </c>
      <c r="C575">
        <v>2012</v>
      </c>
      <c r="D575">
        <v>135349</v>
      </c>
      <c r="E575" t="s">
        <v>17</v>
      </c>
      <c r="F575" t="s">
        <v>14</v>
      </c>
      <c r="G575" t="s">
        <v>20</v>
      </c>
      <c r="H575">
        <v>4272</v>
      </c>
      <c r="I575">
        <v>552.5</v>
      </c>
      <c r="J575" s="2">
        <v>22.87</v>
      </c>
      <c r="K575">
        <v>2</v>
      </c>
      <c r="L575" s="1">
        <v>71905.509999999995</v>
      </c>
      <c r="M575">
        <f t="shared" si="56"/>
        <v>12</v>
      </c>
      <c r="N575">
        <f t="shared" si="57"/>
        <v>5992.1258333333326</v>
      </c>
      <c r="O575">
        <f t="shared" si="58"/>
        <v>11279.083333333334</v>
      </c>
      <c r="P575">
        <f t="shared" si="59"/>
        <v>129.33052434456928</v>
      </c>
      <c r="Q575" t="str">
        <f t="shared" si="60"/>
        <v>Mature (8-12 years)</v>
      </c>
      <c r="R575" t="str">
        <f t="shared" si="61"/>
        <v>Good</v>
      </c>
      <c r="S575" t="str">
        <f t="shared" si="62"/>
        <v>Very High</v>
      </c>
    </row>
    <row r="576" spans="1:19" x14ac:dyDescent="0.3">
      <c r="A576">
        <v>575</v>
      </c>
      <c r="B576" t="s">
        <v>30</v>
      </c>
      <c r="C576">
        <v>2022</v>
      </c>
      <c r="D576">
        <v>75553</v>
      </c>
      <c r="E576" t="s">
        <v>22</v>
      </c>
      <c r="F576" t="s">
        <v>18</v>
      </c>
      <c r="G576" t="s">
        <v>23</v>
      </c>
      <c r="H576">
        <v>827</v>
      </c>
      <c r="I576">
        <v>127.6</v>
      </c>
      <c r="J576" s="2">
        <v>20.09</v>
      </c>
      <c r="K576">
        <v>5</v>
      </c>
      <c r="L576" s="1">
        <v>63916.68</v>
      </c>
      <c r="M576">
        <f t="shared" si="56"/>
        <v>2</v>
      </c>
      <c r="N576">
        <f t="shared" si="57"/>
        <v>31958.34</v>
      </c>
      <c r="O576">
        <f t="shared" si="58"/>
        <v>37776.5</v>
      </c>
      <c r="P576">
        <f t="shared" si="59"/>
        <v>154.29262394195888</v>
      </c>
      <c r="Q576" t="str">
        <f t="shared" si="60"/>
        <v>New (0-3 years)</v>
      </c>
      <c r="R576" t="str">
        <f t="shared" si="61"/>
        <v>Good</v>
      </c>
      <c r="S576" t="str">
        <f t="shared" si="62"/>
        <v>Medium</v>
      </c>
    </row>
    <row r="577" spans="1:19" x14ac:dyDescent="0.3">
      <c r="A577">
        <v>576</v>
      </c>
      <c r="B577" t="s">
        <v>12</v>
      </c>
      <c r="C577">
        <v>2022</v>
      </c>
      <c r="D577">
        <v>99788</v>
      </c>
      <c r="E577" t="s">
        <v>26</v>
      </c>
      <c r="F577" t="s">
        <v>18</v>
      </c>
      <c r="G577" t="s">
        <v>23</v>
      </c>
      <c r="H577">
        <v>2785</v>
      </c>
      <c r="I577">
        <v>461</v>
      </c>
      <c r="J577" s="2">
        <v>12.47</v>
      </c>
      <c r="K577">
        <v>6</v>
      </c>
      <c r="L577" s="1">
        <v>89837.52</v>
      </c>
      <c r="M577">
        <f t="shared" si="56"/>
        <v>2</v>
      </c>
      <c r="N577">
        <f t="shared" si="57"/>
        <v>44918.76</v>
      </c>
      <c r="O577">
        <f t="shared" si="58"/>
        <v>49894</v>
      </c>
      <c r="P577">
        <f t="shared" si="59"/>
        <v>165.52962298025133</v>
      </c>
      <c r="Q577" t="str">
        <f t="shared" si="60"/>
        <v>New (0-3 years)</v>
      </c>
      <c r="R577" t="str">
        <f t="shared" si="61"/>
        <v>Low</v>
      </c>
      <c r="S577" t="str">
        <f t="shared" si="62"/>
        <v>Very High</v>
      </c>
    </row>
    <row r="578" spans="1:19" x14ac:dyDescent="0.3">
      <c r="A578">
        <v>577</v>
      </c>
      <c r="B578" t="s">
        <v>29</v>
      </c>
      <c r="C578">
        <v>2018</v>
      </c>
      <c r="D578">
        <v>67812</v>
      </c>
      <c r="E578" t="s">
        <v>22</v>
      </c>
      <c r="F578" t="s">
        <v>18</v>
      </c>
      <c r="G578" t="s">
        <v>23</v>
      </c>
      <c r="H578">
        <v>4953</v>
      </c>
      <c r="I578">
        <v>358.2</v>
      </c>
      <c r="J578" s="2">
        <v>15.27</v>
      </c>
      <c r="K578">
        <v>7</v>
      </c>
      <c r="L578" s="1">
        <v>62639.05</v>
      </c>
      <c r="M578">
        <f t="shared" si="56"/>
        <v>6</v>
      </c>
      <c r="N578">
        <f t="shared" si="57"/>
        <v>10439.841666666667</v>
      </c>
      <c r="O578">
        <f t="shared" si="58"/>
        <v>11302</v>
      </c>
      <c r="P578">
        <f t="shared" si="59"/>
        <v>72.31980617807389</v>
      </c>
      <c r="Q578" t="str">
        <f t="shared" si="60"/>
        <v>Recent (4-7 years)</v>
      </c>
      <c r="R578" t="str">
        <f t="shared" si="61"/>
        <v>Average</v>
      </c>
      <c r="S578" t="str">
        <f t="shared" si="62"/>
        <v>Very High</v>
      </c>
    </row>
    <row r="579" spans="1:19" x14ac:dyDescent="0.3">
      <c r="A579">
        <v>578</v>
      </c>
      <c r="B579" t="s">
        <v>25</v>
      </c>
      <c r="C579">
        <v>2019</v>
      </c>
      <c r="D579">
        <v>12999</v>
      </c>
      <c r="E579" t="s">
        <v>17</v>
      </c>
      <c r="F579" t="s">
        <v>14</v>
      </c>
      <c r="G579" t="s">
        <v>20</v>
      </c>
      <c r="H579">
        <v>2321</v>
      </c>
      <c r="I579">
        <v>193.8</v>
      </c>
      <c r="J579" s="2">
        <v>10.44</v>
      </c>
      <c r="K579">
        <v>5</v>
      </c>
      <c r="L579" s="1">
        <v>52426.16</v>
      </c>
      <c r="M579">
        <f t="shared" ref="M579:M642" si="63">2024-C579</f>
        <v>5</v>
      </c>
      <c r="N579">
        <f t="shared" ref="N579:N642" si="64">IF(M579&gt;0, L579/M579, L579)</f>
        <v>10485.232</v>
      </c>
      <c r="O579">
        <f t="shared" ref="O579:O642" si="65">IF(M579&gt;0, D579/M579, D579)</f>
        <v>2599.8000000000002</v>
      </c>
      <c r="P579">
        <f t="shared" ref="P579:P642" si="66">IF(H579&gt;0, I579/(H579/1000), 0)</f>
        <v>83.498492029297722</v>
      </c>
      <c r="Q579" t="str">
        <f t="shared" ref="Q579:Q642" si="67">IF(M579&lt;=3, "New (0-3 years)",
   IF(M579&lt;=7, "Recent (4-7 years)",
   IF(M579&lt;=12, "Mature (8-12 years)",
   "Old (12+ years)")))</f>
        <v>Recent (4-7 years)</v>
      </c>
      <c r="R579" t="str">
        <f t="shared" ref="R579:R642" si="68">IF(J579&gt;=25, "Excellent",
   IF(J579&gt;=20, "Good",
   IF(J579&gt;=15, "Average",
   "Low")))</f>
        <v>Low</v>
      </c>
      <c r="S579" t="str">
        <f t="shared" ref="S579:S642" si="69">IF(I579&gt;=200, "Very High",
   IF(I579&gt;=150, "High",
   IF(I579&gt;=100, "Medium",
   "Low")))</f>
        <v>High</v>
      </c>
    </row>
    <row r="580" spans="1:19" x14ac:dyDescent="0.3">
      <c r="A580">
        <v>579</v>
      </c>
      <c r="B580" t="s">
        <v>30</v>
      </c>
      <c r="C580">
        <v>2010</v>
      </c>
      <c r="D580">
        <v>27436</v>
      </c>
      <c r="E580" t="s">
        <v>26</v>
      </c>
      <c r="F580" t="s">
        <v>18</v>
      </c>
      <c r="G580" t="s">
        <v>15</v>
      </c>
      <c r="H580">
        <v>1096</v>
      </c>
      <c r="I580">
        <v>305.7</v>
      </c>
      <c r="J580" s="2">
        <v>29.15</v>
      </c>
      <c r="K580">
        <v>2</v>
      </c>
      <c r="L580" s="1">
        <v>49576.2</v>
      </c>
      <c r="M580">
        <f t="shared" si="63"/>
        <v>14</v>
      </c>
      <c r="N580">
        <f t="shared" si="64"/>
        <v>3541.1571428571428</v>
      </c>
      <c r="O580">
        <f t="shared" si="65"/>
        <v>1959.7142857142858</v>
      </c>
      <c r="P580">
        <f t="shared" si="66"/>
        <v>278.92335766423355</v>
      </c>
      <c r="Q580" t="str">
        <f t="shared" si="67"/>
        <v>Old (12+ years)</v>
      </c>
      <c r="R580" t="str">
        <f t="shared" si="68"/>
        <v>Excellent</v>
      </c>
      <c r="S580" t="str">
        <f t="shared" si="69"/>
        <v>Very High</v>
      </c>
    </row>
    <row r="581" spans="1:19" x14ac:dyDescent="0.3">
      <c r="A581">
        <v>580</v>
      </c>
      <c r="B581" t="s">
        <v>29</v>
      </c>
      <c r="C581">
        <v>2015</v>
      </c>
      <c r="D581">
        <v>47963</v>
      </c>
      <c r="E581" t="s">
        <v>13</v>
      </c>
      <c r="F581" t="s">
        <v>18</v>
      </c>
      <c r="G581" t="s">
        <v>23</v>
      </c>
      <c r="H581">
        <v>2981</v>
      </c>
      <c r="I581">
        <v>226.9</v>
      </c>
      <c r="J581" s="2">
        <v>8.27</v>
      </c>
      <c r="K581">
        <v>5</v>
      </c>
      <c r="L581" s="1">
        <v>6094.29</v>
      </c>
      <c r="M581">
        <f t="shared" si="63"/>
        <v>9</v>
      </c>
      <c r="N581">
        <f t="shared" si="64"/>
        <v>677.14333333333332</v>
      </c>
      <c r="O581">
        <f t="shared" si="65"/>
        <v>5329.2222222222226</v>
      </c>
      <c r="P581">
        <f t="shared" si="66"/>
        <v>76.115397517611541</v>
      </c>
      <c r="Q581" t="str">
        <f t="shared" si="67"/>
        <v>Mature (8-12 years)</v>
      </c>
      <c r="R581" t="str">
        <f t="shared" si="68"/>
        <v>Low</v>
      </c>
      <c r="S581" t="str">
        <f t="shared" si="69"/>
        <v>Very High</v>
      </c>
    </row>
    <row r="582" spans="1:19" x14ac:dyDescent="0.3">
      <c r="A582">
        <v>581</v>
      </c>
      <c r="B582" t="s">
        <v>30</v>
      </c>
      <c r="C582">
        <v>2017</v>
      </c>
      <c r="D582">
        <v>138168</v>
      </c>
      <c r="E582" t="s">
        <v>26</v>
      </c>
      <c r="F582" t="s">
        <v>14</v>
      </c>
      <c r="G582" t="s">
        <v>20</v>
      </c>
      <c r="H582">
        <v>4202</v>
      </c>
      <c r="I582">
        <v>364.4</v>
      </c>
      <c r="J582" s="2">
        <v>14.3</v>
      </c>
      <c r="K582">
        <v>7</v>
      </c>
      <c r="L582" s="1">
        <v>42260.19</v>
      </c>
      <c r="M582">
        <f t="shared" si="63"/>
        <v>7</v>
      </c>
      <c r="N582">
        <f t="shared" si="64"/>
        <v>6037.17</v>
      </c>
      <c r="O582">
        <f t="shared" si="65"/>
        <v>19738.285714285714</v>
      </c>
      <c r="P582">
        <f t="shared" si="66"/>
        <v>86.720609233698241</v>
      </c>
      <c r="Q582" t="str">
        <f t="shared" si="67"/>
        <v>Recent (4-7 years)</v>
      </c>
      <c r="R582" t="str">
        <f t="shared" si="68"/>
        <v>Low</v>
      </c>
      <c r="S582" t="str">
        <f t="shared" si="69"/>
        <v>Very High</v>
      </c>
    </row>
    <row r="583" spans="1:19" x14ac:dyDescent="0.3">
      <c r="A583">
        <v>582</v>
      </c>
      <c r="B583" t="s">
        <v>19</v>
      </c>
      <c r="C583">
        <v>2005</v>
      </c>
      <c r="D583">
        <v>161351</v>
      </c>
      <c r="E583" t="s">
        <v>17</v>
      </c>
      <c r="F583" t="s">
        <v>14</v>
      </c>
      <c r="G583" t="s">
        <v>15</v>
      </c>
      <c r="H583">
        <v>3096</v>
      </c>
      <c r="I583">
        <v>537.79999999999995</v>
      </c>
      <c r="J583" s="2">
        <v>5.65</v>
      </c>
      <c r="K583">
        <v>4</v>
      </c>
      <c r="L583" s="1">
        <v>117194.36</v>
      </c>
      <c r="M583">
        <f t="shared" si="63"/>
        <v>19</v>
      </c>
      <c r="N583">
        <f t="shared" si="64"/>
        <v>6168.1242105263154</v>
      </c>
      <c r="O583">
        <f t="shared" si="65"/>
        <v>8492.1578947368416</v>
      </c>
      <c r="P583">
        <f t="shared" si="66"/>
        <v>173.70801033591729</v>
      </c>
      <c r="Q583" t="str">
        <f t="shared" si="67"/>
        <v>Old (12+ years)</v>
      </c>
      <c r="R583" t="str">
        <f t="shared" si="68"/>
        <v>Low</v>
      </c>
      <c r="S583" t="str">
        <f t="shared" si="69"/>
        <v>Very High</v>
      </c>
    </row>
    <row r="584" spans="1:19" x14ac:dyDescent="0.3">
      <c r="A584">
        <v>583</v>
      </c>
      <c r="B584" t="s">
        <v>29</v>
      </c>
      <c r="C584">
        <v>2010</v>
      </c>
      <c r="D584">
        <v>113899</v>
      </c>
      <c r="E584" t="s">
        <v>26</v>
      </c>
      <c r="F584" t="s">
        <v>18</v>
      </c>
      <c r="G584" t="s">
        <v>23</v>
      </c>
      <c r="H584">
        <v>3397</v>
      </c>
      <c r="I584">
        <v>358.8</v>
      </c>
      <c r="J584" s="2">
        <v>10.54</v>
      </c>
      <c r="K584">
        <v>7</v>
      </c>
      <c r="L584" s="1">
        <v>105206</v>
      </c>
      <c r="M584">
        <f t="shared" si="63"/>
        <v>14</v>
      </c>
      <c r="N584">
        <f t="shared" si="64"/>
        <v>7514.7142857142853</v>
      </c>
      <c r="O584">
        <f t="shared" si="65"/>
        <v>8135.6428571428569</v>
      </c>
      <c r="P584">
        <f t="shared" si="66"/>
        <v>105.6226081836915</v>
      </c>
      <c r="Q584" t="str">
        <f t="shared" si="67"/>
        <v>Old (12+ years)</v>
      </c>
      <c r="R584" t="str">
        <f t="shared" si="68"/>
        <v>Low</v>
      </c>
      <c r="S584" t="str">
        <f t="shared" si="69"/>
        <v>Very High</v>
      </c>
    </row>
    <row r="585" spans="1:19" x14ac:dyDescent="0.3">
      <c r="A585">
        <v>584</v>
      </c>
      <c r="B585" t="s">
        <v>27</v>
      </c>
      <c r="C585">
        <v>2013</v>
      </c>
      <c r="D585">
        <v>31201</v>
      </c>
      <c r="E585" t="s">
        <v>22</v>
      </c>
      <c r="F585" t="s">
        <v>18</v>
      </c>
      <c r="G585" t="s">
        <v>15</v>
      </c>
      <c r="H585">
        <v>1701</v>
      </c>
      <c r="I585">
        <v>393.8</v>
      </c>
      <c r="J585" s="2">
        <v>24.51</v>
      </c>
      <c r="K585">
        <v>4</v>
      </c>
      <c r="L585" s="1">
        <v>41537.230000000003</v>
      </c>
      <c r="M585">
        <f t="shared" si="63"/>
        <v>11</v>
      </c>
      <c r="N585">
        <f t="shared" si="64"/>
        <v>3776.1118181818183</v>
      </c>
      <c r="O585">
        <f t="shared" si="65"/>
        <v>2836.4545454545455</v>
      </c>
      <c r="P585">
        <f t="shared" si="66"/>
        <v>231.51087595532039</v>
      </c>
      <c r="Q585" t="str">
        <f t="shared" si="67"/>
        <v>Mature (8-12 years)</v>
      </c>
      <c r="R585" t="str">
        <f t="shared" si="68"/>
        <v>Good</v>
      </c>
      <c r="S585" t="str">
        <f t="shared" si="69"/>
        <v>Very High</v>
      </c>
    </row>
    <row r="586" spans="1:19" x14ac:dyDescent="0.3">
      <c r="A586">
        <v>585</v>
      </c>
      <c r="B586" t="s">
        <v>21</v>
      </c>
      <c r="C586">
        <v>2012</v>
      </c>
      <c r="D586">
        <v>155787</v>
      </c>
      <c r="E586" t="s">
        <v>13</v>
      </c>
      <c r="F586" t="s">
        <v>18</v>
      </c>
      <c r="G586" t="s">
        <v>23</v>
      </c>
      <c r="H586">
        <v>1898</v>
      </c>
      <c r="I586">
        <v>330.5</v>
      </c>
      <c r="J586" s="2">
        <v>10.029999999999999</v>
      </c>
      <c r="K586">
        <v>4</v>
      </c>
      <c r="L586" s="1">
        <v>71772.06</v>
      </c>
      <c r="M586">
        <f t="shared" si="63"/>
        <v>12</v>
      </c>
      <c r="N586">
        <f t="shared" si="64"/>
        <v>5981.0050000000001</v>
      </c>
      <c r="O586">
        <f t="shared" si="65"/>
        <v>12982.25</v>
      </c>
      <c r="P586">
        <f t="shared" si="66"/>
        <v>174.13066385669126</v>
      </c>
      <c r="Q586" t="str">
        <f t="shared" si="67"/>
        <v>Mature (8-12 years)</v>
      </c>
      <c r="R586" t="str">
        <f t="shared" si="68"/>
        <v>Low</v>
      </c>
      <c r="S586" t="str">
        <f t="shared" si="69"/>
        <v>Very High</v>
      </c>
    </row>
    <row r="587" spans="1:19" x14ac:dyDescent="0.3">
      <c r="A587">
        <v>586</v>
      </c>
      <c r="B587" t="s">
        <v>27</v>
      </c>
      <c r="C587">
        <v>2015</v>
      </c>
      <c r="D587">
        <v>165381</v>
      </c>
      <c r="E587" t="s">
        <v>13</v>
      </c>
      <c r="F587" t="s">
        <v>14</v>
      </c>
      <c r="G587" t="s">
        <v>23</v>
      </c>
      <c r="H587">
        <v>2477</v>
      </c>
      <c r="I587">
        <v>68.7</v>
      </c>
      <c r="J587" s="2">
        <v>7</v>
      </c>
      <c r="K587">
        <v>4</v>
      </c>
      <c r="L587" s="1">
        <v>102133.72</v>
      </c>
      <c r="M587">
        <f t="shared" si="63"/>
        <v>9</v>
      </c>
      <c r="N587">
        <f t="shared" si="64"/>
        <v>11348.191111111111</v>
      </c>
      <c r="O587">
        <f t="shared" si="65"/>
        <v>18375.666666666668</v>
      </c>
      <c r="P587">
        <f t="shared" si="66"/>
        <v>27.735163504239001</v>
      </c>
      <c r="Q587" t="str">
        <f t="shared" si="67"/>
        <v>Mature (8-12 years)</v>
      </c>
      <c r="R587" t="str">
        <f t="shared" si="68"/>
        <v>Low</v>
      </c>
      <c r="S587" t="str">
        <f t="shared" si="69"/>
        <v>Low</v>
      </c>
    </row>
    <row r="588" spans="1:19" x14ac:dyDescent="0.3">
      <c r="A588">
        <v>587</v>
      </c>
      <c r="B588" t="s">
        <v>24</v>
      </c>
      <c r="C588">
        <v>2023</v>
      </c>
      <c r="D588">
        <v>151150</v>
      </c>
      <c r="E588" t="s">
        <v>13</v>
      </c>
      <c r="F588" t="s">
        <v>14</v>
      </c>
      <c r="G588" t="s">
        <v>23</v>
      </c>
      <c r="H588">
        <v>3681</v>
      </c>
      <c r="I588">
        <v>170.4</v>
      </c>
      <c r="J588" s="2">
        <v>16.86</v>
      </c>
      <c r="K588">
        <v>5</v>
      </c>
      <c r="L588" s="1">
        <v>54629.1</v>
      </c>
      <c r="M588">
        <f t="shared" si="63"/>
        <v>1</v>
      </c>
      <c r="N588">
        <f t="shared" si="64"/>
        <v>54629.1</v>
      </c>
      <c r="O588">
        <f t="shared" si="65"/>
        <v>151150</v>
      </c>
      <c r="P588">
        <f t="shared" si="66"/>
        <v>46.291768541157296</v>
      </c>
      <c r="Q588" t="str">
        <f t="shared" si="67"/>
        <v>New (0-3 years)</v>
      </c>
      <c r="R588" t="str">
        <f t="shared" si="68"/>
        <v>Average</v>
      </c>
      <c r="S588" t="str">
        <f t="shared" si="69"/>
        <v>High</v>
      </c>
    </row>
    <row r="589" spans="1:19" x14ac:dyDescent="0.3">
      <c r="A589">
        <v>588</v>
      </c>
      <c r="B589" t="s">
        <v>21</v>
      </c>
      <c r="C589">
        <v>2013</v>
      </c>
      <c r="D589">
        <v>192686</v>
      </c>
      <c r="E589" t="s">
        <v>17</v>
      </c>
      <c r="F589" t="s">
        <v>14</v>
      </c>
      <c r="G589" t="s">
        <v>15</v>
      </c>
      <c r="H589">
        <v>2178</v>
      </c>
      <c r="I589">
        <v>315.5</v>
      </c>
      <c r="J589" s="2">
        <v>5.25</v>
      </c>
      <c r="K589">
        <v>2</v>
      </c>
      <c r="L589" s="1">
        <v>5101.07</v>
      </c>
      <c r="M589">
        <f t="shared" si="63"/>
        <v>11</v>
      </c>
      <c r="N589">
        <f t="shared" si="64"/>
        <v>463.73363636363632</v>
      </c>
      <c r="O589">
        <f t="shared" si="65"/>
        <v>17516.909090909092</v>
      </c>
      <c r="P589">
        <f t="shared" si="66"/>
        <v>144.85766758494032</v>
      </c>
      <c r="Q589" t="str">
        <f t="shared" si="67"/>
        <v>Mature (8-12 years)</v>
      </c>
      <c r="R589" t="str">
        <f t="shared" si="68"/>
        <v>Low</v>
      </c>
      <c r="S589" t="str">
        <f t="shared" si="69"/>
        <v>Very High</v>
      </c>
    </row>
    <row r="590" spans="1:19" x14ac:dyDescent="0.3">
      <c r="A590">
        <v>589</v>
      </c>
      <c r="B590" t="s">
        <v>27</v>
      </c>
      <c r="C590">
        <v>2021</v>
      </c>
      <c r="D590">
        <v>10105</v>
      </c>
      <c r="E590" t="s">
        <v>17</v>
      </c>
      <c r="F590" t="s">
        <v>14</v>
      </c>
      <c r="G590" t="s">
        <v>20</v>
      </c>
      <c r="H590">
        <v>2048</v>
      </c>
      <c r="I590">
        <v>213.7</v>
      </c>
      <c r="J590" s="2">
        <v>7.12</v>
      </c>
      <c r="K590">
        <v>5</v>
      </c>
      <c r="L590" s="1">
        <v>11717.72</v>
      </c>
      <c r="M590">
        <f t="shared" si="63"/>
        <v>3</v>
      </c>
      <c r="N590">
        <f t="shared" si="64"/>
        <v>3905.9066666666663</v>
      </c>
      <c r="O590">
        <f t="shared" si="65"/>
        <v>3368.3333333333335</v>
      </c>
      <c r="P590">
        <f t="shared" si="66"/>
        <v>104.34570312499999</v>
      </c>
      <c r="Q590" t="str">
        <f t="shared" si="67"/>
        <v>New (0-3 years)</v>
      </c>
      <c r="R590" t="str">
        <f t="shared" si="68"/>
        <v>Low</v>
      </c>
      <c r="S590" t="str">
        <f t="shared" si="69"/>
        <v>Very High</v>
      </c>
    </row>
    <row r="591" spans="1:19" x14ac:dyDescent="0.3">
      <c r="A591">
        <v>590</v>
      </c>
      <c r="B591" t="s">
        <v>21</v>
      </c>
      <c r="C591">
        <v>2016</v>
      </c>
      <c r="D591">
        <v>122666</v>
      </c>
      <c r="E591" t="s">
        <v>13</v>
      </c>
      <c r="F591" t="s">
        <v>18</v>
      </c>
      <c r="G591" t="s">
        <v>15</v>
      </c>
      <c r="H591">
        <v>4535</v>
      </c>
      <c r="I591">
        <v>141.80000000000001</v>
      </c>
      <c r="J591" s="2">
        <v>25.19</v>
      </c>
      <c r="K591">
        <v>2</v>
      </c>
      <c r="L591" s="1">
        <v>62715.95</v>
      </c>
      <c r="M591">
        <f t="shared" si="63"/>
        <v>8</v>
      </c>
      <c r="N591">
        <f t="shared" si="64"/>
        <v>7839.4937499999996</v>
      </c>
      <c r="O591">
        <f t="shared" si="65"/>
        <v>15333.25</v>
      </c>
      <c r="P591">
        <f t="shared" si="66"/>
        <v>31.267916207276738</v>
      </c>
      <c r="Q591" t="str">
        <f t="shared" si="67"/>
        <v>Mature (8-12 years)</v>
      </c>
      <c r="R591" t="str">
        <f t="shared" si="68"/>
        <v>Excellent</v>
      </c>
      <c r="S591" t="str">
        <f t="shared" si="69"/>
        <v>Medium</v>
      </c>
    </row>
    <row r="592" spans="1:19" x14ac:dyDescent="0.3">
      <c r="A592">
        <v>591</v>
      </c>
      <c r="B592" t="s">
        <v>21</v>
      </c>
      <c r="C592">
        <v>2018</v>
      </c>
      <c r="D592">
        <v>99848</v>
      </c>
      <c r="E592" t="s">
        <v>26</v>
      </c>
      <c r="F592" t="s">
        <v>14</v>
      </c>
      <c r="G592" t="s">
        <v>23</v>
      </c>
      <c r="H592">
        <v>2064</v>
      </c>
      <c r="I592">
        <v>322.3</v>
      </c>
      <c r="J592" s="2">
        <v>24.29</v>
      </c>
      <c r="K592">
        <v>7</v>
      </c>
      <c r="L592" s="1">
        <v>116424.41</v>
      </c>
      <c r="M592">
        <f t="shared" si="63"/>
        <v>6</v>
      </c>
      <c r="N592">
        <f t="shared" si="64"/>
        <v>19404.068333333333</v>
      </c>
      <c r="O592">
        <f t="shared" si="65"/>
        <v>16641.333333333332</v>
      </c>
      <c r="P592">
        <f t="shared" si="66"/>
        <v>156.15310077519379</v>
      </c>
      <c r="Q592" t="str">
        <f t="shared" si="67"/>
        <v>Recent (4-7 years)</v>
      </c>
      <c r="R592" t="str">
        <f t="shared" si="68"/>
        <v>Good</v>
      </c>
      <c r="S592" t="str">
        <f t="shared" si="69"/>
        <v>Very High</v>
      </c>
    </row>
    <row r="593" spans="1:19" x14ac:dyDescent="0.3">
      <c r="A593">
        <v>592</v>
      </c>
      <c r="B593" t="s">
        <v>16</v>
      </c>
      <c r="C593">
        <v>2019</v>
      </c>
      <c r="D593">
        <v>7839</v>
      </c>
      <c r="E593" t="s">
        <v>13</v>
      </c>
      <c r="F593" t="s">
        <v>14</v>
      </c>
      <c r="G593" t="s">
        <v>15</v>
      </c>
      <c r="H593">
        <v>2707</v>
      </c>
      <c r="I593">
        <v>220.8</v>
      </c>
      <c r="J593" s="2">
        <v>27.88</v>
      </c>
      <c r="K593">
        <v>6</v>
      </c>
      <c r="L593" s="1">
        <v>84105.52</v>
      </c>
      <c r="M593">
        <f t="shared" si="63"/>
        <v>5</v>
      </c>
      <c r="N593">
        <f t="shared" si="64"/>
        <v>16821.103999999999</v>
      </c>
      <c r="O593">
        <f t="shared" si="65"/>
        <v>1567.8</v>
      </c>
      <c r="P593">
        <f t="shared" si="66"/>
        <v>81.566309567787229</v>
      </c>
      <c r="Q593" t="str">
        <f t="shared" si="67"/>
        <v>Recent (4-7 years)</v>
      </c>
      <c r="R593" t="str">
        <f t="shared" si="68"/>
        <v>Excellent</v>
      </c>
      <c r="S593" t="str">
        <f t="shared" si="69"/>
        <v>Very High</v>
      </c>
    </row>
    <row r="594" spans="1:19" x14ac:dyDescent="0.3">
      <c r="A594">
        <v>593</v>
      </c>
      <c r="B594" t="s">
        <v>25</v>
      </c>
      <c r="C594">
        <v>2020</v>
      </c>
      <c r="D594">
        <v>73920</v>
      </c>
      <c r="E594" t="s">
        <v>26</v>
      </c>
      <c r="F594" t="s">
        <v>14</v>
      </c>
      <c r="G594" t="s">
        <v>20</v>
      </c>
      <c r="H594">
        <v>1858</v>
      </c>
      <c r="I594">
        <v>184.5</v>
      </c>
      <c r="J594" s="2">
        <v>26.36</v>
      </c>
      <c r="K594">
        <v>7</v>
      </c>
      <c r="L594" s="1">
        <v>11297.19</v>
      </c>
      <c r="M594">
        <f t="shared" si="63"/>
        <v>4</v>
      </c>
      <c r="N594">
        <f t="shared" si="64"/>
        <v>2824.2975000000001</v>
      </c>
      <c r="O594">
        <f t="shared" si="65"/>
        <v>18480</v>
      </c>
      <c r="P594">
        <f t="shared" si="66"/>
        <v>99.300322927879435</v>
      </c>
      <c r="Q594" t="str">
        <f t="shared" si="67"/>
        <v>Recent (4-7 years)</v>
      </c>
      <c r="R594" t="str">
        <f t="shared" si="68"/>
        <v>Excellent</v>
      </c>
      <c r="S594" t="str">
        <f t="shared" si="69"/>
        <v>High</v>
      </c>
    </row>
    <row r="595" spans="1:19" x14ac:dyDescent="0.3">
      <c r="A595">
        <v>594</v>
      </c>
      <c r="B595" t="s">
        <v>25</v>
      </c>
      <c r="C595">
        <v>2024</v>
      </c>
      <c r="D595">
        <v>48619</v>
      </c>
      <c r="E595" t="s">
        <v>26</v>
      </c>
      <c r="F595" t="s">
        <v>18</v>
      </c>
      <c r="G595" t="s">
        <v>15</v>
      </c>
      <c r="H595">
        <v>3549</v>
      </c>
      <c r="I595">
        <v>299.8</v>
      </c>
      <c r="J595" s="2">
        <v>22.08</v>
      </c>
      <c r="K595">
        <v>5</v>
      </c>
      <c r="L595" s="1">
        <v>25155.22</v>
      </c>
      <c r="M595">
        <f t="shared" si="63"/>
        <v>0</v>
      </c>
      <c r="N595">
        <f t="shared" si="64"/>
        <v>25155.22</v>
      </c>
      <c r="O595">
        <f t="shared" si="65"/>
        <v>48619</v>
      </c>
      <c r="P595">
        <f t="shared" si="66"/>
        <v>84.474499859115255</v>
      </c>
      <c r="Q595" t="str">
        <f t="shared" si="67"/>
        <v>New (0-3 years)</v>
      </c>
      <c r="R595" t="str">
        <f t="shared" si="68"/>
        <v>Good</v>
      </c>
      <c r="S595" t="str">
        <f t="shared" si="69"/>
        <v>Very High</v>
      </c>
    </row>
    <row r="596" spans="1:19" x14ac:dyDescent="0.3">
      <c r="A596">
        <v>595</v>
      </c>
      <c r="B596" t="s">
        <v>16</v>
      </c>
      <c r="C596">
        <v>2005</v>
      </c>
      <c r="D596">
        <v>47821</v>
      </c>
      <c r="E596" t="s">
        <v>17</v>
      </c>
      <c r="F596" t="s">
        <v>18</v>
      </c>
      <c r="G596" t="s">
        <v>20</v>
      </c>
      <c r="H596">
        <v>2848</v>
      </c>
      <c r="I596">
        <v>114.6</v>
      </c>
      <c r="J596" s="2">
        <v>6.31</v>
      </c>
      <c r="K596">
        <v>5</v>
      </c>
      <c r="L596" s="1">
        <v>93244.81</v>
      </c>
      <c r="M596">
        <f t="shared" si="63"/>
        <v>19</v>
      </c>
      <c r="N596">
        <f t="shared" si="64"/>
        <v>4907.6215789473681</v>
      </c>
      <c r="O596">
        <f t="shared" si="65"/>
        <v>2516.8947368421054</v>
      </c>
      <c r="P596">
        <f t="shared" si="66"/>
        <v>40.238764044943821</v>
      </c>
      <c r="Q596" t="str">
        <f t="shared" si="67"/>
        <v>Old (12+ years)</v>
      </c>
      <c r="R596" t="str">
        <f t="shared" si="68"/>
        <v>Low</v>
      </c>
      <c r="S596" t="str">
        <f t="shared" si="69"/>
        <v>Medium</v>
      </c>
    </row>
    <row r="597" spans="1:19" x14ac:dyDescent="0.3">
      <c r="A597">
        <v>596</v>
      </c>
      <c r="B597" t="s">
        <v>30</v>
      </c>
      <c r="C597">
        <v>2014</v>
      </c>
      <c r="D597">
        <v>130736</v>
      </c>
      <c r="E597" t="s">
        <v>26</v>
      </c>
      <c r="F597" t="s">
        <v>14</v>
      </c>
      <c r="G597" t="s">
        <v>20</v>
      </c>
      <c r="H597">
        <v>3276</v>
      </c>
      <c r="I597">
        <v>559.5</v>
      </c>
      <c r="J597" s="2">
        <v>24.57</v>
      </c>
      <c r="K597">
        <v>2</v>
      </c>
      <c r="L597" s="1">
        <v>101448.45</v>
      </c>
      <c r="M597">
        <f t="shared" si="63"/>
        <v>10</v>
      </c>
      <c r="N597">
        <f t="shared" si="64"/>
        <v>10144.844999999999</v>
      </c>
      <c r="O597">
        <f t="shared" si="65"/>
        <v>13073.6</v>
      </c>
      <c r="P597">
        <f t="shared" si="66"/>
        <v>170.78754578754581</v>
      </c>
      <c r="Q597" t="str">
        <f t="shared" si="67"/>
        <v>Mature (8-12 years)</v>
      </c>
      <c r="R597" t="str">
        <f t="shared" si="68"/>
        <v>Good</v>
      </c>
      <c r="S597" t="str">
        <f t="shared" si="69"/>
        <v>Very High</v>
      </c>
    </row>
    <row r="598" spans="1:19" x14ac:dyDescent="0.3">
      <c r="A598">
        <v>597</v>
      </c>
      <c r="B598" t="s">
        <v>28</v>
      </c>
      <c r="C598">
        <v>2012</v>
      </c>
      <c r="D598">
        <v>149565</v>
      </c>
      <c r="E598" t="s">
        <v>13</v>
      </c>
      <c r="F598" t="s">
        <v>14</v>
      </c>
      <c r="G598" t="s">
        <v>15</v>
      </c>
      <c r="H598">
        <v>4816</v>
      </c>
      <c r="I598">
        <v>525.9</v>
      </c>
      <c r="J598" s="2">
        <v>26.14</v>
      </c>
      <c r="K598">
        <v>5</v>
      </c>
      <c r="L598" s="1">
        <v>75270.27</v>
      </c>
      <c r="M598">
        <f t="shared" si="63"/>
        <v>12</v>
      </c>
      <c r="N598">
        <f t="shared" si="64"/>
        <v>6272.5225</v>
      </c>
      <c r="O598">
        <f t="shared" si="65"/>
        <v>12463.75</v>
      </c>
      <c r="P598">
        <f t="shared" si="66"/>
        <v>109.1985049833887</v>
      </c>
      <c r="Q598" t="str">
        <f t="shared" si="67"/>
        <v>Mature (8-12 years)</v>
      </c>
      <c r="R598" t="str">
        <f t="shared" si="68"/>
        <v>Excellent</v>
      </c>
      <c r="S598" t="str">
        <f t="shared" si="69"/>
        <v>Very High</v>
      </c>
    </row>
    <row r="599" spans="1:19" x14ac:dyDescent="0.3">
      <c r="A599">
        <v>598</v>
      </c>
      <c r="B599" t="s">
        <v>30</v>
      </c>
      <c r="C599">
        <v>2022</v>
      </c>
      <c r="D599">
        <v>22069</v>
      </c>
      <c r="E599" t="s">
        <v>17</v>
      </c>
      <c r="F599" t="s">
        <v>18</v>
      </c>
      <c r="G599" t="s">
        <v>23</v>
      </c>
      <c r="H599">
        <v>3997</v>
      </c>
      <c r="I599">
        <v>436.3</v>
      </c>
      <c r="J599" s="2">
        <v>24.98</v>
      </c>
      <c r="K599">
        <v>4</v>
      </c>
      <c r="L599" s="1">
        <v>78397.509999999995</v>
      </c>
      <c r="M599">
        <f t="shared" si="63"/>
        <v>2</v>
      </c>
      <c r="N599">
        <f t="shared" si="64"/>
        <v>39198.754999999997</v>
      </c>
      <c r="O599">
        <f t="shared" si="65"/>
        <v>11034.5</v>
      </c>
      <c r="P599">
        <f t="shared" si="66"/>
        <v>109.15686765073806</v>
      </c>
      <c r="Q599" t="str">
        <f t="shared" si="67"/>
        <v>New (0-3 years)</v>
      </c>
      <c r="R599" t="str">
        <f t="shared" si="68"/>
        <v>Good</v>
      </c>
      <c r="S599" t="str">
        <f t="shared" si="69"/>
        <v>Very High</v>
      </c>
    </row>
    <row r="600" spans="1:19" x14ac:dyDescent="0.3">
      <c r="A600">
        <v>599</v>
      </c>
      <c r="B600" t="s">
        <v>29</v>
      </c>
      <c r="C600">
        <v>2005</v>
      </c>
      <c r="D600">
        <v>12531</v>
      </c>
      <c r="E600" t="s">
        <v>22</v>
      </c>
      <c r="F600" t="s">
        <v>18</v>
      </c>
      <c r="G600" t="s">
        <v>20</v>
      </c>
      <c r="H600">
        <v>4353</v>
      </c>
      <c r="I600">
        <v>99.5</v>
      </c>
      <c r="J600" s="2">
        <v>17.71</v>
      </c>
      <c r="K600">
        <v>5</v>
      </c>
      <c r="L600" s="1">
        <v>6315.48</v>
      </c>
      <c r="M600">
        <f t="shared" si="63"/>
        <v>19</v>
      </c>
      <c r="N600">
        <f t="shared" si="64"/>
        <v>332.39368421052632</v>
      </c>
      <c r="O600">
        <f t="shared" si="65"/>
        <v>659.52631578947364</v>
      </c>
      <c r="P600">
        <f t="shared" si="66"/>
        <v>22.857799218929475</v>
      </c>
      <c r="Q600" t="str">
        <f t="shared" si="67"/>
        <v>Old (12+ years)</v>
      </c>
      <c r="R600" t="str">
        <f t="shared" si="68"/>
        <v>Average</v>
      </c>
      <c r="S600" t="str">
        <f t="shared" si="69"/>
        <v>Low</v>
      </c>
    </row>
    <row r="601" spans="1:19" x14ac:dyDescent="0.3">
      <c r="A601">
        <v>600</v>
      </c>
      <c r="B601" t="s">
        <v>29</v>
      </c>
      <c r="C601">
        <v>2006</v>
      </c>
      <c r="D601">
        <v>173123</v>
      </c>
      <c r="E601" t="s">
        <v>22</v>
      </c>
      <c r="F601" t="s">
        <v>18</v>
      </c>
      <c r="G601" t="s">
        <v>15</v>
      </c>
      <c r="H601">
        <v>2561</v>
      </c>
      <c r="I601">
        <v>474.5</v>
      </c>
      <c r="J601" s="2">
        <v>10.82</v>
      </c>
      <c r="K601">
        <v>2</v>
      </c>
      <c r="L601" s="1">
        <v>99938.04</v>
      </c>
      <c r="M601">
        <f t="shared" si="63"/>
        <v>18</v>
      </c>
      <c r="N601">
        <f t="shared" si="64"/>
        <v>5552.1133333333328</v>
      </c>
      <c r="O601">
        <f t="shared" si="65"/>
        <v>9617.9444444444453</v>
      </c>
      <c r="P601">
        <f t="shared" si="66"/>
        <v>185.2791878172589</v>
      </c>
      <c r="Q601" t="str">
        <f t="shared" si="67"/>
        <v>Old (12+ years)</v>
      </c>
      <c r="R601" t="str">
        <f t="shared" si="68"/>
        <v>Low</v>
      </c>
      <c r="S601" t="str">
        <f t="shared" si="69"/>
        <v>Very High</v>
      </c>
    </row>
    <row r="602" spans="1:19" x14ac:dyDescent="0.3">
      <c r="A602">
        <v>601</v>
      </c>
      <c r="B602" t="s">
        <v>21</v>
      </c>
      <c r="C602">
        <v>2005</v>
      </c>
      <c r="D602">
        <v>143808</v>
      </c>
      <c r="E602" t="s">
        <v>17</v>
      </c>
      <c r="F602" t="s">
        <v>18</v>
      </c>
      <c r="G602" t="s">
        <v>20</v>
      </c>
      <c r="H602">
        <v>1020</v>
      </c>
      <c r="I602">
        <v>492.5</v>
      </c>
      <c r="J602" s="2">
        <v>26.13</v>
      </c>
      <c r="K602">
        <v>2</v>
      </c>
      <c r="L602" s="1">
        <v>95228.2</v>
      </c>
      <c r="M602">
        <f t="shared" si="63"/>
        <v>19</v>
      </c>
      <c r="N602">
        <f t="shared" si="64"/>
        <v>5012.0105263157893</v>
      </c>
      <c r="O602">
        <f t="shared" si="65"/>
        <v>7568.8421052631575</v>
      </c>
      <c r="P602">
        <f t="shared" si="66"/>
        <v>482.84313725490193</v>
      </c>
      <c r="Q602" t="str">
        <f t="shared" si="67"/>
        <v>Old (12+ years)</v>
      </c>
      <c r="R602" t="str">
        <f t="shared" si="68"/>
        <v>Excellent</v>
      </c>
      <c r="S602" t="str">
        <f t="shared" si="69"/>
        <v>Very High</v>
      </c>
    </row>
    <row r="603" spans="1:19" x14ac:dyDescent="0.3">
      <c r="A603">
        <v>602</v>
      </c>
      <c r="B603" t="s">
        <v>27</v>
      </c>
      <c r="C603">
        <v>2005</v>
      </c>
      <c r="D603">
        <v>143782</v>
      </c>
      <c r="E603" t="s">
        <v>13</v>
      </c>
      <c r="F603" t="s">
        <v>18</v>
      </c>
      <c r="G603" t="s">
        <v>23</v>
      </c>
      <c r="H603">
        <v>3688</v>
      </c>
      <c r="I603">
        <v>469.9</v>
      </c>
      <c r="J603" s="2">
        <v>23.18</v>
      </c>
      <c r="K603">
        <v>4</v>
      </c>
      <c r="L603" s="1">
        <v>33307.11</v>
      </c>
      <c r="M603">
        <f t="shared" si="63"/>
        <v>19</v>
      </c>
      <c r="N603">
        <f t="shared" si="64"/>
        <v>1753.0057894736842</v>
      </c>
      <c r="O603">
        <f t="shared" si="65"/>
        <v>7567.4736842105267</v>
      </c>
      <c r="P603">
        <f t="shared" si="66"/>
        <v>127.41323210412146</v>
      </c>
      <c r="Q603" t="str">
        <f t="shared" si="67"/>
        <v>Old (12+ years)</v>
      </c>
      <c r="R603" t="str">
        <f t="shared" si="68"/>
        <v>Good</v>
      </c>
      <c r="S603" t="str">
        <f t="shared" si="69"/>
        <v>Very High</v>
      </c>
    </row>
    <row r="604" spans="1:19" x14ac:dyDescent="0.3">
      <c r="A604">
        <v>603</v>
      </c>
      <c r="B604" t="s">
        <v>27</v>
      </c>
      <c r="C604">
        <v>2013</v>
      </c>
      <c r="D604">
        <v>72155</v>
      </c>
      <c r="E604" t="s">
        <v>22</v>
      </c>
      <c r="F604" t="s">
        <v>18</v>
      </c>
      <c r="G604" t="s">
        <v>15</v>
      </c>
      <c r="H604">
        <v>2464</v>
      </c>
      <c r="I604">
        <v>103.8</v>
      </c>
      <c r="J604" s="2">
        <v>29.52</v>
      </c>
      <c r="K604">
        <v>2</v>
      </c>
      <c r="L604" s="1">
        <v>85915.18</v>
      </c>
      <c r="M604">
        <f t="shared" si="63"/>
        <v>11</v>
      </c>
      <c r="N604">
        <f t="shared" si="64"/>
        <v>7810.4709090909082</v>
      </c>
      <c r="O604">
        <f t="shared" si="65"/>
        <v>6559.545454545455</v>
      </c>
      <c r="P604">
        <f t="shared" si="66"/>
        <v>42.126623376623378</v>
      </c>
      <c r="Q604" t="str">
        <f t="shared" si="67"/>
        <v>Mature (8-12 years)</v>
      </c>
      <c r="R604" t="str">
        <f t="shared" si="68"/>
        <v>Excellent</v>
      </c>
      <c r="S604" t="str">
        <f t="shared" si="69"/>
        <v>Medium</v>
      </c>
    </row>
    <row r="605" spans="1:19" x14ac:dyDescent="0.3">
      <c r="A605">
        <v>604</v>
      </c>
      <c r="B605" t="s">
        <v>25</v>
      </c>
      <c r="C605">
        <v>2017</v>
      </c>
      <c r="D605">
        <v>150047</v>
      </c>
      <c r="E605" t="s">
        <v>22</v>
      </c>
      <c r="F605" t="s">
        <v>18</v>
      </c>
      <c r="G605" t="s">
        <v>15</v>
      </c>
      <c r="H605">
        <v>4786</v>
      </c>
      <c r="I605">
        <v>400.6</v>
      </c>
      <c r="J605" s="2">
        <v>8.89</v>
      </c>
      <c r="K605">
        <v>6</v>
      </c>
      <c r="L605" s="1">
        <v>28137.99</v>
      </c>
      <c r="M605">
        <f t="shared" si="63"/>
        <v>7</v>
      </c>
      <c r="N605">
        <f t="shared" si="64"/>
        <v>4019.7128571428575</v>
      </c>
      <c r="O605">
        <f t="shared" si="65"/>
        <v>21435.285714285714</v>
      </c>
      <c r="P605">
        <f t="shared" si="66"/>
        <v>83.70246552444631</v>
      </c>
      <c r="Q605" t="str">
        <f t="shared" si="67"/>
        <v>Recent (4-7 years)</v>
      </c>
      <c r="R605" t="str">
        <f t="shared" si="68"/>
        <v>Low</v>
      </c>
      <c r="S605" t="str">
        <f t="shared" si="69"/>
        <v>Very High</v>
      </c>
    </row>
    <row r="606" spans="1:19" x14ac:dyDescent="0.3">
      <c r="A606">
        <v>605</v>
      </c>
      <c r="B606" t="s">
        <v>12</v>
      </c>
      <c r="C606">
        <v>2005</v>
      </c>
      <c r="D606">
        <v>67424</v>
      </c>
      <c r="E606" t="s">
        <v>26</v>
      </c>
      <c r="F606" t="s">
        <v>18</v>
      </c>
      <c r="G606" t="s">
        <v>15</v>
      </c>
      <c r="H606">
        <v>3777</v>
      </c>
      <c r="I606">
        <v>507.2</v>
      </c>
      <c r="J606" s="2">
        <v>10.64</v>
      </c>
      <c r="K606">
        <v>7</v>
      </c>
      <c r="L606" s="1">
        <v>7718.63</v>
      </c>
      <c r="M606">
        <f t="shared" si="63"/>
        <v>19</v>
      </c>
      <c r="N606">
        <f t="shared" si="64"/>
        <v>406.24368421052634</v>
      </c>
      <c r="O606">
        <f t="shared" si="65"/>
        <v>3548.6315789473683</v>
      </c>
      <c r="P606">
        <f t="shared" si="66"/>
        <v>134.28647074397671</v>
      </c>
      <c r="Q606" t="str">
        <f t="shared" si="67"/>
        <v>Old (12+ years)</v>
      </c>
      <c r="R606" t="str">
        <f t="shared" si="68"/>
        <v>Low</v>
      </c>
      <c r="S606" t="str">
        <f t="shared" si="69"/>
        <v>Very High</v>
      </c>
    </row>
    <row r="607" spans="1:19" x14ac:dyDescent="0.3">
      <c r="A607">
        <v>606</v>
      </c>
      <c r="B607" t="s">
        <v>30</v>
      </c>
      <c r="C607">
        <v>2017</v>
      </c>
      <c r="D607">
        <v>50603</v>
      </c>
      <c r="E607" t="s">
        <v>26</v>
      </c>
      <c r="F607" t="s">
        <v>14</v>
      </c>
      <c r="G607" t="s">
        <v>23</v>
      </c>
      <c r="H607">
        <v>2671</v>
      </c>
      <c r="I607">
        <v>363.3</v>
      </c>
      <c r="J607" s="2">
        <v>10.29</v>
      </c>
      <c r="K607">
        <v>5</v>
      </c>
      <c r="L607" s="1">
        <v>26532.98</v>
      </c>
      <c r="M607">
        <f t="shared" si="63"/>
        <v>7</v>
      </c>
      <c r="N607">
        <f t="shared" si="64"/>
        <v>3790.4257142857141</v>
      </c>
      <c r="O607">
        <f t="shared" si="65"/>
        <v>7229</v>
      </c>
      <c r="P607">
        <f t="shared" si="66"/>
        <v>136.01647323099965</v>
      </c>
      <c r="Q607" t="str">
        <f t="shared" si="67"/>
        <v>Recent (4-7 years)</v>
      </c>
      <c r="R607" t="str">
        <f t="shared" si="68"/>
        <v>Low</v>
      </c>
      <c r="S607" t="str">
        <f t="shared" si="69"/>
        <v>Very High</v>
      </c>
    </row>
    <row r="608" spans="1:19" x14ac:dyDescent="0.3">
      <c r="A608">
        <v>607</v>
      </c>
      <c r="B608" t="s">
        <v>24</v>
      </c>
      <c r="C608">
        <v>2024</v>
      </c>
      <c r="D608">
        <v>159324</v>
      </c>
      <c r="E608" t="s">
        <v>13</v>
      </c>
      <c r="F608" t="s">
        <v>14</v>
      </c>
      <c r="G608" t="s">
        <v>20</v>
      </c>
      <c r="H608">
        <v>2262</v>
      </c>
      <c r="I608">
        <v>402</v>
      </c>
      <c r="J608" s="2">
        <v>24.81</v>
      </c>
      <c r="K608">
        <v>6</v>
      </c>
      <c r="L608" s="1">
        <v>23899.58</v>
      </c>
      <c r="M608">
        <f t="shared" si="63"/>
        <v>0</v>
      </c>
      <c r="N608">
        <f t="shared" si="64"/>
        <v>23899.58</v>
      </c>
      <c r="O608">
        <f t="shared" si="65"/>
        <v>159324</v>
      </c>
      <c r="P608">
        <f t="shared" si="66"/>
        <v>177.71883289124668</v>
      </c>
      <c r="Q608" t="str">
        <f t="shared" si="67"/>
        <v>New (0-3 years)</v>
      </c>
      <c r="R608" t="str">
        <f t="shared" si="68"/>
        <v>Good</v>
      </c>
      <c r="S608" t="str">
        <f t="shared" si="69"/>
        <v>Very High</v>
      </c>
    </row>
    <row r="609" spans="1:19" x14ac:dyDescent="0.3">
      <c r="A609">
        <v>608</v>
      </c>
      <c r="B609" t="s">
        <v>19</v>
      </c>
      <c r="C609">
        <v>2011</v>
      </c>
      <c r="D609">
        <v>137503</v>
      </c>
      <c r="E609" t="s">
        <v>17</v>
      </c>
      <c r="F609" t="s">
        <v>14</v>
      </c>
      <c r="G609" t="s">
        <v>15</v>
      </c>
      <c r="H609">
        <v>1144</v>
      </c>
      <c r="I609">
        <v>296.7</v>
      </c>
      <c r="J609" s="2">
        <v>9.67</v>
      </c>
      <c r="K609">
        <v>5</v>
      </c>
      <c r="L609" s="1">
        <v>42516.52</v>
      </c>
      <c r="M609">
        <f t="shared" si="63"/>
        <v>13</v>
      </c>
      <c r="N609">
        <f t="shared" si="64"/>
        <v>3270.5015384615381</v>
      </c>
      <c r="O609">
        <f t="shared" si="65"/>
        <v>10577.153846153846</v>
      </c>
      <c r="P609">
        <f t="shared" si="66"/>
        <v>259.35314685314688</v>
      </c>
      <c r="Q609" t="str">
        <f t="shared" si="67"/>
        <v>Old (12+ years)</v>
      </c>
      <c r="R609" t="str">
        <f t="shared" si="68"/>
        <v>Low</v>
      </c>
      <c r="S609" t="str">
        <f t="shared" si="69"/>
        <v>Very High</v>
      </c>
    </row>
    <row r="610" spans="1:19" x14ac:dyDescent="0.3">
      <c r="A610">
        <v>609</v>
      </c>
      <c r="B610" t="s">
        <v>27</v>
      </c>
      <c r="C610">
        <v>2006</v>
      </c>
      <c r="D610">
        <v>173553</v>
      </c>
      <c r="E610" t="s">
        <v>13</v>
      </c>
      <c r="F610" t="s">
        <v>14</v>
      </c>
      <c r="G610" t="s">
        <v>20</v>
      </c>
      <c r="H610">
        <v>844</v>
      </c>
      <c r="I610">
        <v>336.1</v>
      </c>
      <c r="J610" s="2">
        <v>6.67</v>
      </c>
      <c r="K610">
        <v>6</v>
      </c>
      <c r="L610" s="1">
        <v>51958.59</v>
      </c>
      <c r="M610">
        <f t="shared" si="63"/>
        <v>18</v>
      </c>
      <c r="N610">
        <f t="shared" si="64"/>
        <v>2886.5883333333331</v>
      </c>
      <c r="O610">
        <f t="shared" si="65"/>
        <v>9641.8333333333339</v>
      </c>
      <c r="P610">
        <f t="shared" si="66"/>
        <v>398.22274881516591</v>
      </c>
      <c r="Q610" t="str">
        <f t="shared" si="67"/>
        <v>Old (12+ years)</v>
      </c>
      <c r="R610" t="str">
        <f t="shared" si="68"/>
        <v>Low</v>
      </c>
      <c r="S610" t="str">
        <f t="shared" si="69"/>
        <v>Very High</v>
      </c>
    </row>
    <row r="611" spans="1:19" x14ac:dyDescent="0.3">
      <c r="A611">
        <v>610</v>
      </c>
      <c r="B611" t="s">
        <v>19</v>
      </c>
      <c r="C611">
        <v>2010</v>
      </c>
      <c r="D611">
        <v>97573</v>
      </c>
      <c r="E611" t="s">
        <v>17</v>
      </c>
      <c r="F611" t="s">
        <v>14</v>
      </c>
      <c r="G611" t="s">
        <v>20</v>
      </c>
      <c r="H611">
        <v>2868</v>
      </c>
      <c r="I611">
        <v>59.3</v>
      </c>
      <c r="J611" s="2">
        <v>29.96</v>
      </c>
      <c r="K611">
        <v>5</v>
      </c>
      <c r="L611" s="1">
        <v>62499.05</v>
      </c>
      <c r="M611">
        <f t="shared" si="63"/>
        <v>14</v>
      </c>
      <c r="N611">
        <f t="shared" si="64"/>
        <v>4464.2178571428576</v>
      </c>
      <c r="O611">
        <f t="shared" si="65"/>
        <v>6969.5</v>
      </c>
      <c r="P611">
        <f t="shared" si="66"/>
        <v>20.676429567642955</v>
      </c>
      <c r="Q611" t="str">
        <f t="shared" si="67"/>
        <v>Old (12+ years)</v>
      </c>
      <c r="R611" t="str">
        <f t="shared" si="68"/>
        <v>Excellent</v>
      </c>
      <c r="S611" t="str">
        <f t="shared" si="69"/>
        <v>Low</v>
      </c>
    </row>
    <row r="612" spans="1:19" x14ac:dyDescent="0.3">
      <c r="A612">
        <v>611</v>
      </c>
      <c r="B612" t="s">
        <v>21</v>
      </c>
      <c r="C612">
        <v>2011</v>
      </c>
      <c r="D612">
        <v>145629</v>
      </c>
      <c r="E612" t="s">
        <v>22</v>
      </c>
      <c r="F612" t="s">
        <v>14</v>
      </c>
      <c r="G612" t="s">
        <v>23</v>
      </c>
      <c r="H612">
        <v>2314</v>
      </c>
      <c r="I612">
        <v>397.8</v>
      </c>
      <c r="J612" s="2">
        <v>5.62</v>
      </c>
      <c r="K612">
        <v>4</v>
      </c>
      <c r="L612" s="1">
        <v>58780.2</v>
      </c>
      <c r="M612">
        <f t="shared" si="63"/>
        <v>13</v>
      </c>
      <c r="N612">
        <f t="shared" si="64"/>
        <v>4521.5538461538463</v>
      </c>
      <c r="O612">
        <f t="shared" si="65"/>
        <v>11202.23076923077</v>
      </c>
      <c r="P612">
        <f t="shared" si="66"/>
        <v>171.91011235955057</v>
      </c>
      <c r="Q612" t="str">
        <f t="shared" si="67"/>
        <v>Old (12+ years)</v>
      </c>
      <c r="R612" t="str">
        <f t="shared" si="68"/>
        <v>Low</v>
      </c>
      <c r="S612" t="str">
        <f t="shared" si="69"/>
        <v>Very High</v>
      </c>
    </row>
    <row r="613" spans="1:19" x14ac:dyDescent="0.3">
      <c r="A613">
        <v>612</v>
      </c>
      <c r="B613" t="s">
        <v>19</v>
      </c>
      <c r="C613">
        <v>2018</v>
      </c>
      <c r="D613">
        <v>108302</v>
      </c>
      <c r="E613" t="s">
        <v>26</v>
      </c>
      <c r="F613" t="s">
        <v>18</v>
      </c>
      <c r="G613" t="s">
        <v>15</v>
      </c>
      <c r="H613">
        <v>3398</v>
      </c>
      <c r="I613">
        <v>85.6</v>
      </c>
      <c r="J613" s="2">
        <v>25.88</v>
      </c>
      <c r="K613">
        <v>2</v>
      </c>
      <c r="L613" s="1">
        <v>34668.93</v>
      </c>
      <c r="M613">
        <f t="shared" si="63"/>
        <v>6</v>
      </c>
      <c r="N613">
        <f t="shared" si="64"/>
        <v>5778.1549999999997</v>
      </c>
      <c r="O613">
        <f t="shared" si="65"/>
        <v>18050.333333333332</v>
      </c>
      <c r="P613">
        <f t="shared" si="66"/>
        <v>25.1912889935256</v>
      </c>
      <c r="Q613" t="str">
        <f t="shared" si="67"/>
        <v>Recent (4-7 years)</v>
      </c>
      <c r="R613" t="str">
        <f t="shared" si="68"/>
        <v>Excellent</v>
      </c>
      <c r="S613" t="str">
        <f t="shared" si="69"/>
        <v>Low</v>
      </c>
    </row>
    <row r="614" spans="1:19" x14ac:dyDescent="0.3">
      <c r="A614">
        <v>613</v>
      </c>
      <c r="B614" t="s">
        <v>24</v>
      </c>
      <c r="C614">
        <v>2022</v>
      </c>
      <c r="D614">
        <v>136234</v>
      </c>
      <c r="E614" t="s">
        <v>13</v>
      </c>
      <c r="F614" t="s">
        <v>18</v>
      </c>
      <c r="G614" t="s">
        <v>20</v>
      </c>
      <c r="H614">
        <v>1801</v>
      </c>
      <c r="I614">
        <v>283.60000000000002</v>
      </c>
      <c r="J614" s="2">
        <v>14.13</v>
      </c>
      <c r="K614">
        <v>2</v>
      </c>
      <c r="L614" s="1">
        <v>6412.97</v>
      </c>
      <c r="M614">
        <f t="shared" si="63"/>
        <v>2</v>
      </c>
      <c r="N614">
        <f t="shared" si="64"/>
        <v>3206.4850000000001</v>
      </c>
      <c r="O614">
        <f t="shared" si="65"/>
        <v>68117</v>
      </c>
      <c r="P614">
        <f t="shared" si="66"/>
        <v>157.46807329261523</v>
      </c>
      <c r="Q614" t="str">
        <f t="shared" si="67"/>
        <v>New (0-3 years)</v>
      </c>
      <c r="R614" t="str">
        <f t="shared" si="68"/>
        <v>Low</v>
      </c>
      <c r="S614" t="str">
        <f t="shared" si="69"/>
        <v>Very High</v>
      </c>
    </row>
    <row r="615" spans="1:19" x14ac:dyDescent="0.3">
      <c r="A615">
        <v>614</v>
      </c>
      <c r="B615" t="s">
        <v>16</v>
      </c>
      <c r="C615">
        <v>2019</v>
      </c>
      <c r="D615">
        <v>170814</v>
      </c>
      <c r="E615" t="s">
        <v>13</v>
      </c>
      <c r="F615" t="s">
        <v>14</v>
      </c>
      <c r="G615" t="s">
        <v>15</v>
      </c>
      <c r="H615">
        <v>1833</v>
      </c>
      <c r="I615">
        <v>203.9</v>
      </c>
      <c r="J615" s="2">
        <v>26.04</v>
      </c>
      <c r="K615">
        <v>4</v>
      </c>
      <c r="L615" s="1">
        <v>73796.89</v>
      </c>
      <c r="M615">
        <f t="shared" si="63"/>
        <v>5</v>
      </c>
      <c r="N615">
        <f t="shared" si="64"/>
        <v>14759.378000000001</v>
      </c>
      <c r="O615">
        <f t="shared" si="65"/>
        <v>34162.800000000003</v>
      </c>
      <c r="P615">
        <f t="shared" si="66"/>
        <v>111.23840698308784</v>
      </c>
      <c r="Q615" t="str">
        <f t="shared" si="67"/>
        <v>Recent (4-7 years)</v>
      </c>
      <c r="R615" t="str">
        <f t="shared" si="68"/>
        <v>Excellent</v>
      </c>
      <c r="S615" t="str">
        <f t="shared" si="69"/>
        <v>Very High</v>
      </c>
    </row>
    <row r="616" spans="1:19" x14ac:dyDescent="0.3">
      <c r="A616">
        <v>615</v>
      </c>
      <c r="B616" t="s">
        <v>24</v>
      </c>
      <c r="C616">
        <v>2006</v>
      </c>
      <c r="D616">
        <v>24675</v>
      </c>
      <c r="E616" t="s">
        <v>17</v>
      </c>
      <c r="F616" t="s">
        <v>14</v>
      </c>
      <c r="G616" t="s">
        <v>15</v>
      </c>
      <c r="H616">
        <v>2840</v>
      </c>
      <c r="I616">
        <v>345.4</v>
      </c>
      <c r="J616" s="2">
        <v>18.87</v>
      </c>
      <c r="K616">
        <v>6</v>
      </c>
      <c r="L616" s="1">
        <v>49302.15</v>
      </c>
      <c r="M616">
        <f t="shared" si="63"/>
        <v>18</v>
      </c>
      <c r="N616">
        <f t="shared" si="64"/>
        <v>2739.0083333333332</v>
      </c>
      <c r="O616">
        <f t="shared" si="65"/>
        <v>1370.8333333333333</v>
      </c>
      <c r="P616">
        <f t="shared" si="66"/>
        <v>121.61971830985915</v>
      </c>
      <c r="Q616" t="str">
        <f t="shared" si="67"/>
        <v>Old (12+ years)</v>
      </c>
      <c r="R616" t="str">
        <f t="shared" si="68"/>
        <v>Average</v>
      </c>
      <c r="S616" t="str">
        <f t="shared" si="69"/>
        <v>Very High</v>
      </c>
    </row>
    <row r="617" spans="1:19" x14ac:dyDescent="0.3">
      <c r="A617">
        <v>616</v>
      </c>
      <c r="B617" t="s">
        <v>19</v>
      </c>
      <c r="C617">
        <v>2014</v>
      </c>
      <c r="D617">
        <v>78997</v>
      </c>
      <c r="E617" t="s">
        <v>17</v>
      </c>
      <c r="F617" t="s">
        <v>18</v>
      </c>
      <c r="G617" t="s">
        <v>23</v>
      </c>
      <c r="H617">
        <v>1073</v>
      </c>
      <c r="I617">
        <v>114.7</v>
      </c>
      <c r="J617" s="2">
        <v>27.54</v>
      </c>
      <c r="K617">
        <v>7</v>
      </c>
      <c r="L617" s="1">
        <v>37944.639999999999</v>
      </c>
      <c r="M617">
        <f t="shared" si="63"/>
        <v>10</v>
      </c>
      <c r="N617">
        <f t="shared" si="64"/>
        <v>3794.4639999999999</v>
      </c>
      <c r="O617">
        <f t="shared" si="65"/>
        <v>7899.7</v>
      </c>
      <c r="P617">
        <f t="shared" si="66"/>
        <v>106.89655172413794</v>
      </c>
      <c r="Q617" t="str">
        <f t="shared" si="67"/>
        <v>Mature (8-12 years)</v>
      </c>
      <c r="R617" t="str">
        <f t="shared" si="68"/>
        <v>Excellent</v>
      </c>
      <c r="S617" t="str">
        <f t="shared" si="69"/>
        <v>Medium</v>
      </c>
    </row>
    <row r="618" spans="1:19" x14ac:dyDescent="0.3">
      <c r="A618">
        <v>617</v>
      </c>
      <c r="B618" t="s">
        <v>24</v>
      </c>
      <c r="C618">
        <v>2016</v>
      </c>
      <c r="D618">
        <v>153087</v>
      </c>
      <c r="E618" t="s">
        <v>13</v>
      </c>
      <c r="F618" t="s">
        <v>18</v>
      </c>
      <c r="G618" t="s">
        <v>15</v>
      </c>
      <c r="H618">
        <v>3447</v>
      </c>
      <c r="I618">
        <v>427.3</v>
      </c>
      <c r="J618" s="2">
        <v>28.15</v>
      </c>
      <c r="K618">
        <v>6</v>
      </c>
      <c r="L618" s="1">
        <v>104432.1</v>
      </c>
      <c r="M618">
        <f t="shared" si="63"/>
        <v>8</v>
      </c>
      <c r="N618">
        <f t="shared" si="64"/>
        <v>13054.012500000001</v>
      </c>
      <c r="O618">
        <f t="shared" si="65"/>
        <v>19135.875</v>
      </c>
      <c r="P618">
        <f t="shared" si="66"/>
        <v>123.96286626051639</v>
      </c>
      <c r="Q618" t="str">
        <f t="shared" si="67"/>
        <v>Mature (8-12 years)</v>
      </c>
      <c r="R618" t="str">
        <f t="shared" si="68"/>
        <v>Excellent</v>
      </c>
      <c r="S618" t="str">
        <f t="shared" si="69"/>
        <v>Very High</v>
      </c>
    </row>
    <row r="619" spans="1:19" x14ac:dyDescent="0.3">
      <c r="A619">
        <v>618</v>
      </c>
      <c r="B619" t="s">
        <v>28</v>
      </c>
      <c r="C619">
        <v>2021</v>
      </c>
      <c r="D619">
        <v>186129</v>
      </c>
      <c r="E619" t="s">
        <v>17</v>
      </c>
      <c r="F619" t="s">
        <v>18</v>
      </c>
      <c r="G619" t="s">
        <v>15</v>
      </c>
      <c r="H619">
        <v>2579</v>
      </c>
      <c r="I619">
        <v>485.2</v>
      </c>
      <c r="J619" s="2">
        <v>5.23</v>
      </c>
      <c r="K619">
        <v>2</v>
      </c>
      <c r="L619" s="1">
        <v>90368.97</v>
      </c>
      <c r="M619">
        <f t="shared" si="63"/>
        <v>3</v>
      </c>
      <c r="N619">
        <f t="shared" si="64"/>
        <v>30122.99</v>
      </c>
      <c r="O619">
        <f t="shared" si="65"/>
        <v>62043</v>
      </c>
      <c r="P619">
        <f t="shared" si="66"/>
        <v>188.13493602171383</v>
      </c>
      <c r="Q619" t="str">
        <f t="shared" si="67"/>
        <v>New (0-3 years)</v>
      </c>
      <c r="R619" t="str">
        <f t="shared" si="68"/>
        <v>Low</v>
      </c>
      <c r="S619" t="str">
        <f t="shared" si="69"/>
        <v>Very High</v>
      </c>
    </row>
    <row r="620" spans="1:19" x14ac:dyDescent="0.3">
      <c r="A620">
        <v>619</v>
      </c>
      <c r="B620" t="s">
        <v>21</v>
      </c>
      <c r="C620">
        <v>2012</v>
      </c>
      <c r="D620">
        <v>168663</v>
      </c>
      <c r="E620" t="s">
        <v>13</v>
      </c>
      <c r="F620" t="s">
        <v>14</v>
      </c>
      <c r="G620" t="s">
        <v>20</v>
      </c>
      <c r="H620">
        <v>1278</v>
      </c>
      <c r="I620">
        <v>131.5</v>
      </c>
      <c r="J620" s="2">
        <v>6.89</v>
      </c>
      <c r="K620">
        <v>7</v>
      </c>
      <c r="L620" s="1">
        <v>103358.57</v>
      </c>
      <c r="M620">
        <f t="shared" si="63"/>
        <v>12</v>
      </c>
      <c r="N620">
        <f t="shared" si="64"/>
        <v>8613.2141666666666</v>
      </c>
      <c r="O620">
        <f t="shared" si="65"/>
        <v>14055.25</v>
      </c>
      <c r="P620">
        <f t="shared" si="66"/>
        <v>102.89514866979655</v>
      </c>
      <c r="Q620" t="str">
        <f t="shared" si="67"/>
        <v>Mature (8-12 years)</v>
      </c>
      <c r="R620" t="str">
        <f t="shared" si="68"/>
        <v>Low</v>
      </c>
      <c r="S620" t="str">
        <f t="shared" si="69"/>
        <v>Medium</v>
      </c>
    </row>
    <row r="621" spans="1:19" x14ac:dyDescent="0.3">
      <c r="A621">
        <v>620</v>
      </c>
      <c r="B621" t="s">
        <v>30</v>
      </c>
      <c r="C621">
        <v>2015</v>
      </c>
      <c r="D621">
        <v>145905</v>
      </c>
      <c r="E621" t="s">
        <v>13</v>
      </c>
      <c r="F621" t="s">
        <v>18</v>
      </c>
      <c r="G621" t="s">
        <v>23</v>
      </c>
      <c r="H621">
        <v>1315</v>
      </c>
      <c r="I621">
        <v>98.4</v>
      </c>
      <c r="J621" s="2">
        <v>11.26</v>
      </c>
      <c r="K621">
        <v>5</v>
      </c>
      <c r="L621" s="1">
        <v>60912.99</v>
      </c>
      <c r="M621">
        <f t="shared" si="63"/>
        <v>9</v>
      </c>
      <c r="N621">
        <f t="shared" si="64"/>
        <v>6768.11</v>
      </c>
      <c r="O621">
        <f t="shared" si="65"/>
        <v>16211.666666666666</v>
      </c>
      <c r="P621">
        <f t="shared" si="66"/>
        <v>74.828897338403053</v>
      </c>
      <c r="Q621" t="str">
        <f t="shared" si="67"/>
        <v>Mature (8-12 years)</v>
      </c>
      <c r="R621" t="str">
        <f t="shared" si="68"/>
        <v>Low</v>
      </c>
      <c r="S621" t="str">
        <f t="shared" si="69"/>
        <v>Low</v>
      </c>
    </row>
    <row r="622" spans="1:19" x14ac:dyDescent="0.3">
      <c r="A622">
        <v>621</v>
      </c>
      <c r="B622" t="s">
        <v>16</v>
      </c>
      <c r="C622">
        <v>2007</v>
      </c>
      <c r="D622">
        <v>12896</v>
      </c>
      <c r="E622" t="s">
        <v>13</v>
      </c>
      <c r="F622" t="s">
        <v>14</v>
      </c>
      <c r="G622" t="s">
        <v>15</v>
      </c>
      <c r="H622">
        <v>1991</v>
      </c>
      <c r="I622">
        <v>121.5</v>
      </c>
      <c r="J622" s="2">
        <v>21.73</v>
      </c>
      <c r="K622">
        <v>7</v>
      </c>
      <c r="L622" s="1">
        <v>18318.96</v>
      </c>
      <c r="M622">
        <f t="shared" si="63"/>
        <v>17</v>
      </c>
      <c r="N622">
        <f t="shared" si="64"/>
        <v>1077.5858823529411</v>
      </c>
      <c r="O622">
        <f t="shared" si="65"/>
        <v>758.58823529411768</v>
      </c>
      <c r="P622">
        <f t="shared" si="66"/>
        <v>61.02461074836765</v>
      </c>
      <c r="Q622" t="str">
        <f t="shared" si="67"/>
        <v>Old (12+ years)</v>
      </c>
      <c r="R622" t="str">
        <f t="shared" si="68"/>
        <v>Good</v>
      </c>
      <c r="S622" t="str">
        <f t="shared" si="69"/>
        <v>Medium</v>
      </c>
    </row>
    <row r="623" spans="1:19" x14ac:dyDescent="0.3">
      <c r="A623">
        <v>622</v>
      </c>
      <c r="B623" t="s">
        <v>27</v>
      </c>
      <c r="C623">
        <v>2010</v>
      </c>
      <c r="D623">
        <v>169044</v>
      </c>
      <c r="E623" t="s">
        <v>22</v>
      </c>
      <c r="F623" t="s">
        <v>14</v>
      </c>
      <c r="G623" t="s">
        <v>20</v>
      </c>
      <c r="H623">
        <v>3468</v>
      </c>
      <c r="I623">
        <v>531.20000000000005</v>
      </c>
      <c r="J623" s="2">
        <v>27.21</v>
      </c>
      <c r="K623">
        <v>6</v>
      </c>
      <c r="L623" s="1">
        <v>84457.91</v>
      </c>
      <c r="M623">
        <f t="shared" si="63"/>
        <v>14</v>
      </c>
      <c r="N623">
        <f t="shared" si="64"/>
        <v>6032.7078571428574</v>
      </c>
      <c r="O623">
        <f t="shared" si="65"/>
        <v>12074.571428571429</v>
      </c>
      <c r="P623">
        <f t="shared" si="66"/>
        <v>153.17185697808537</v>
      </c>
      <c r="Q623" t="str">
        <f t="shared" si="67"/>
        <v>Old (12+ years)</v>
      </c>
      <c r="R623" t="str">
        <f t="shared" si="68"/>
        <v>Excellent</v>
      </c>
      <c r="S623" t="str">
        <f t="shared" si="69"/>
        <v>Very High</v>
      </c>
    </row>
    <row r="624" spans="1:19" x14ac:dyDescent="0.3">
      <c r="A624">
        <v>623</v>
      </c>
      <c r="B624" t="s">
        <v>29</v>
      </c>
      <c r="C624">
        <v>2013</v>
      </c>
      <c r="D624">
        <v>54733</v>
      </c>
      <c r="E624" t="s">
        <v>17</v>
      </c>
      <c r="F624" t="s">
        <v>18</v>
      </c>
      <c r="G624" t="s">
        <v>23</v>
      </c>
      <c r="H624">
        <v>2211</v>
      </c>
      <c r="I624">
        <v>335.8</v>
      </c>
      <c r="J624" s="2">
        <v>16.5</v>
      </c>
      <c r="K624">
        <v>4</v>
      </c>
      <c r="L624" s="1">
        <v>27110.63</v>
      </c>
      <c r="M624">
        <f t="shared" si="63"/>
        <v>11</v>
      </c>
      <c r="N624">
        <f t="shared" si="64"/>
        <v>2464.6027272727274</v>
      </c>
      <c r="O624">
        <f t="shared" si="65"/>
        <v>4975.727272727273</v>
      </c>
      <c r="P624">
        <f t="shared" si="66"/>
        <v>151.87697874265041</v>
      </c>
      <c r="Q624" t="str">
        <f t="shared" si="67"/>
        <v>Mature (8-12 years)</v>
      </c>
      <c r="R624" t="str">
        <f t="shared" si="68"/>
        <v>Average</v>
      </c>
      <c r="S624" t="str">
        <f t="shared" si="69"/>
        <v>Very High</v>
      </c>
    </row>
    <row r="625" spans="1:19" x14ac:dyDescent="0.3">
      <c r="A625">
        <v>624</v>
      </c>
      <c r="B625" t="s">
        <v>30</v>
      </c>
      <c r="C625">
        <v>2010</v>
      </c>
      <c r="D625">
        <v>46800</v>
      </c>
      <c r="E625" t="s">
        <v>26</v>
      </c>
      <c r="F625" t="s">
        <v>18</v>
      </c>
      <c r="G625" t="s">
        <v>23</v>
      </c>
      <c r="H625">
        <v>4080</v>
      </c>
      <c r="I625">
        <v>301.7</v>
      </c>
      <c r="J625" s="2">
        <v>20.170000000000002</v>
      </c>
      <c r="K625">
        <v>5</v>
      </c>
      <c r="L625" s="1">
        <v>54623.87</v>
      </c>
      <c r="M625">
        <f t="shared" si="63"/>
        <v>14</v>
      </c>
      <c r="N625">
        <f t="shared" si="64"/>
        <v>3901.7050000000004</v>
      </c>
      <c r="O625">
        <f t="shared" si="65"/>
        <v>3342.8571428571427</v>
      </c>
      <c r="P625">
        <f t="shared" si="66"/>
        <v>73.946078431372541</v>
      </c>
      <c r="Q625" t="str">
        <f t="shared" si="67"/>
        <v>Old (12+ years)</v>
      </c>
      <c r="R625" t="str">
        <f t="shared" si="68"/>
        <v>Good</v>
      </c>
      <c r="S625" t="str">
        <f t="shared" si="69"/>
        <v>Very High</v>
      </c>
    </row>
    <row r="626" spans="1:19" x14ac:dyDescent="0.3">
      <c r="A626">
        <v>625</v>
      </c>
      <c r="B626" t="s">
        <v>29</v>
      </c>
      <c r="C626">
        <v>2013</v>
      </c>
      <c r="D626">
        <v>101044</v>
      </c>
      <c r="E626" t="s">
        <v>26</v>
      </c>
      <c r="F626" t="s">
        <v>14</v>
      </c>
      <c r="G626" t="s">
        <v>20</v>
      </c>
      <c r="H626">
        <v>1071</v>
      </c>
      <c r="I626">
        <v>99.8</v>
      </c>
      <c r="J626" s="2">
        <v>9.7100000000000009</v>
      </c>
      <c r="K626">
        <v>6</v>
      </c>
      <c r="L626" s="1">
        <v>10605.09</v>
      </c>
      <c r="M626">
        <f t="shared" si="63"/>
        <v>11</v>
      </c>
      <c r="N626">
        <f t="shared" si="64"/>
        <v>964.09909090909093</v>
      </c>
      <c r="O626">
        <f t="shared" si="65"/>
        <v>9185.818181818182</v>
      </c>
      <c r="P626">
        <f t="shared" si="66"/>
        <v>93.183940242763768</v>
      </c>
      <c r="Q626" t="str">
        <f t="shared" si="67"/>
        <v>Mature (8-12 years)</v>
      </c>
      <c r="R626" t="str">
        <f t="shared" si="68"/>
        <v>Low</v>
      </c>
      <c r="S626" t="str">
        <f t="shared" si="69"/>
        <v>Low</v>
      </c>
    </row>
    <row r="627" spans="1:19" x14ac:dyDescent="0.3">
      <c r="A627">
        <v>626</v>
      </c>
      <c r="B627" t="s">
        <v>21</v>
      </c>
      <c r="C627">
        <v>2011</v>
      </c>
      <c r="D627">
        <v>10347</v>
      </c>
      <c r="E627" t="s">
        <v>17</v>
      </c>
      <c r="F627" t="s">
        <v>18</v>
      </c>
      <c r="G627" t="s">
        <v>20</v>
      </c>
      <c r="H627">
        <v>942</v>
      </c>
      <c r="I627">
        <v>403.8</v>
      </c>
      <c r="J627" s="2">
        <v>25.12</v>
      </c>
      <c r="K627">
        <v>5</v>
      </c>
      <c r="L627" s="1">
        <v>99561.08</v>
      </c>
      <c r="M627">
        <f t="shared" si="63"/>
        <v>13</v>
      </c>
      <c r="N627">
        <f t="shared" si="64"/>
        <v>7658.5446153846151</v>
      </c>
      <c r="O627">
        <f t="shared" si="65"/>
        <v>795.92307692307691</v>
      </c>
      <c r="P627">
        <f t="shared" si="66"/>
        <v>428.66242038216564</v>
      </c>
      <c r="Q627" t="str">
        <f t="shared" si="67"/>
        <v>Old (12+ years)</v>
      </c>
      <c r="R627" t="str">
        <f t="shared" si="68"/>
        <v>Excellent</v>
      </c>
      <c r="S627" t="str">
        <f t="shared" si="69"/>
        <v>Very High</v>
      </c>
    </row>
    <row r="628" spans="1:19" x14ac:dyDescent="0.3">
      <c r="A628">
        <v>627</v>
      </c>
      <c r="B628" t="s">
        <v>16</v>
      </c>
      <c r="C628">
        <v>2013</v>
      </c>
      <c r="D628">
        <v>195135</v>
      </c>
      <c r="E628" t="s">
        <v>13</v>
      </c>
      <c r="F628" t="s">
        <v>18</v>
      </c>
      <c r="G628" t="s">
        <v>20</v>
      </c>
      <c r="H628">
        <v>4132</v>
      </c>
      <c r="I628">
        <v>526.1</v>
      </c>
      <c r="J628" s="2">
        <v>29.18</v>
      </c>
      <c r="K628">
        <v>7</v>
      </c>
      <c r="L628" s="1">
        <v>17735.060000000001</v>
      </c>
      <c r="M628">
        <f t="shared" si="63"/>
        <v>11</v>
      </c>
      <c r="N628">
        <f t="shared" si="64"/>
        <v>1612.278181818182</v>
      </c>
      <c r="O628">
        <f t="shared" si="65"/>
        <v>17739.545454545456</v>
      </c>
      <c r="P628">
        <f t="shared" si="66"/>
        <v>127.32333010648598</v>
      </c>
      <c r="Q628" t="str">
        <f t="shared" si="67"/>
        <v>Mature (8-12 years)</v>
      </c>
      <c r="R628" t="str">
        <f t="shared" si="68"/>
        <v>Excellent</v>
      </c>
      <c r="S628" t="str">
        <f t="shared" si="69"/>
        <v>Very High</v>
      </c>
    </row>
    <row r="629" spans="1:19" x14ac:dyDescent="0.3">
      <c r="A629">
        <v>628</v>
      </c>
      <c r="B629" t="s">
        <v>25</v>
      </c>
      <c r="C629">
        <v>2022</v>
      </c>
      <c r="D629">
        <v>138715</v>
      </c>
      <c r="E629" t="s">
        <v>26</v>
      </c>
      <c r="F629" t="s">
        <v>14</v>
      </c>
      <c r="G629" t="s">
        <v>20</v>
      </c>
      <c r="H629">
        <v>1587</v>
      </c>
      <c r="I629">
        <v>503.8</v>
      </c>
      <c r="J629" s="2">
        <v>11.71</v>
      </c>
      <c r="K629">
        <v>2</v>
      </c>
      <c r="L629" s="1">
        <v>108662.41</v>
      </c>
      <c r="M629">
        <f t="shared" si="63"/>
        <v>2</v>
      </c>
      <c r="N629">
        <f t="shared" si="64"/>
        <v>54331.205000000002</v>
      </c>
      <c r="O629">
        <f t="shared" si="65"/>
        <v>69357.5</v>
      </c>
      <c r="P629">
        <f t="shared" si="66"/>
        <v>317.45431632010082</v>
      </c>
      <c r="Q629" t="str">
        <f t="shared" si="67"/>
        <v>New (0-3 years)</v>
      </c>
      <c r="R629" t="str">
        <f t="shared" si="68"/>
        <v>Low</v>
      </c>
      <c r="S629" t="str">
        <f t="shared" si="69"/>
        <v>Very High</v>
      </c>
    </row>
    <row r="630" spans="1:19" x14ac:dyDescent="0.3">
      <c r="A630">
        <v>629</v>
      </c>
      <c r="B630" t="s">
        <v>27</v>
      </c>
      <c r="C630">
        <v>2016</v>
      </c>
      <c r="D630">
        <v>45785</v>
      </c>
      <c r="E630" t="s">
        <v>26</v>
      </c>
      <c r="F630" t="s">
        <v>18</v>
      </c>
      <c r="G630" t="s">
        <v>20</v>
      </c>
      <c r="H630">
        <v>2481</v>
      </c>
      <c r="I630">
        <v>390.6</v>
      </c>
      <c r="J630" s="2">
        <v>17.37</v>
      </c>
      <c r="K630">
        <v>6</v>
      </c>
      <c r="L630" s="1">
        <v>104114.98</v>
      </c>
      <c r="M630">
        <f t="shared" si="63"/>
        <v>8</v>
      </c>
      <c r="N630">
        <f t="shared" si="64"/>
        <v>13014.372499999999</v>
      </c>
      <c r="O630">
        <f t="shared" si="65"/>
        <v>5723.125</v>
      </c>
      <c r="P630">
        <f t="shared" si="66"/>
        <v>157.43651753325273</v>
      </c>
      <c r="Q630" t="str">
        <f t="shared" si="67"/>
        <v>Mature (8-12 years)</v>
      </c>
      <c r="R630" t="str">
        <f t="shared" si="68"/>
        <v>Average</v>
      </c>
      <c r="S630" t="str">
        <f t="shared" si="69"/>
        <v>Very High</v>
      </c>
    </row>
    <row r="631" spans="1:19" x14ac:dyDescent="0.3">
      <c r="A631">
        <v>630</v>
      </c>
      <c r="B631" t="s">
        <v>28</v>
      </c>
      <c r="C631">
        <v>2012</v>
      </c>
      <c r="D631">
        <v>23681</v>
      </c>
      <c r="E631" t="s">
        <v>17</v>
      </c>
      <c r="F631" t="s">
        <v>14</v>
      </c>
      <c r="G631" t="s">
        <v>15</v>
      </c>
      <c r="H631">
        <v>1422</v>
      </c>
      <c r="I631">
        <v>82.2</v>
      </c>
      <c r="J631" s="2">
        <v>7.15</v>
      </c>
      <c r="K631">
        <v>4</v>
      </c>
      <c r="L631" s="1">
        <v>57356.18</v>
      </c>
      <c r="M631">
        <f t="shared" si="63"/>
        <v>12</v>
      </c>
      <c r="N631">
        <f t="shared" si="64"/>
        <v>4779.6816666666664</v>
      </c>
      <c r="O631">
        <f t="shared" si="65"/>
        <v>1973.4166666666667</v>
      </c>
      <c r="P631">
        <f t="shared" si="66"/>
        <v>57.805907172995788</v>
      </c>
      <c r="Q631" t="str">
        <f t="shared" si="67"/>
        <v>Mature (8-12 years)</v>
      </c>
      <c r="R631" t="str">
        <f t="shared" si="68"/>
        <v>Low</v>
      </c>
      <c r="S631" t="str">
        <f t="shared" si="69"/>
        <v>Low</v>
      </c>
    </row>
    <row r="632" spans="1:19" x14ac:dyDescent="0.3">
      <c r="A632">
        <v>631</v>
      </c>
      <c r="B632" t="s">
        <v>25</v>
      </c>
      <c r="C632">
        <v>2012</v>
      </c>
      <c r="D632">
        <v>186098</v>
      </c>
      <c r="E632" t="s">
        <v>26</v>
      </c>
      <c r="F632" t="s">
        <v>14</v>
      </c>
      <c r="G632" t="s">
        <v>15</v>
      </c>
      <c r="H632">
        <v>4641</v>
      </c>
      <c r="I632">
        <v>102.9</v>
      </c>
      <c r="J632" s="2">
        <v>18.98</v>
      </c>
      <c r="K632">
        <v>7</v>
      </c>
      <c r="L632" s="1">
        <v>90091.08</v>
      </c>
      <c r="M632">
        <f t="shared" si="63"/>
        <v>12</v>
      </c>
      <c r="N632">
        <f t="shared" si="64"/>
        <v>7507.59</v>
      </c>
      <c r="O632">
        <f t="shared" si="65"/>
        <v>15508.166666666666</v>
      </c>
      <c r="P632">
        <f t="shared" si="66"/>
        <v>22.171945701357465</v>
      </c>
      <c r="Q632" t="str">
        <f t="shared" si="67"/>
        <v>Mature (8-12 years)</v>
      </c>
      <c r="R632" t="str">
        <f t="shared" si="68"/>
        <v>Average</v>
      </c>
      <c r="S632" t="str">
        <f t="shared" si="69"/>
        <v>Medium</v>
      </c>
    </row>
    <row r="633" spans="1:19" x14ac:dyDescent="0.3">
      <c r="A633">
        <v>632</v>
      </c>
      <c r="B633" t="s">
        <v>21</v>
      </c>
      <c r="C633">
        <v>2022</v>
      </c>
      <c r="D633">
        <v>108864</v>
      </c>
      <c r="E633" t="s">
        <v>13</v>
      </c>
      <c r="F633" t="s">
        <v>18</v>
      </c>
      <c r="G633" t="s">
        <v>23</v>
      </c>
      <c r="H633">
        <v>4476</v>
      </c>
      <c r="I633">
        <v>67.599999999999994</v>
      </c>
      <c r="J633" s="2">
        <v>17.57</v>
      </c>
      <c r="K633">
        <v>6</v>
      </c>
      <c r="L633" s="1">
        <v>75475.070000000007</v>
      </c>
      <c r="M633">
        <f t="shared" si="63"/>
        <v>2</v>
      </c>
      <c r="N633">
        <f t="shared" si="64"/>
        <v>37737.535000000003</v>
      </c>
      <c r="O633">
        <f t="shared" si="65"/>
        <v>54432</v>
      </c>
      <c r="P633">
        <f t="shared" si="66"/>
        <v>15.102770330652367</v>
      </c>
      <c r="Q633" t="str">
        <f t="shared" si="67"/>
        <v>New (0-3 years)</v>
      </c>
      <c r="R633" t="str">
        <f t="shared" si="68"/>
        <v>Average</v>
      </c>
      <c r="S633" t="str">
        <f t="shared" si="69"/>
        <v>Low</v>
      </c>
    </row>
    <row r="634" spans="1:19" x14ac:dyDescent="0.3">
      <c r="A634">
        <v>633</v>
      </c>
      <c r="B634" t="s">
        <v>30</v>
      </c>
      <c r="C634">
        <v>2024</v>
      </c>
      <c r="D634">
        <v>151964</v>
      </c>
      <c r="E634" t="s">
        <v>17</v>
      </c>
      <c r="F634" t="s">
        <v>14</v>
      </c>
      <c r="G634" t="s">
        <v>15</v>
      </c>
      <c r="H634">
        <v>3372</v>
      </c>
      <c r="I634">
        <v>184.2</v>
      </c>
      <c r="J634" s="2">
        <v>8.61</v>
      </c>
      <c r="K634">
        <v>4</v>
      </c>
      <c r="L634" s="1">
        <v>96959.85</v>
      </c>
      <c r="M634">
        <f t="shared" si="63"/>
        <v>0</v>
      </c>
      <c r="N634">
        <f t="shared" si="64"/>
        <v>96959.85</v>
      </c>
      <c r="O634">
        <f t="shared" si="65"/>
        <v>151964</v>
      </c>
      <c r="P634">
        <f t="shared" si="66"/>
        <v>54.62633451957295</v>
      </c>
      <c r="Q634" t="str">
        <f t="shared" si="67"/>
        <v>New (0-3 years)</v>
      </c>
      <c r="R634" t="str">
        <f t="shared" si="68"/>
        <v>Low</v>
      </c>
      <c r="S634" t="str">
        <f t="shared" si="69"/>
        <v>High</v>
      </c>
    </row>
    <row r="635" spans="1:19" x14ac:dyDescent="0.3">
      <c r="A635">
        <v>634</v>
      </c>
      <c r="B635" t="s">
        <v>28</v>
      </c>
      <c r="C635">
        <v>2019</v>
      </c>
      <c r="D635">
        <v>52299</v>
      </c>
      <c r="E635" t="s">
        <v>13</v>
      </c>
      <c r="F635" t="s">
        <v>14</v>
      </c>
      <c r="G635" t="s">
        <v>15</v>
      </c>
      <c r="H635">
        <v>4060</v>
      </c>
      <c r="I635">
        <v>116</v>
      </c>
      <c r="J635" s="2">
        <v>16.05</v>
      </c>
      <c r="K635">
        <v>6</v>
      </c>
      <c r="L635" s="1">
        <v>53521.2</v>
      </c>
      <c r="M635">
        <f t="shared" si="63"/>
        <v>5</v>
      </c>
      <c r="N635">
        <f t="shared" si="64"/>
        <v>10704.24</v>
      </c>
      <c r="O635">
        <f t="shared" si="65"/>
        <v>10459.799999999999</v>
      </c>
      <c r="P635">
        <f t="shared" si="66"/>
        <v>28.571428571428573</v>
      </c>
      <c r="Q635" t="str">
        <f t="shared" si="67"/>
        <v>Recent (4-7 years)</v>
      </c>
      <c r="R635" t="str">
        <f t="shared" si="68"/>
        <v>Average</v>
      </c>
      <c r="S635" t="str">
        <f t="shared" si="69"/>
        <v>Medium</v>
      </c>
    </row>
    <row r="636" spans="1:19" x14ac:dyDescent="0.3">
      <c r="A636">
        <v>635</v>
      </c>
      <c r="B636" t="s">
        <v>24</v>
      </c>
      <c r="C636">
        <v>2011</v>
      </c>
      <c r="D636">
        <v>22073</v>
      </c>
      <c r="E636" t="s">
        <v>26</v>
      </c>
      <c r="F636" t="s">
        <v>18</v>
      </c>
      <c r="G636" t="s">
        <v>15</v>
      </c>
      <c r="H636">
        <v>866</v>
      </c>
      <c r="I636">
        <v>185.6</v>
      </c>
      <c r="J636" s="2">
        <v>13.35</v>
      </c>
      <c r="K636">
        <v>7</v>
      </c>
      <c r="L636" s="1">
        <v>94939.59</v>
      </c>
      <c r="M636">
        <f t="shared" si="63"/>
        <v>13</v>
      </c>
      <c r="N636">
        <f t="shared" si="64"/>
        <v>7303.0453846153841</v>
      </c>
      <c r="O636">
        <f t="shared" si="65"/>
        <v>1697.9230769230769</v>
      </c>
      <c r="P636">
        <f t="shared" si="66"/>
        <v>214.31870669745959</v>
      </c>
      <c r="Q636" t="str">
        <f t="shared" si="67"/>
        <v>Old (12+ years)</v>
      </c>
      <c r="R636" t="str">
        <f t="shared" si="68"/>
        <v>Low</v>
      </c>
      <c r="S636" t="str">
        <f t="shared" si="69"/>
        <v>High</v>
      </c>
    </row>
    <row r="637" spans="1:19" x14ac:dyDescent="0.3">
      <c r="A637">
        <v>636</v>
      </c>
      <c r="B637" t="s">
        <v>19</v>
      </c>
      <c r="C637">
        <v>2015</v>
      </c>
      <c r="D637">
        <v>107304</v>
      </c>
      <c r="E637" t="s">
        <v>26</v>
      </c>
      <c r="F637" t="s">
        <v>18</v>
      </c>
      <c r="G637" t="s">
        <v>20</v>
      </c>
      <c r="H637">
        <v>1940</v>
      </c>
      <c r="I637">
        <v>255.6</v>
      </c>
      <c r="J637" s="2">
        <v>18.05</v>
      </c>
      <c r="K637">
        <v>6</v>
      </c>
      <c r="L637" s="1">
        <v>57107.45</v>
      </c>
      <c r="M637">
        <f t="shared" si="63"/>
        <v>9</v>
      </c>
      <c r="N637">
        <f t="shared" si="64"/>
        <v>6345.2722222222219</v>
      </c>
      <c r="O637">
        <f t="shared" si="65"/>
        <v>11922.666666666666</v>
      </c>
      <c r="P637">
        <f t="shared" si="66"/>
        <v>131.75257731958763</v>
      </c>
      <c r="Q637" t="str">
        <f t="shared" si="67"/>
        <v>Mature (8-12 years)</v>
      </c>
      <c r="R637" t="str">
        <f t="shared" si="68"/>
        <v>Average</v>
      </c>
      <c r="S637" t="str">
        <f t="shared" si="69"/>
        <v>Very High</v>
      </c>
    </row>
    <row r="638" spans="1:19" x14ac:dyDescent="0.3">
      <c r="A638">
        <v>637</v>
      </c>
      <c r="B638" t="s">
        <v>28</v>
      </c>
      <c r="C638">
        <v>2024</v>
      </c>
      <c r="D638">
        <v>35682</v>
      </c>
      <c r="E638" t="s">
        <v>13</v>
      </c>
      <c r="F638" t="s">
        <v>18</v>
      </c>
      <c r="G638" t="s">
        <v>23</v>
      </c>
      <c r="H638">
        <v>3114</v>
      </c>
      <c r="I638">
        <v>568.1</v>
      </c>
      <c r="J638" s="2">
        <v>19.64</v>
      </c>
      <c r="K638">
        <v>5</v>
      </c>
      <c r="L638" s="1">
        <v>113093</v>
      </c>
      <c r="M638">
        <f t="shared" si="63"/>
        <v>0</v>
      </c>
      <c r="N638">
        <f t="shared" si="64"/>
        <v>113093</v>
      </c>
      <c r="O638">
        <f t="shared" si="65"/>
        <v>35682</v>
      </c>
      <c r="P638">
        <f t="shared" si="66"/>
        <v>182.43416827231857</v>
      </c>
      <c r="Q638" t="str">
        <f t="shared" si="67"/>
        <v>New (0-3 years)</v>
      </c>
      <c r="R638" t="str">
        <f t="shared" si="68"/>
        <v>Average</v>
      </c>
      <c r="S638" t="str">
        <f t="shared" si="69"/>
        <v>Very High</v>
      </c>
    </row>
    <row r="639" spans="1:19" x14ac:dyDescent="0.3">
      <c r="A639">
        <v>638</v>
      </c>
      <c r="B639" t="s">
        <v>21</v>
      </c>
      <c r="C639">
        <v>2020</v>
      </c>
      <c r="D639">
        <v>129302</v>
      </c>
      <c r="E639" t="s">
        <v>22</v>
      </c>
      <c r="F639" t="s">
        <v>14</v>
      </c>
      <c r="G639" t="s">
        <v>23</v>
      </c>
      <c r="H639">
        <v>3332</v>
      </c>
      <c r="I639">
        <v>381.8</v>
      </c>
      <c r="J639" s="2">
        <v>5.21</v>
      </c>
      <c r="K639">
        <v>7</v>
      </c>
      <c r="L639" s="1">
        <v>59905.54</v>
      </c>
      <c r="M639">
        <f t="shared" si="63"/>
        <v>4</v>
      </c>
      <c r="N639">
        <f t="shared" si="64"/>
        <v>14976.385</v>
      </c>
      <c r="O639">
        <f t="shared" si="65"/>
        <v>32325.5</v>
      </c>
      <c r="P639">
        <f t="shared" si="66"/>
        <v>114.5858343337335</v>
      </c>
      <c r="Q639" t="str">
        <f t="shared" si="67"/>
        <v>Recent (4-7 years)</v>
      </c>
      <c r="R639" t="str">
        <f t="shared" si="68"/>
        <v>Low</v>
      </c>
      <c r="S639" t="str">
        <f t="shared" si="69"/>
        <v>Very High</v>
      </c>
    </row>
    <row r="640" spans="1:19" x14ac:dyDescent="0.3">
      <c r="A640">
        <v>639</v>
      </c>
      <c r="B640" t="s">
        <v>12</v>
      </c>
      <c r="C640">
        <v>2008</v>
      </c>
      <c r="D640">
        <v>150361</v>
      </c>
      <c r="E640" t="s">
        <v>26</v>
      </c>
      <c r="F640" t="s">
        <v>14</v>
      </c>
      <c r="G640" t="s">
        <v>23</v>
      </c>
      <c r="H640">
        <v>4380</v>
      </c>
      <c r="I640">
        <v>507.6</v>
      </c>
      <c r="J640" s="2">
        <v>24.03</v>
      </c>
      <c r="K640">
        <v>6</v>
      </c>
      <c r="L640" s="1">
        <v>57126.45</v>
      </c>
      <c r="M640">
        <f t="shared" si="63"/>
        <v>16</v>
      </c>
      <c r="N640">
        <f t="shared" si="64"/>
        <v>3570.4031249999998</v>
      </c>
      <c r="O640">
        <f t="shared" si="65"/>
        <v>9397.5625</v>
      </c>
      <c r="P640">
        <f t="shared" si="66"/>
        <v>115.89041095890411</v>
      </c>
      <c r="Q640" t="str">
        <f t="shared" si="67"/>
        <v>Old (12+ years)</v>
      </c>
      <c r="R640" t="str">
        <f t="shared" si="68"/>
        <v>Good</v>
      </c>
      <c r="S640" t="str">
        <f t="shared" si="69"/>
        <v>Very High</v>
      </c>
    </row>
    <row r="641" spans="1:19" x14ac:dyDescent="0.3">
      <c r="A641">
        <v>640</v>
      </c>
      <c r="B641" t="s">
        <v>19</v>
      </c>
      <c r="C641">
        <v>2010</v>
      </c>
      <c r="D641">
        <v>120359</v>
      </c>
      <c r="E641" t="s">
        <v>22</v>
      </c>
      <c r="F641" t="s">
        <v>18</v>
      </c>
      <c r="G641" t="s">
        <v>23</v>
      </c>
      <c r="H641">
        <v>1987</v>
      </c>
      <c r="I641">
        <v>437.8</v>
      </c>
      <c r="J641" s="2">
        <v>22.83</v>
      </c>
      <c r="K641">
        <v>2</v>
      </c>
      <c r="L641" s="1">
        <v>94853.41</v>
      </c>
      <c r="M641">
        <f t="shared" si="63"/>
        <v>14</v>
      </c>
      <c r="N641">
        <f t="shared" si="64"/>
        <v>6775.2435714285721</v>
      </c>
      <c r="O641">
        <f t="shared" si="65"/>
        <v>8597.0714285714294</v>
      </c>
      <c r="P641">
        <f t="shared" si="66"/>
        <v>220.33215903371917</v>
      </c>
      <c r="Q641" t="str">
        <f t="shared" si="67"/>
        <v>Old (12+ years)</v>
      </c>
      <c r="R641" t="str">
        <f t="shared" si="68"/>
        <v>Good</v>
      </c>
      <c r="S641" t="str">
        <f t="shared" si="69"/>
        <v>Very High</v>
      </c>
    </row>
    <row r="642" spans="1:19" x14ac:dyDescent="0.3">
      <c r="A642">
        <v>641</v>
      </c>
      <c r="B642" t="s">
        <v>29</v>
      </c>
      <c r="C642">
        <v>2007</v>
      </c>
      <c r="D642">
        <v>143999</v>
      </c>
      <c r="E642" t="s">
        <v>26</v>
      </c>
      <c r="F642" t="s">
        <v>14</v>
      </c>
      <c r="G642" t="s">
        <v>15</v>
      </c>
      <c r="H642">
        <v>4139</v>
      </c>
      <c r="I642">
        <v>103</v>
      </c>
      <c r="J642" s="2">
        <v>14.16</v>
      </c>
      <c r="K642">
        <v>6</v>
      </c>
      <c r="L642" s="1">
        <v>99124.59</v>
      </c>
      <c r="M642">
        <f t="shared" si="63"/>
        <v>17</v>
      </c>
      <c r="N642">
        <f t="shared" si="64"/>
        <v>5830.8582352941175</v>
      </c>
      <c r="O642">
        <f t="shared" si="65"/>
        <v>8470.5294117647063</v>
      </c>
      <c r="P642">
        <f t="shared" si="66"/>
        <v>24.88523798018845</v>
      </c>
      <c r="Q642" t="str">
        <f t="shared" si="67"/>
        <v>Old (12+ years)</v>
      </c>
      <c r="R642" t="str">
        <f t="shared" si="68"/>
        <v>Low</v>
      </c>
      <c r="S642" t="str">
        <f t="shared" si="69"/>
        <v>Medium</v>
      </c>
    </row>
    <row r="643" spans="1:19" x14ac:dyDescent="0.3">
      <c r="A643">
        <v>642</v>
      </c>
      <c r="B643" t="s">
        <v>27</v>
      </c>
      <c r="C643">
        <v>2013</v>
      </c>
      <c r="D643">
        <v>184402</v>
      </c>
      <c r="E643" t="s">
        <v>22</v>
      </c>
      <c r="F643" t="s">
        <v>18</v>
      </c>
      <c r="G643" t="s">
        <v>15</v>
      </c>
      <c r="H643">
        <v>1348</v>
      </c>
      <c r="I643">
        <v>452.1</v>
      </c>
      <c r="J643" s="2">
        <v>6.32</v>
      </c>
      <c r="K643">
        <v>5</v>
      </c>
      <c r="L643" s="1">
        <v>67875.23</v>
      </c>
      <c r="M643">
        <f t="shared" ref="M643:M706" si="70">2024-C643</f>
        <v>11</v>
      </c>
      <c r="N643">
        <f t="shared" ref="N643:N706" si="71">IF(M643&gt;0, L643/M643, L643)</f>
        <v>6170.4754545454543</v>
      </c>
      <c r="O643">
        <f t="shared" ref="O643:O706" si="72">IF(M643&gt;0, D643/M643, D643)</f>
        <v>16763.81818181818</v>
      </c>
      <c r="P643">
        <f t="shared" ref="P643:P706" si="73">IF(H643&gt;0, I643/(H643/1000), 0)</f>
        <v>335.38575667655783</v>
      </c>
      <c r="Q643" t="str">
        <f t="shared" ref="Q643:Q706" si="74">IF(M643&lt;=3, "New (0-3 years)",
   IF(M643&lt;=7, "Recent (4-7 years)",
   IF(M643&lt;=12, "Mature (8-12 years)",
   "Old (12+ years)")))</f>
        <v>Mature (8-12 years)</v>
      </c>
      <c r="R643" t="str">
        <f t="shared" ref="R643:R706" si="75">IF(J643&gt;=25, "Excellent",
   IF(J643&gt;=20, "Good",
   IF(J643&gt;=15, "Average",
   "Low")))</f>
        <v>Low</v>
      </c>
      <c r="S643" t="str">
        <f t="shared" ref="S643:S706" si="76">IF(I643&gt;=200, "Very High",
   IF(I643&gt;=150, "High",
   IF(I643&gt;=100, "Medium",
   "Low")))</f>
        <v>Very High</v>
      </c>
    </row>
    <row r="644" spans="1:19" x14ac:dyDescent="0.3">
      <c r="A644">
        <v>643</v>
      </c>
      <c r="B644" t="s">
        <v>29</v>
      </c>
      <c r="C644">
        <v>2014</v>
      </c>
      <c r="D644">
        <v>71707</v>
      </c>
      <c r="E644" t="s">
        <v>22</v>
      </c>
      <c r="F644" t="s">
        <v>18</v>
      </c>
      <c r="G644" t="s">
        <v>20</v>
      </c>
      <c r="H644">
        <v>4887</v>
      </c>
      <c r="I644">
        <v>194.1</v>
      </c>
      <c r="J644" s="2">
        <v>23.87</v>
      </c>
      <c r="K644">
        <v>4</v>
      </c>
      <c r="L644" s="1">
        <v>24036.34</v>
      </c>
      <c r="M644">
        <f t="shared" si="70"/>
        <v>10</v>
      </c>
      <c r="N644">
        <f t="shared" si="71"/>
        <v>2403.634</v>
      </c>
      <c r="O644">
        <f t="shared" si="72"/>
        <v>7170.7</v>
      </c>
      <c r="P644">
        <f t="shared" si="73"/>
        <v>39.717618170656849</v>
      </c>
      <c r="Q644" t="str">
        <f t="shared" si="74"/>
        <v>Mature (8-12 years)</v>
      </c>
      <c r="R644" t="str">
        <f t="shared" si="75"/>
        <v>Good</v>
      </c>
      <c r="S644" t="str">
        <f t="shared" si="76"/>
        <v>High</v>
      </c>
    </row>
    <row r="645" spans="1:19" x14ac:dyDescent="0.3">
      <c r="A645">
        <v>644</v>
      </c>
      <c r="B645" t="s">
        <v>28</v>
      </c>
      <c r="C645">
        <v>2018</v>
      </c>
      <c r="D645">
        <v>70428</v>
      </c>
      <c r="E645" t="s">
        <v>22</v>
      </c>
      <c r="F645" t="s">
        <v>14</v>
      </c>
      <c r="G645" t="s">
        <v>23</v>
      </c>
      <c r="H645">
        <v>872</v>
      </c>
      <c r="I645">
        <v>397.9</v>
      </c>
      <c r="J645" s="2">
        <v>28.88</v>
      </c>
      <c r="K645">
        <v>4</v>
      </c>
      <c r="L645" s="1">
        <v>57727.71</v>
      </c>
      <c r="M645">
        <f t="shared" si="70"/>
        <v>6</v>
      </c>
      <c r="N645">
        <f t="shared" si="71"/>
        <v>9621.2849999999999</v>
      </c>
      <c r="O645">
        <f t="shared" si="72"/>
        <v>11738</v>
      </c>
      <c r="P645">
        <f t="shared" si="73"/>
        <v>456.30733944954125</v>
      </c>
      <c r="Q645" t="str">
        <f t="shared" si="74"/>
        <v>Recent (4-7 years)</v>
      </c>
      <c r="R645" t="str">
        <f t="shared" si="75"/>
        <v>Excellent</v>
      </c>
      <c r="S645" t="str">
        <f t="shared" si="76"/>
        <v>Very High</v>
      </c>
    </row>
    <row r="646" spans="1:19" x14ac:dyDescent="0.3">
      <c r="A646">
        <v>645</v>
      </c>
      <c r="B646" t="s">
        <v>29</v>
      </c>
      <c r="C646">
        <v>2015</v>
      </c>
      <c r="D646">
        <v>55601</v>
      </c>
      <c r="E646" t="s">
        <v>13</v>
      </c>
      <c r="F646" t="s">
        <v>18</v>
      </c>
      <c r="G646" t="s">
        <v>15</v>
      </c>
      <c r="H646">
        <v>998</v>
      </c>
      <c r="I646">
        <v>230.9</v>
      </c>
      <c r="J646" s="2">
        <v>11</v>
      </c>
      <c r="K646">
        <v>4</v>
      </c>
      <c r="L646" s="1">
        <v>116264.48</v>
      </c>
      <c r="M646">
        <f t="shared" si="70"/>
        <v>9</v>
      </c>
      <c r="N646">
        <f t="shared" si="71"/>
        <v>12918.275555555556</v>
      </c>
      <c r="O646">
        <f t="shared" si="72"/>
        <v>6177.8888888888887</v>
      </c>
      <c r="P646">
        <f t="shared" si="73"/>
        <v>231.36272545090182</v>
      </c>
      <c r="Q646" t="str">
        <f t="shared" si="74"/>
        <v>Mature (8-12 years)</v>
      </c>
      <c r="R646" t="str">
        <f t="shared" si="75"/>
        <v>Low</v>
      </c>
      <c r="S646" t="str">
        <f t="shared" si="76"/>
        <v>Very High</v>
      </c>
    </row>
    <row r="647" spans="1:19" x14ac:dyDescent="0.3">
      <c r="A647">
        <v>646</v>
      </c>
      <c r="B647" t="s">
        <v>21</v>
      </c>
      <c r="C647">
        <v>2022</v>
      </c>
      <c r="D647">
        <v>138611</v>
      </c>
      <c r="E647" t="s">
        <v>22</v>
      </c>
      <c r="F647" t="s">
        <v>14</v>
      </c>
      <c r="G647" t="s">
        <v>15</v>
      </c>
      <c r="H647">
        <v>4001</v>
      </c>
      <c r="I647">
        <v>598.70000000000005</v>
      </c>
      <c r="J647" s="2">
        <v>13.09</v>
      </c>
      <c r="K647">
        <v>2</v>
      </c>
      <c r="L647" s="1">
        <v>91099.38</v>
      </c>
      <c r="M647">
        <f t="shared" si="70"/>
        <v>2</v>
      </c>
      <c r="N647">
        <f t="shared" si="71"/>
        <v>45549.69</v>
      </c>
      <c r="O647">
        <f t="shared" si="72"/>
        <v>69305.5</v>
      </c>
      <c r="P647">
        <f t="shared" si="73"/>
        <v>149.63759060234941</v>
      </c>
      <c r="Q647" t="str">
        <f t="shared" si="74"/>
        <v>New (0-3 years)</v>
      </c>
      <c r="R647" t="str">
        <f t="shared" si="75"/>
        <v>Low</v>
      </c>
      <c r="S647" t="str">
        <f t="shared" si="76"/>
        <v>Very High</v>
      </c>
    </row>
    <row r="648" spans="1:19" x14ac:dyDescent="0.3">
      <c r="A648">
        <v>647</v>
      </c>
      <c r="B648" t="s">
        <v>24</v>
      </c>
      <c r="C648">
        <v>2016</v>
      </c>
      <c r="D648">
        <v>116487</v>
      </c>
      <c r="E648" t="s">
        <v>22</v>
      </c>
      <c r="F648" t="s">
        <v>14</v>
      </c>
      <c r="G648" t="s">
        <v>20</v>
      </c>
      <c r="H648">
        <v>2581</v>
      </c>
      <c r="I648">
        <v>187.6</v>
      </c>
      <c r="J648" s="2">
        <v>9.6</v>
      </c>
      <c r="K648">
        <v>5</v>
      </c>
      <c r="L648" s="1">
        <v>97906.02</v>
      </c>
      <c r="M648">
        <f t="shared" si="70"/>
        <v>8</v>
      </c>
      <c r="N648">
        <f t="shared" si="71"/>
        <v>12238.252500000001</v>
      </c>
      <c r="O648">
        <f t="shared" si="72"/>
        <v>14560.875</v>
      </c>
      <c r="P648">
        <f t="shared" si="73"/>
        <v>72.68500581170089</v>
      </c>
      <c r="Q648" t="str">
        <f t="shared" si="74"/>
        <v>Mature (8-12 years)</v>
      </c>
      <c r="R648" t="str">
        <f t="shared" si="75"/>
        <v>Low</v>
      </c>
      <c r="S648" t="str">
        <f t="shared" si="76"/>
        <v>High</v>
      </c>
    </row>
    <row r="649" spans="1:19" x14ac:dyDescent="0.3">
      <c r="A649">
        <v>648</v>
      </c>
      <c r="B649" t="s">
        <v>30</v>
      </c>
      <c r="C649">
        <v>2016</v>
      </c>
      <c r="D649">
        <v>158741</v>
      </c>
      <c r="E649" t="s">
        <v>22</v>
      </c>
      <c r="F649" t="s">
        <v>18</v>
      </c>
      <c r="G649" t="s">
        <v>20</v>
      </c>
      <c r="H649">
        <v>1371</v>
      </c>
      <c r="I649">
        <v>196.3</v>
      </c>
      <c r="J649" s="2">
        <v>19.420000000000002</v>
      </c>
      <c r="K649">
        <v>7</v>
      </c>
      <c r="L649" s="1">
        <v>6840.58</v>
      </c>
      <c r="M649">
        <f t="shared" si="70"/>
        <v>8</v>
      </c>
      <c r="N649">
        <f t="shared" si="71"/>
        <v>855.07249999999999</v>
      </c>
      <c r="O649">
        <f t="shared" si="72"/>
        <v>19842.625</v>
      </c>
      <c r="P649">
        <f t="shared" si="73"/>
        <v>143.18016046681257</v>
      </c>
      <c r="Q649" t="str">
        <f t="shared" si="74"/>
        <v>Mature (8-12 years)</v>
      </c>
      <c r="R649" t="str">
        <f t="shared" si="75"/>
        <v>Average</v>
      </c>
      <c r="S649" t="str">
        <f t="shared" si="76"/>
        <v>High</v>
      </c>
    </row>
    <row r="650" spans="1:19" x14ac:dyDescent="0.3">
      <c r="A650">
        <v>649</v>
      </c>
      <c r="B650" t="s">
        <v>27</v>
      </c>
      <c r="C650">
        <v>2017</v>
      </c>
      <c r="D650">
        <v>156716</v>
      </c>
      <c r="E650" t="s">
        <v>26</v>
      </c>
      <c r="F650" t="s">
        <v>14</v>
      </c>
      <c r="G650" t="s">
        <v>20</v>
      </c>
      <c r="H650">
        <v>1590</v>
      </c>
      <c r="I650">
        <v>561.20000000000005</v>
      </c>
      <c r="J650" s="2">
        <v>8.8699999999999992</v>
      </c>
      <c r="K650">
        <v>4</v>
      </c>
      <c r="L650" s="1">
        <v>57739.56</v>
      </c>
      <c r="M650">
        <f t="shared" si="70"/>
        <v>7</v>
      </c>
      <c r="N650">
        <f t="shared" si="71"/>
        <v>8248.5085714285706</v>
      </c>
      <c r="O650">
        <f t="shared" si="72"/>
        <v>22388</v>
      </c>
      <c r="P650">
        <f t="shared" si="73"/>
        <v>352.95597484276732</v>
      </c>
      <c r="Q650" t="str">
        <f t="shared" si="74"/>
        <v>Recent (4-7 years)</v>
      </c>
      <c r="R650" t="str">
        <f t="shared" si="75"/>
        <v>Low</v>
      </c>
      <c r="S650" t="str">
        <f t="shared" si="76"/>
        <v>Very High</v>
      </c>
    </row>
    <row r="651" spans="1:19" x14ac:dyDescent="0.3">
      <c r="A651">
        <v>650</v>
      </c>
      <c r="B651" t="s">
        <v>29</v>
      </c>
      <c r="C651">
        <v>2017</v>
      </c>
      <c r="D651">
        <v>154817</v>
      </c>
      <c r="E651" t="s">
        <v>22</v>
      </c>
      <c r="F651" t="s">
        <v>18</v>
      </c>
      <c r="G651" t="s">
        <v>15</v>
      </c>
      <c r="H651">
        <v>2438</v>
      </c>
      <c r="I651">
        <v>53.8</v>
      </c>
      <c r="J651" s="2">
        <v>13.9</v>
      </c>
      <c r="K651">
        <v>5</v>
      </c>
      <c r="L651" s="1">
        <v>78654.67</v>
      </c>
      <c r="M651">
        <f t="shared" si="70"/>
        <v>7</v>
      </c>
      <c r="N651">
        <f t="shared" si="71"/>
        <v>11236.381428571429</v>
      </c>
      <c r="O651">
        <f t="shared" si="72"/>
        <v>22116.714285714286</v>
      </c>
      <c r="P651">
        <f t="shared" si="73"/>
        <v>22.067268252666118</v>
      </c>
      <c r="Q651" t="str">
        <f t="shared" si="74"/>
        <v>Recent (4-7 years)</v>
      </c>
      <c r="R651" t="str">
        <f t="shared" si="75"/>
        <v>Low</v>
      </c>
      <c r="S651" t="str">
        <f t="shared" si="76"/>
        <v>Low</v>
      </c>
    </row>
    <row r="652" spans="1:19" x14ac:dyDescent="0.3">
      <c r="A652">
        <v>651</v>
      </c>
      <c r="B652" t="s">
        <v>29</v>
      </c>
      <c r="C652">
        <v>2023</v>
      </c>
      <c r="D652">
        <v>33228</v>
      </c>
      <c r="E652" t="s">
        <v>26</v>
      </c>
      <c r="F652" t="s">
        <v>14</v>
      </c>
      <c r="G652" t="s">
        <v>15</v>
      </c>
      <c r="H652">
        <v>2631</v>
      </c>
      <c r="I652">
        <v>430.1</v>
      </c>
      <c r="J652" s="2">
        <v>22.43</v>
      </c>
      <c r="K652">
        <v>6</v>
      </c>
      <c r="L652" s="1">
        <v>100113.82</v>
      </c>
      <c r="M652">
        <f t="shared" si="70"/>
        <v>1</v>
      </c>
      <c r="N652">
        <f t="shared" si="71"/>
        <v>100113.82</v>
      </c>
      <c r="O652">
        <f t="shared" si="72"/>
        <v>33228</v>
      </c>
      <c r="P652">
        <f t="shared" si="73"/>
        <v>163.47396427213988</v>
      </c>
      <c r="Q652" t="str">
        <f t="shared" si="74"/>
        <v>New (0-3 years)</v>
      </c>
      <c r="R652" t="str">
        <f t="shared" si="75"/>
        <v>Good</v>
      </c>
      <c r="S652" t="str">
        <f t="shared" si="76"/>
        <v>Very High</v>
      </c>
    </row>
    <row r="653" spans="1:19" x14ac:dyDescent="0.3">
      <c r="A653">
        <v>652</v>
      </c>
      <c r="B653" t="s">
        <v>28</v>
      </c>
      <c r="C653">
        <v>2023</v>
      </c>
      <c r="D653">
        <v>170593</v>
      </c>
      <c r="E653" t="s">
        <v>22</v>
      </c>
      <c r="F653" t="s">
        <v>14</v>
      </c>
      <c r="G653" t="s">
        <v>20</v>
      </c>
      <c r="H653">
        <v>2655</v>
      </c>
      <c r="I653">
        <v>446.2</v>
      </c>
      <c r="J653" s="2">
        <v>19</v>
      </c>
      <c r="K653">
        <v>2</v>
      </c>
      <c r="L653" s="1">
        <v>8765.02</v>
      </c>
      <c r="M653">
        <f t="shared" si="70"/>
        <v>1</v>
      </c>
      <c r="N653">
        <f t="shared" si="71"/>
        <v>8765.02</v>
      </c>
      <c r="O653">
        <f t="shared" si="72"/>
        <v>170593</v>
      </c>
      <c r="P653">
        <f t="shared" si="73"/>
        <v>168.06026365348401</v>
      </c>
      <c r="Q653" t="str">
        <f t="shared" si="74"/>
        <v>New (0-3 years)</v>
      </c>
      <c r="R653" t="str">
        <f t="shared" si="75"/>
        <v>Average</v>
      </c>
      <c r="S653" t="str">
        <f t="shared" si="76"/>
        <v>Very High</v>
      </c>
    </row>
    <row r="654" spans="1:19" x14ac:dyDescent="0.3">
      <c r="A654">
        <v>653</v>
      </c>
      <c r="B654" t="s">
        <v>30</v>
      </c>
      <c r="C654">
        <v>2018</v>
      </c>
      <c r="D654">
        <v>127788</v>
      </c>
      <c r="E654" t="s">
        <v>22</v>
      </c>
      <c r="F654" t="s">
        <v>14</v>
      </c>
      <c r="G654" t="s">
        <v>23</v>
      </c>
      <c r="H654">
        <v>1974</v>
      </c>
      <c r="I654">
        <v>508.4</v>
      </c>
      <c r="J654" s="2">
        <v>14.66</v>
      </c>
      <c r="K654">
        <v>5</v>
      </c>
      <c r="L654" s="1">
        <v>102735.35</v>
      </c>
      <c r="M654">
        <f t="shared" si="70"/>
        <v>6</v>
      </c>
      <c r="N654">
        <f t="shared" si="71"/>
        <v>17122.558333333334</v>
      </c>
      <c r="O654">
        <f t="shared" si="72"/>
        <v>21298</v>
      </c>
      <c r="P654">
        <f t="shared" si="73"/>
        <v>257.54812563323202</v>
      </c>
      <c r="Q654" t="str">
        <f t="shared" si="74"/>
        <v>Recent (4-7 years)</v>
      </c>
      <c r="R654" t="str">
        <f t="shared" si="75"/>
        <v>Low</v>
      </c>
      <c r="S654" t="str">
        <f t="shared" si="76"/>
        <v>Very High</v>
      </c>
    </row>
    <row r="655" spans="1:19" x14ac:dyDescent="0.3">
      <c r="A655">
        <v>654</v>
      </c>
      <c r="B655" t="s">
        <v>25</v>
      </c>
      <c r="C655">
        <v>2008</v>
      </c>
      <c r="D655">
        <v>102239</v>
      </c>
      <c r="E655" t="s">
        <v>13</v>
      </c>
      <c r="F655" t="s">
        <v>18</v>
      </c>
      <c r="G655" t="s">
        <v>20</v>
      </c>
      <c r="H655">
        <v>4540</v>
      </c>
      <c r="I655">
        <v>585.70000000000005</v>
      </c>
      <c r="J655" s="2">
        <v>15.51</v>
      </c>
      <c r="K655">
        <v>5</v>
      </c>
      <c r="L655" s="1">
        <v>67162.91</v>
      </c>
      <c r="M655">
        <f t="shared" si="70"/>
        <v>16</v>
      </c>
      <c r="N655">
        <f t="shared" si="71"/>
        <v>4197.6818750000002</v>
      </c>
      <c r="O655">
        <f t="shared" si="72"/>
        <v>6389.9375</v>
      </c>
      <c r="P655">
        <f t="shared" si="73"/>
        <v>129.00881057268722</v>
      </c>
      <c r="Q655" t="str">
        <f t="shared" si="74"/>
        <v>Old (12+ years)</v>
      </c>
      <c r="R655" t="str">
        <f t="shared" si="75"/>
        <v>Average</v>
      </c>
      <c r="S655" t="str">
        <f t="shared" si="76"/>
        <v>Very High</v>
      </c>
    </row>
    <row r="656" spans="1:19" x14ac:dyDescent="0.3">
      <c r="A656">
        <v>655</v>
      </c>
      <c r="B656" t="s">
        <v>29</v>
      </c>
      <c r="C656">
        <v>2017</v>
      </c>
      <c r="D656">
        <v>31928</v>
      </c>
      <c r="E656" t="s">
        <v>26</v>
      </c>
      <c r="F656" t="s">
        <v>14</v>
      </c>
      <c r="G656" t="s">
        <v>20</v>
      </c>
      <c r="H656">
        <v>4077</v>
      </c>
      <c r="I656">
        <v>586.29999999999995</v>
      </c>
      <c r="J656" s="2">
        <v>19.05</v>
      </c>
      <c r="K656">
        <v>7</v>
      </c>
      <c r="L656" s="1">
        <v>26085.73</v>
      </c>
      <c r="M656">
        <f t="shared" si="70"/>
        <v>7</v>
      </c>
      <c r="N656">
        <f t="shared" si="71"/>
        <v>3726.5328571428572</v>
      </c>
      <c r="O656">
        <f t="shared" si="72"/>
        <v>4561.1428571428569</v>
      </c>
      <c r="P656">
        <f t="shared" si="73"/>
        <v>143.80672062791268</v>
      </c>
      <c r="Q656" t="str">
        <f t="shared" si="74"/>
        <v>Recent (4-7 years)</v>
      </c>
      <c r="R656" t="str">
        <f t="shared" si="75"/>
        <v>Average</v>
      </c>
      <c r="S656" t="str">
        <f t="shared" si="76"/>
        <v>Very High</v>
      </c>
    </row>
    <row r="657" spans="1:19" x14ac:dyDescent="0.3">
      <c r="A657">
        <v>656</v>
      </c>
      <c r="B657" t="s">
        <v>21</v>
      </c>
      <c r="C657">
        <v>2012</v>
      </c>
      <c r="D657">
        <v>23322</v>
      </c>
      <c r="E657" t="s">
        <v>22</v>
      </c>
      <c r="F657" t="s">
        <v>18</v>
      </c>
      <c r="G657" t="s">
        <v>20</v>
      </c>
      <c r="H657">
        <v>978</v>
      </c>
      <c r="I657">
        <v>76.599999999999994</v>
      </c>
      <c r="J657" s="2">
        <v>5.15</v>
      </c>
      <c r="K657">
        <v>5</v>
      </c>
      <c r="L657" s="1">
        <v>40118.86</v>
      </c>
      <c r="M657">
        <f t="shared" si="70"/>
        <v>12</v>
      </c>
      <c r="N657">
        <f t="shared" si="71"/>
        <v>3343.2383333333332</v>
      </c>
      <c r="O657">
        <f t="shared" si="72"/>
        <v>1943.5</v>
      </c>
      <c r="P657">
        <f t="shared" si="73"/>
        <v>78.323108384458067</v>
      </c>
      <c r="Q657" t="str">
        <f t="shared" si="74"/>
        <v>Mature (8-12 years)</v>
      </c>
      <c r="R657" t="str">
        <f t="shared" si="75"/>
        <v>Low</v>
      </c>
      <c r="S657" t="str">
        <f t="shared" si="76"/>
        <v>Low</v>
      </c>
    </row>
    <row r="658" spans="1:19" x14ac:dyDescent="0.3">
      <c r="A658">
        <v>657</v>
      </c>
      <c r="B658" t="s">
        <v>12</v>
      </c>
      <c r="C658">
        <v>2023</v>
      </c>
      <c r="D658">
        <v>193786</v>
      </c>
      <c r="E658" t="s">
        <v>26</v>
      </c>
      <c r="F658" t="s">
        <v>14</v>
      </c>
      <c r="G658" t="s">
        <v>20</v>
      </c>
      <c r="H658">
        <v>3044</v>
      </c>
      <c r="I658">
        <v>500.2</v>
      </c>
      <c r="J658" s="2">
        <v>6.96</v>
      </c>
      <c r="K658">
        <v>7</v>
      </c>
      <c r="L658" s="1">
        <v>35985.760000000002</v>
      </c>
      <c r="M658">
        <f t="shared" si="70"/>
        <v>1</v>
      </c>
      <c r="N658">
        <f t="shared" si="71"/>
        <v>35985.760000000002</v>
      </c>
      <c r="O658">
        <f t="shared" si="72"/>
        <v>193786</v>
      </c>
      <c r="P658">
        <f t="shared" si="73"/>
        <v>164.32325886990802</v>
      </c>
      <c r="Q658" t="str">
        <f t="shared" si="74"/>
        <v>New (0-3 years)</v>
      </c>
      <c r="R658" t="str">
        <f t="shared" si="75"/>
        <v>Low</v>
      </c>
      <c r="S658" t="str">
        <f t="shared" si="76"/>
        <v>Very High</v>
      </c>
    </row>
    <row r="659" spans="1:19" x14ac:dyDescent="0.3">
      <c r="A659">
        <v>658</v>
      </c>
      <c r="B659" t="s">
        <v>27</v>
      </c>
      <c r="C659">
        <v>2016</v>
      </c>
      <c r="D659">
        <v>92896</v>
      </c>
      <c r="E659" t="s">
        <v>26</v>
      </c>
      <c r="F659" t="s">
        <v>14</v>
      </c>
      <c r="G659" t="s">
        <v>15</v>
      </c>
      <c r="H659">
        <v>4886</v>
      </c>
      <c r="I659">
        <v>401.9</v>
      </c>
      <c r="J659" s="2">
        <v>27.03</v>
      </c>
      <c r="K659">
        <v>2</v>
      </c>
      <c r="L659" s="1">
        <v>65110.51</v>
      </c>
      <c r="M659">
        <f t="shared" si="70"/>
        <v>8</v>
      </c>
      <c r="N659">
        <f t="shared" si="71"/>
        <v>8138.8137500000003</v>
      </c>
      <c r="O659">
        <f t="shared" si="72"/>
        <v>11612</v>
      </c>
      <c r="P659">
        <f t="shared" si="73"/>
        <v>82.25542365943511</v>
      </c>
      <c r="Q659" t="str">
        <f t="shared" si="74"/>
        <v>Mature (8-12 years)</v>
      </c>
      <c r="R659" t="str">
        <f t="shared" si="75"/>
        <v>Excellent</v>
      </c>
      <c r="S659" t="str">
        <f t="shared" si="76"/>
        <v>Very High</v>
      </c>
    </row>
    <row r="660" spans="1:19" x14ac:dyDescent="0.3">
      <c r="A660">
        <v>659</v>
      </c>
      <c r="B660" t="s">
        <v>29</v>
      </c>
      <c r="C660">
        <v>2022</v>
      </c>
      <c r="D660">
        <v>67292</v>
      </c>
      <c r="E660" t="s">
        <v>17</v>
      </c>
      <c r="F660" t="s">
        <v>18</v>
      </c>
      <c r="G660" t="s">
        <v>23</v>
      </c>
      <c r="H660">
        <v>1534</v>
      </c>
      <c r="I660">
        <v>402.5</v>
      </c>
      <c r="J660" s="2">
        <v>6.95</v>
      </c>
      <c r="K660">
        <v>2</v>
      </c>
      <c r="L660" s="1">
        <v>9047.2199999999993</v>
      </c>
      <c r="M660">
        <f t="shared" si="70"/>
        <v>2</v>
      </c>
      <c r="N660">
        <f t="shared" si="71"/>
        <v>4523.6099999999997</v>
      </c>
      <c r="O660">
        <f t="shared" si="72"/>
        <v>33646</v>
      </c>
      <c r="P660">
        <f t="shared" si="73"/>
        <v>262.38591916558016</v>
      </c>
      <c r="Q660" t="str">
        <f t="shared" si="74"/>
        <v>New (0-3 years)</v>
      </c>
      <c r="R660" t="str">
        <f t="shared" si="75"/>
        <v>Low</v>
      </c>
      <c r="S660" t="str">
        <f t="shared" si="76"/>
        <v>Very High</v>
      </c>
    </row>
    <row r="661" spans="1:19" x14ac:dyDescent="0.3">
      <c r="A661">
        <v>660</v>
      </c>
      <c r="B661" t="s">
        <v>21</v>
      </c>
      <c r="C661">
        <v>2010</v>
      </c>
      <c r="D661">
        <v>34055</v>
      </c>
      <c r="E661" t="s">
        <v>13</v>
      </c>
      <c r="F661" t="s">
        <v>18</v>
      </c>
      <c r="G661" t="s">
        <v>20</v>
      </c>
      <c r="H661">
        <v>1598</v>
      </c>
      <c r="I661">
        <v>111.9</v>
      </c>
      <c r="J661" s="2">
        <v>22.67</v>
      </c>
      <c r="K661">
        <v>6</v>
      </c>
      <c r="L661" s="1">
        <v>21548.73</v>
      </c>
      <c r="M661">
        <f t="shared" si="70"/>
        <v>14</v>
      </c>
      <c r="N661">
        <f t="shared" si="71"/>
        <v>1539.1949999999999</v>
      </c>
      <c r="O661">
        <f t="shared" si="72"/>
        <v>2432.5</v>
      </c>
      <c r="P661">
        <f t="shared" si="73"/>
        <v>70.025031289111382</v>
      </c>
      <c r="Q661" t="str">
        <f t="shared" si="74"/>
        <v>Old (12+ years)</v>
      </c>
      <c r="R661" t="str">
        <f t="shared" si="75"/>
        <v>Good</v>
      </c>
      <c r="S661" t="str">
        <f t="shared" si="76"/>
        <v>Medium</v>
      </c>
    </row>
    <row r="662" spans="1:19" x14ac:dyDescent="0.3">
      <c r="A662">
        <v>661</v>
      </c>
      <c r="B662" t="s">
        <v>21</v>
      </c>
      <c r="C662">
        <v>2022</v>
      </c>
      <c r="D662">
        <v>47891</v>
      </c>
      <c r="E662" t="s">
        <v>13</v>
      </c>
      <c r="F662" t="s">
        <v>18</v>
      </c>
      <c r="G662" t="s">
        <v>23</v>
      </c>
      <c r="H662">
        <v>1587</v>
      </c>
      <c r="I662">
        <v>404.1</v>
      </c>
      <c r="J662" s="2">
        <v>28</v>
      </c>
      <c r="K662">
        <v>7</v>
      </c>
      <c r="L662" s="1">
        <v>98085.09</v>
      </c>
      <c r="M662">
        <f t="shared" si="70"/>
        <v>2</v>
      </c>
      <c r="N662">
        <f t="shared" si="71"/>
        <v>49042.544999999998</v>
      </c>
      <c r="O662">
        <f t="shared" si="72"/>
        <v>23945.5</v>
      </c>
      <c r="P662">
        <f t="shared" si="73"/>
        <v>254.63137996219282</v>
      </c>
      <c r="Q662" t="str">
        <f t="shared" si="74"/>
        <v>New (0-3 years)</v>
      </c>
      <c r="R662" t="str">
        <f t="shared" si="75"/>
        <v>Excellent</v>
      </c>
      <c r="S662" t="str">
        <f t="shared" si="76"/>
        <v>Very High</v>
      </c>
    </row>
    <row r="663" spans="1:19" x14ac:dyDescent="0.3">
      <c r="A663">
        <v>662</v>
      </c>
      <c r="B663" t="s">
        <v>27</v>
      </c>
      <c r="C663">
        <v>2023</v>
      </c>
      <c r="D663">
        <v>86912</v>
      </c>
      <c r="E663" t="s">
        <v>13</v>
      </c>
      <c r="F663" t="s">
        <v>18</v>
      </c>
      <c r="G663" t="s">
        <v>23</v>
      </c>
      <c r="H663">
        <v>3595</v>
      </c>
      <c r="I663">
        <v>590.20000000000005</v>
      </c>
      <c r="J663" s="2">
        <v>11.77</v>
      </c>
      <c r="K663">
        <v>7</v>
      </c>
      <c r="L663" s="1">
        <v>18514.669999999998</v>
      </c>
      <c r="M663">
        <f t="shared" si="70"/>
        <v>1</v>
      </c>
      <c r="N663">
        <f t="shared" si="71"/>
        <v>18514.669999999998</v>
      </c>
      <c r="O663">
        <f t="shared" si="72"/>
        <v>86912</v>
      </c>
      <c r="P663">
        <f t="shared" si="73"/>
        <v>164.17246175243395</v>
      </c>
      <c r="Q663" t="str">
        <f t="shared" si="74"/>
        <v>New (0-3 years)</v>
      </c>
      <c r="R663" t="str">
        <f t="shared" si="75"/>
        <v>Low</v>
      </c>
      <c r="S663" t="str">
        <f t="shared" si="76"/>
        <v>Very High</v>
      </c>
    </row>
    <row r="664" spans="1:19" x14ac:dyDescent="0.3">
      <c r="A664">
        <v>663</v>
      </c>
      <c r="B664" t="s">
        <v>25</v>
      </c>
      <c r="C664">
        <v>2009</v>
      </c>
      <c r="D664">
        <v>142660</v>
      </c>
      <c r="E664" t="s">
        <v>17</v>
      </c>
      <c r="F664" t="s">
        <v>18</v>
      </c>
      <c r="G664" t="s">
        <v>23</v>
      </c>
      <c r="H664">
        <v>3884</v>
      </c>
      <c r="I664">
        <v>550.6</v>
      </c>
      <c r="J664" s="2">
        <v>14.26</v>
      </c>
      <c r="K664">
        <v>4</v>
      </c>
      <c r="L664" s="1">
        <v>30307.360000000001</v>
      </c>
      <c r="M664">
        <f t="shared" si="70"/>
        <v>15</v>
      </c>
      <c r="N664">
        <f t="shared" si="71"/>
        <v>2020.4906666666668</v>
      </c>
      <c r="O664">
        <f t="shared" si="72"/>
        <v>9510.6666666666661</v>
      </c>
      <c r="P664">
        <f t="shared" si="73"/>
        <v>141.76107106076211</v>
      </c>
      <c r="Q664" t="str">
        <f t="shared" si="74"/>
        <v>Old (12+ years)</v>
      </c>
      <c r="R664" t="str">
        <f t="shared" si="75"/>
        <v>Low</v>
      </c>
      <c r="S664" t="str">
        <f t="shared" si="76"/>
        <v>Very High</v>
      </c>
    </row>
    <row r="665" spans="1:19" x14ac:dyDescent="0.3">
      <c r="A665">
        <v>664</v>
      </c>
      <c r="B665" t="s">
        <v>21</v>
      </c>
      <c r="C665">
        <v>2013</v>
      </c>
      <c r="D665">
        <v>95536</v>
      </c>
      <c r="E665" t="s">
        <v>17</v>
      </c>
      <c r="F665" t="s">
        <v>14</v>
      </c>
      <c r="G665" t="s">
        <v>20</v>
      </c>
      <c r="H665">
        <v>3718</v>
      </c>
      <c r="I665">
        <v>285.89999999999998</v>
      </c>
      <c r="J665" s="2">
        <v>19.22</v>
      </c>
      <c r="K665">
        <v>4</v>
      </c>
      <c r="L665" s="1">
        <v>56044.36</v>
      </c>
      <c r="M665">
        <f t="shared" si="70"/>
        <v>11</v>
      </c>
      <c r="N665">
        <f t="shared" si="71"/>
        <v>5094.9418181818182</v>
      </c>
      <c r="O665">
        <f t="shared" si="72"/>
        <v>8685.0909090909099</v>
      </c>
      <c r="P665">
        <f t="shared" si="73"/>
        <v>76.896180742334579</v>
      </c>
      <c r="Q665" t="str">
        <f t="shared" si="74"/>
        <v>Mature (8-12 years)</v>
      </c>
      <c r="R665" t="str">
        <f t="shared" si="75"/>
        <v>Average</v>
      </c>
      <c r="S665" t="str">
        <f t="shared" si="76"/>
        <v>Very High</v>
      </c>
    </row>
    <row r="666" spans="1:19" x14ac:dyDescent="0.3">
      <c r="A666">
        <v>665</v>
      </c>
      <c r="B666" t="s">
        <v>12</v>
      </c>
      <c r="C666">
        <v>2007</v>
      </c>
      <c r="D666">
        <v>11304</v>
      </c>
      <c r="E666" t="s">
        <v>13</v>
      </c>
      <c r="F666" t="s">
        <v>14</v>
      </c>
      <c r="G666" t="s">
        <v>15</v>
      </c>
      <c r="H666">
        <v>1531</v>
      </c>
      <c r="I666">
        <v>62.4</v>
      </c>
      <c r="J666" s="2">
        <v>27.04</v>
      </c>
      <c r="K666">
        <v>6</v>
      </c>
      <c r="L666" s="1">
        <v>63503.14</v>
      </c>
      <c r="M666">
        <f t="shared" si="70"/>
        <v>17</v>
      </c>
      <c r="N666">
        <f t="shared" si="71"/>
        <v>3735.4788235294118</v>
      </c>
      <c r="O666">
        <f t="shared" si="72"/>
        <v>664.94117647058829</v>
      </c>
      <c r="P666">
        <f t="shared" si="73"/>
        <v>40.757674722403657</v>
      </c>
      <c r="Q666" t="str">
        <f t="shared" si="74"/>
        <v>Old (12+ years)</v>
      </c>
      <c r="R666" t="str">
        <f t="shared" si="75"/>
        <v>Excellent</v>
      </c>
      <c r="S666" t="str">
        <f t="shared" si="76"/>
        <v>Low</v>
      </c>
    </row>
    <row r="667" spans="1:19" x14ac:dyDescent="0.3">
      <c r="A667">
        <v>666</v>
      </c>
      <c r="B667" t="s">
        <v>21</v>
      </c>
      <c r="C667">
        <v>2014</v>
      </c>
      <c r="D667">
        <v>12345</v>
      </c>
      <c r="E667" t="s">
        <v>17</v>
      </c>
      <c r="F667" t="s">
        <v>18</v>
      </c>
      <c r="G667" t="s">
        <v>20</v>
      </c>
      <c r="H667">
        <v>1929</v>
      </c>
      <c r="I667">
        <v>242.9</v>
      </c>
      <c r="J667" s="2">
        <v>28.55</v>
      </c>
      <c r="K667">
        <v>2</v>
      </c>
      <c r="L667" s="1">
        <v>92342.43</v>
      </c>
      <c r="M667">
        <f t="shared" si="70"/>
        <v>10</v>
      </c>
      <c r="N667">
        <f t="shared" si="71"/>
        <v>9234.2429999999986</v>
      </c>
      <c r="O667">
        <f t="shared" si="72"/>
        <v>1234.5</v>
      </c>
      <c r="P667">
        <f t="shared" si="73"/>
        <v>125.92016588906169</v>
      </c>
      <c r="Q667" t="str">
        <f t="shared" si="74"/>
        <v>Mature (8-12 years)</v>
      </c>
      <c r="R667" t="str">
        <f t="shared" si="75"/>
        <v>Excellent</v>
      </c>
      <c r="S667" t="str">
        <f t="shared" si="76"/>
        <v>Very High</v>
      </c>
    </row>
    <row r="668" spans="1:19" x14ac:dyDescent="0.3">
      <c r="A668">
        <v>667</v>
      </c>
      <c r="B668" t="s">
        <v>21</v>
      </c>
      <c r="C668">
        <v>2023</v>
      </c>
      <c r="D668">
        <v>165372</v>
      </c>
      <c r="E668" t="s">
        <v>17</v>
      </c>
      <c r="F668" t="s">
        <v>14</v>
      </c>
      <c r="G668" t="s">
        <v>23</v>
      </c>
      <c r="H668">
        <v>4246</v>
      </c>
      <c r="I668">
        <v>502.8</v>
      </c>
      <c r="J668" s="2">
        <v>23.49</v>
      </c>
      <c r="K668">
        <v>4</v>
      </c>
      <c r="L668" s="1">
        <v>55337.89</v>
      </c>
      <c r="M668">
        <f t="shared" si="70"/>
        <v>1</v>
      </c>
      <c r="N668">
        <f t="shared" si="71"/>
        <v>55337.89</v>
      </c>
      <c r="O668">
        <f t="shared" si="72"/>
        <v>165372</v>
      </c>
      <c r="P668">
        <f t="shared" si="73"/>
        <v>118.41733396137541</v>
      </c>
      <c r="Q668" t="str">
        <f t="shared" si="74"/>
        <v>New (0-3 years)</v>
      </c>
      <c r="R668" t="str">
        <f t="shared" si="75"/>
        <v>Good</v>
      </c>
      <c r="S668" t="str">
        <f t="shared" si="76"/>
        <v>Very High</v>
      </c>
    </row>
    <row r="669" spans="1:19" x14ac:dyDescent="0.3">
      <c r="A669">
        <v>668</v>
      </c>
      <c r="B669" t="s">
        <v>21</v>
      </c>
      <c r="C669">
        <v>2007</v>
      </c>
      <c r="D669">
        <v>160331</v>
      </c>
      <c r="E669" t="s">
        <v>17</v>
      </c>
      <c r="F669" t="s">
        <v>14</v>
      </c>
      <c r="G669" t="s">
        <v>23</v>
      </c>
      <c r="H669">
        <v>2405</v>
      </c>
      <c r="I669">
        <v>432.8</v>
      </c>
      <c r="J669" s="2">
        <v>7.17</v>
      </c>
      <c r="K669">
        <v>5</v>
      </c>
      <c r="L669" s="1">
        <v>95414.16</v>
      </c>
      <c r="M669">
        <f t="shared" si="70"/>
        <v>17</v>
      </c>
      <c r="N669">
        <f t="shared" si="71"/>
        <v>5612.5976470588239</v>
      </c>
      <c r="O669">
        <f t="shared" si="72"/>
        <v>9431.2352941176468</v>
      </c>
      <c r="P669">
        <f t="shared" si="73"/>
        <v>179.95841995841997</v>
      </c>
      <c r="Q669" t="str">
        <f t="shared" si="74"/>
        <v>Old (12+ years)</v>
      </c>
      <c r="R669" t="str">
        <f t="shared" si="75"/>
        <v>Low</v>
      </c>
      <c r="S669" t="str">
        <f t="shared" si="76"/>
        <v>Very High</v>
      </c>
    </row>
    <row r="670" spans="1:19" x14ac:dyDescent="0.3">
      <c r="A670">
        <v>669</v>
      </c>
      <c r="B670" t="s">
        <v>24</v>
      </c>
      <c r="C670">
        <v>2019</v>
      </c>
      <c r="D670">
        <v>96006</v>
      </c>
      <c r="E670" t="s">
        <v>13</v>
      </c>
      <c r="F670" t="s">
        <v>14</v>
      </c>
      <c r="G670" t="s">
        <v>15</v>
      </c>
      <c r="H670">
        <v>4578</v>
      </c>
      <c r="I670">
        <v>297.2</v>
      </c>
      <c r="J670" s="2">
        <v>21.73</v>
      </c>
      <c r="K670">
        <v>2</v>
      </c>
      <c r="L670" s="1">
        <v>75346.52</v>
      </c>
      <c r="M670">
        <f t="shared" si="70"/>
        <v>5</v>
      </c>
      <c r="N670">
        <f t="shared" si="71"/>
        <v>15069.304</v>
      </c>
      <c r="O670">
        <f t="shared" si="72"/>
        <v>19201.2</v>
      </c>
      <c r="P670">
        <f t="shared" si="73"/>
        <v>64.919178680646567</v>
      </c>
      <c r="Q670" t="str">
        <f t="shared" si="74"/>
        <v>Recent (4-7 years)</v>
      </c>
      <c r="R670" t="str">
        <f t="shared" si="75"/>
        <v>Good</v>
      </c>
      <c r="S670" t="str">
        <f t="shared" si="76"/>
        <v>Very High</v>
      </c>
    </row>
    <row r="671" spans="1:19" x14ac:dyDescent="0.3">
      <c r="A671">
        <v>670</v>
      </c>
      <c r="B671" t="s">
        <v>24</v>
      </c>
      <c r="C671">
        <v>2005</v>
      </c>
      <c r="D671">
        <v>151424</v>
      </c>
      <c r="E671" t="s">
        <v>13</v>
      </c>
      <c r="F671" t="s">
        <v>18</v>
      </c>
      <c r="G671" t="s">
        <v>20</v>
      </c>
      <c r="H671">
        <v>3545</v>
      </c>
      <c r="I671">
        <v>70.900000000000006</v>
      </c>
      <c r="J671" s="2">
        <v>15.26</v>
      </c>
      <c r="K671">
        <v>5</v>
      </c>
      <c r="L671" s="1">
        <v>16232.67</v>
      </c>
      <c r="M671">
        <f t="shared" si="70"/>
        <v>19</v>
      </c>
      <c r="N671">
        <f t="shared" si="71"/>
        <v>854.35105263157891</v>
      </c>
      <c r="O671">
        <f t="shared" si="72"/>
        <v>7969.6842105263158</v>
      </c>
      <c r="P671">
        <f t="shared" si="73"/>
        <v>20.000000000000004</v>
      </c>
      <c r="Q671" t="str">
        <f t="shared" si="74"/>
        <v>Old (12+ years)</v>
      </c>
      <c r="R671" t="str">
        <f t="shared" si="75"/>
        <v>Average</v>
      </c>
      <c r="S671" t="str">
        <f t="shared" si="76"/>
        <v>Low</v>
      </c>
    </row>
    <row r="672" spans="1:19" x14ac:dyDescent="0.3">
      <c r="A672">
        <v>671</v>
      </c>
      <c r="B672" t="s">
        <v>25</v>
      </c>
      <c r="C672">
        <v>2011</v>
      </c>
      <c r="D672">
        <v>134350</v>
      </c>
      <c r="E672" t="s">
        <v>13</v>
      </c>
      <c r="F672" t="s">
        <v>14</v>
      </c>
      <c r="G672" t="s">
        <v>23</v>
      </c>
      <c r="H672">
        <v>3970</v>
      </c>
      <c r="I672">
        <v>279.10000000000002</v>
      </c>
      <c r="J672" s="2">
        <v>16.77</v>
      </c>
      <c r="K672">
        <v>7</v>
      </c>
      <c r="L672" s="1">
        <v>21290.78</v>
      </c>
      <c r="M672">
        <f t="shared" si="70"/>
        <v>13</v>
      </c>
      <c r="N672">
        <f t="shared" si="71"/>
        <v>1637.7523076923076</v>
      </c>
      <c r="O672">
        <f t="shared" si="72"/>
        <v>10334.615384615385</v>
      </c>
      <c r="P672">
        <f t="shared" si="73"/>
        <v>70.302267002518889</v>
      </c>
      <c r="Q672" t="str">
        <f t="shared" si="74"/>
        <v>Old (12+ years)</v>
      </c>
      <c r="R672" t="str">
        <f t="shared" si="75"/>
        <v>Average</v>
      </c>
      <c r="S672" t="str">
        <f t="shared" si="76"/>
        <v>Very High</v>
      </c>
    </row>
    <row r="673" spans="1:19" x14ac:dyDescent="0.3">
      <c r="A673">
        <v>672</v>
      </c>
      <c r="B673" t="s">
        <v>29</v>
      </c>
      <c r="C673">
        <v>2016</v>
      </c>
      <c r="D673">
        <v>169437</v>
      </c>
      <c r="E673" t="s">
        <v>17</v>
      </c>
      <c r="F673" t="s">
        <v>14</v>
      </c>
      <c r="G673" t="s">
        <v>15</v>
      </c>
      <c r="H673">
        <v>3733</v>
      </c>
      <c r="I673">
        <v>302.7</v>
      </c>
      <c r="J673" s="2">
        <v>6.23</v>
      </c>
      <c r="K673">
        <v>2</v>
      </c>
      <c r="L673" s="1">
        <v>54132.95</v>
      </c>
      <c r="M673">
        <f t="shared" si="70"/>
        <v>8</v>
      </c>
      <c r="N673">
        <f t="shared" si="71"/>
        <v>6766.6187499999996</v>
      </c>
      <c r="O673">
        <f t="shared" si="72"/>
        <v>21179.625</v>
      </c>
      <c r="P673">
        <f t="shared" si="73"/>
        <v>81.087597106884544</v>
      </c>
      <c r="Q673" t="str">
        <f t="shared" si="74"/>
        <v>Mature (8-12 years)</v>
      </c>
      <c r="R673" t="str">
        <f t="shared" si="75"/>
        <v>Low</v>
      </c>
      <c r="S673" t="str">
        <f t="shared" si="76"/>
        <v>Very High</v>
      </c>
    </row>
    <row r="674" spans="1:19" x14ac:dyDescent="0.3">
      <c r="A674">
        <v>673</v>
      </c>
      <c r="B674" t="s">
        <v>21</v>
      </c>
      <c r="C674">
        <v>2021</v>
      </c>
      <c r="D674">
        <v>24446</v>
      </c>
      <c r="E674" t="s">
        <v>13</v>
      </c>
      <c r="F674" t="s">
        <v>14</v>
      </c>
      <c r="G674" t="s">
        <v>23</v>
      </c>
      <c r="H674">
        <v>2015</v>
      </c>
      <c r="I674">
        <v>560</v>
      </c>
      <c r="J674" s="2">
        <v>9.7799999999999994</v>
      </c>
      <c r="K674">
        <v>6</v>
      </c>
      <c r="L674" s="1">
        <v>49436.06</v>
      </c>
      <c r="M674">
        <f t="shared" si="70"/>
        <v>3</v>
      </c>
      <c r="N674">
        <f t="shared" si="71"/>
        <v>16478.686666666665</v>
      </c>
      <c r="O674">
        <f t="shared" si="72"/>
        <v>8148.666666666667</v>
      </c>
      <c r="P674">
        <f t="shared" si="73"/>
        <v>277.91563275434243</v>
      </c>
      <c r="Q674" t="str">
        <f t="shared" si="74"/>
        <v>New (0-3 years)</v>
      </c>
      <c r="R674" t="str">
        <f t="shared" si="75"/>
        <v>Low</v>
      </c>
      <c r="S674" t="str">
        <f t="shared" si="76"/>
        <v>Very High</v>
      </c>
    </row>
    <row r="675" spans="1:19" x14ac:dyDescent="0.3">
      <c r="A675">
        <v>674</v>
      </c>
      <c r="B675" t="s">
        <v>30</v>
      </c>
      <c r="C675">
        <v>2024</v>
      </c>
      <c r="D675">
        <v>7336</v>
      </c>
      <c r="E675" t="s">
        <v>17</v>
      </c>
      <c r="F675" t="s">
        <v>18</v>
      </c>
      <c r="G675" t="s">
        <v>15</v>
      </c>
      <c r="H675">
        <v>1124</v>
      </c>
      <c r="I675">
        <v>399</v>
      </c>
      <c r="J675" s="2">
        <v>24.76</v>
      </c>
      <c r="K675">
        <v>7</v>
      </c>
      <c r="L675" s="1">
        <v>89994.68</v>
      </c>
      <c r="M675">
        <f t="shared" si="70"/>
        <v>0</v>
      </c>
      <c r="N675">
        <f t="shared" si="71"/>
        <v>89994.68</v>
      </c>
      <c r="O675">
        <f t="shared" si="72"/>
        <v>7336</v>
      </c>
      <c r="P675">
        <f t="shared" si="73"/>
        <v>354.98220640569389</v>
      </c>
      <c r="Q675" t="str">
        <f t="shared" si="74"/>
        <v>New (0-3 years)</v>
      </c>
      <c r="R675" t="str">
        <f t="shared" si="75"/>
        <v>Good</v>
      </c>
      <c r="S675" t="str">
        <f t="shared" si="76"/>
        <v>Very High</v>
      </c>
    </row>
    <row r="676" spans="1:19" x14ac:dyDescent="0.3">
      <c r="A676">
        <v>675</v>
      </c>
      <c r="B676" t="s">
        <v>29</v>
      </c>
      <c r="C676">
        <v>2009</v>
      </c>
      <c r="D676">
        <v>67032</v>
      </c>
      <c r="E676" t="s">
        <v>22</v>
      </c>
      <c r="F676" t="s">
        <v>14</v>
      </c>
      <c r="G676" t="s">
        <v>15</v>
      </c>
      <c r="H676">
        <v>2650</v>
      </c>
      <c r="I676">
        <v>214.5</v>
      </c>
      <c r="J676" s="2">
        <v>16.350000000000001</v>
      </c>
      <c r="K676">
        <v>7</v>
      </c>
      <c r="L676" s="1">
        <v>70946.25</v>
      </c>
      <c r="M676">
        <f t="shared" si="70"/>
        <v>15</v>
      </c>
      <c r="N676">
        <f t="shared" si="71"/>
        <v>4729.75</v>
      </c>
      <c r="O676">
        <f t="shared" si="72"/>
        <v>4468.8</v>
      </c>
      <c r="P676">
        <f t="shared" si="73"/>
        <v>80.943396226415103</v>
      </c>
      <c r="Q676" t="str">
        <f t="shared" si="74"/>
        <v>Old (12+ years)</v>
      </c>
      <c r="R676" t="str">
        <f t="shared" si="75"/>
        <v>Average</v>
      </c>
      <c r="S676" t="str">
        <f t="shared" si="76"/>
        <v>Very High</v>
      </c>
    </row>
    <row r="677" spans="1:19" x14ac:dyDescent="0.3">
      <c r="A677">
        <v>676</v>
      </c>
      <c r="B677" t="s">
        <v>25</v>
      </c>
      <c r="C677">
        <v>2008</v>
      </c>
      <c r="D677">
        <v>102852</v>
      </c>
      <c r="E677" t="s">
        <v>17</v>
      </c>
      <c r="F677" t="s">
        <v>14</v>
      </c>
      <c r="G677" t="s">
        <v>20</v>
      </c>
      <c r="H677">
        <v>2290</v>
      </c>
      <c r="I677">
        <v>334.2</v>
      </c>
      <c r="J677" s="2">
        <v>12.54</v>
      </c>
      <c r="K677">
        <v>5</v>
      </c>
      <c r="L677" s="1">
        <v>48411.57</v>
      </c>
      <c r="M677">
        <f t="shared" si="70"/>
        <v>16</v>
      </c>
      <c r="N677">
        <f t="shared" si="71"/>
        <v>3025.723125</v>
      </c>
      <c r="O677">
        <f t="shared" si="72"/>
        <v>6428.25</v>
      </c>
      <c r="P677">
        <f t="shared" si="73"/>
        <v>145.93886462882097</v>
      </c>
      <c r="Q677" t="str">
        <f t="shared" si="74"/>
        <v>Old (12+ years)</v>
      </c>
      <c r="R677" t="str">
        <f t="shared" si="75"/>
        <v>Low</v>
      </c>
      <c r="S677" t="str">
        <f t="shared" si="76"/>
        <v>Very High</v>
      </c>
    </row>
    <row r="678" spans="1:19" x14ac:dyDescent="0.3">
      <c r="A678">
        <v>677</v>
      </c>
      <c r="B678" t="s">
        <v>16</v>
      </c>
      <c r="C678">
        <v>2016</v>
      </c>
      <c r="D678">
        <v>143593</v>
      </c>
      <c r="E678" t="s">
        <v>26</v>
      </c>
      <c r="F678" t="s">
        <v>18</v>
      </c>
      <c r="G678" t="s">
        <v>23</v>
      </c>
      <c r="H678">
        <v>1693</v>
      </c>
      <c r="I678">
        <v>77</v>
      </c>
      <c r="J678" s="2">
        <v>14.6</v>
      </c>
      <c r="K678">
        <v>7</v>
      </c>
      <c r="L678" s="1">
        <v>22978.95</v>
      </c>
      <c r="M678">
        <f t="shared" si="70"/>
        <v>8</v>
      </c>
      <c r="N678">
        <f t="shared" si="71"/>
        <v>2872.3687500000001</v>
      </c>
      <c r="O678">
        <f t="shared" si="72"/>
        <v>17949.125</v>
      </c>
      <c r="P678">
        <f t="shared" si="73"/>
        <v>45.481393975191963</v>
      </c>
      <c r="Q678" t="str">
        <f t="shared" si="74"/>
        <v>Mature (8-12 years)</v>
      </c>
      <c r="R678" t="str">
        <f t="shared" si="75"/>
        <v>Low</v>
      </c>
      <c r="S678" t="str">
        <f t="shared" si="76"/>
        <v>Low</v>
      </c>
    </row>
    <row r="679" spans="1:19" x14ac:dyDescent="0.3">
      <c r="A679">
        <v>678</v>
      </c>
      <c r="B679" t="s">
        <v>29</v>
      </c>
      <c r="C679">
        <v>2024</v>
      </c>
      <c r="D679">
        <v>159553</v>
      </c>
      <c r="E679" t="s">
        <v>13</v>
      </c>
      <c r="F679" t="s">
        <v>18</v>
      </c>
      <c r="G679" t="s">
        <v>20</v>
      </c>
      <c r="H679">
        <v>2190</v>
      </c>
      <c r="I679">
        <v>584.6</v>
      </c>
      <c r="J679" s="2">
        <v>26.36</v>
      </c>
      <c r="K679">
        <v>4</v>
      </c>
      <c r="L679" s="1">
        <v>29539.94</v>
      </c>
      <c r="M679">
        <f t="shared" si="70"/>
        <v>0</v>
      </c>
      <c r="N679">
        <f t="shared" si="71"/>
        <v>29539.94</v>
      </c>
      <c r="O679">
        <f t="shared" si="72"/>
        <v>159553</v>
      </c>
      <c r="P679">
        <f t="shared" si="73"/>
        <v>266.9406392694064</v>
      </c>
      <c r="Q679" t="str">
        <f t="shared" si="74"/>
        <v>New (0-3 years)</v>
      </c>
      <c r="R679" t="str">
        <f t="shared" si="75"/>
        <v>Excellent</v>
      </c>
      <c r="S679" t="str">
        <f t="shared" si="76"/>
        <v>Very High</v>
      </c>
    </row>
    <row r="680" spans="1:19" x14ac:dyDescent="0.3">
      <c r="A680">
        <v>679</v>
      </c>
      <c r="B680" t="s">
        <v>29</v>
      </c>
      <c r="C680">
        <v>2022</v>
      </c>
      <c r="D680">
        <v>23474</v>
      </c>
      <c r="E680" t="s">
        <v>13</v>
      </c>
      <c r="F680" t="s">
        <v>14</v>
      </c>
      <c r="G680" t="s">
        <v>23</v>
      </c>
      <c r="H680">
        <v>4189</v>
      </c>
      <c r="I680">
        <v>241.6</v>
      </c>
      <c r="J680" s="2">
        <v>23.72</v>
      </c>
      <c r="K680">
        <v>2</v>
      </c>
      <c r="L680" s="1">
        <v>70333.62</v>
      </c>
      <c r="M680">
        <f t="shared" si="70"/>
        <v>2</v>
      </c>
      <c r="N680">
        <f t="shared" si="71"/>
        <v>35166.81</v>
      </c>
      <c r="O680">
        <f t="shared" si="72"/>
        <v>11737</v>
      </c>
      <c r="P680">
        <f t="shared" si="73"/>
        <v>57.674862735736447</v>
      </c>
      <c r="Q680" t="str">
        <f t="shared" si="74"/>
        <v>New (0-3 years)</v>
      </c>
      <c r="R680" t="str">
        <f t="shared" si="75"/>
        <v>Good</v>
      </c>
      <c r="S680" t="str">
        <f t="shared" si="76"/>
        <v>Very High</v>
      </c>
    </row>
    <row r="681" spans="1:19" x14ac:dyDescent="0.3">
      <c r="A681">
        <v>680</v>
      </c>
      <c r="B681" t="s">
        <v>19</v>
      </c>
      <c r="C681">
        <v>2021</v>
      </c>
      <c r="D681">
        <v>182832</v>
      </c>
      <c r="E681" t="s">
        <v>26</v>
      </c>
      <c r="F681" t="s">
        <v>14</v>
      </c>
      <c r="G681" t="s">
        <v>20</v>
      </c>
      <c r="H681">
        <v>3063</v>
      </c>
      <c r="I681">
        <v>307.60000000000002</v>
      </c>
      <c r="J681" s="2">
        <v>11.81</v>
      </c>
      <c r="K681">
        <v>4</v>
      </c>
      <c r="L681" s="1">
        <v>52542.34</v>
      </c>
      <c r="M681">
        <f t="shared" si="70"/>
        <v>3</v>
      </c>
      <c r="N681">
        <f t="shared" si="71"/>
        <v>17514.113333333331</v>
      </c>
      <c r="O681">
        <f t="shared" si="72"/>
        <v>60944</v>
      </c>
      <c r="P681">
        <f t="shared" si="73"/>
        <v>100.42442050277506</v>
      </c>
      <c r="Q681" t="str">
        <f t="shared" si="74"/>
        <v>New (0-3 years)</v>
      </c>
      <c r="R681" t="str">
        <f t="shared" si="75"/>
        <v>Low</v>
      </c>
      <c r="S681" t="str">
        <f t="shared" si="76"/>
        <v>Very High</v>
      </c>
    </row>
    <row r="682" spans="1:19" x14ac:dyDescent="0.3">
      <c r="A682">
        <v>681</v>
      </c>
      <c r="B682" t="s">
        <v>28</v>
      </c>
      <c r="C682">
        <v>2023</v>
      </c>
      <c r="D682">
        <v>60718</v>
      </c>
      <c r="E682" t="s">
        <v>17</v>
      </c>
      <c r="F682" t="s">
        <v>18</v>
      </c>
      <c r="G682" t="s">
        <v>23</v>
      </c>
      <c r="H682">
        <v>4232</v>
      </c>
      <c r="I682">
        <v>239</v>
      </c>
      <c r="J682" s="2">
        <v>7.94</v>
      </c>
      <c r="K682">
        <v>5</v>
      </c>
      <c r="L682" s="1">
        <v>63246.52</v>
      </c>
      <c r="M682">
        <f t="shared" si="70"/>
        <v>1</v>
      </c>
      <c r="N682">
        <f t="shared" si="71"/>
        <v>63246.52</v>
      </c>
      <c r="O682">
        <f t="shared" si="72"/>
        <v>60718</v>
      </c>
      <c r="P682">
        <f t="shared" si="73"/>
        <v>56.474480151228732</v>
      </c>
      <c r="Q682" t="str">
        <f t="shared" si="74"/>
        <v>New (0-3 years)</v>
      </c>
      <c r="R682" t="str">
        <f t="shared" si="75"/>
        <v>Low</v>
      </c>
      <c r="S682" t="str">
        <f t="shared" si="76"/>
        <v>Very High</v>
      </c>
    </row>
    <row r="683" spans="1:19" x14ac:dyDescent="0.3">
      <c r="A683">
        <v>682</v>
      </c>
      <c r="B683" t="s">
        <v>19</v>
      </c>
      <c r="C683">
        <v>2013</v>
      </c>
      <c r="D683">
        <v>49629</v>
      </c>
      <c r="E683" t="s">
        <v>22</v>
      </c>
      <c r="F683" t="s">
        <v>18</v>
      </c>
      <c r="G683" t="s">
        <v>20</v>
      </c>
      <c r="H683">
        <v>3171</v>
      </c>
      <c r="I683">
        <v>422.2</v>
      </c>
      <c r="J683" s="2">
        <v>11.3</v>
      </c>
      <c r="K683">
        <v>5</v>
      </c>
      <c r="L683" s="1">
        <v>22969.26</v>
      </c>
      <c r="M683">
        <f t="shared" si="70"/>
        <v>11</v>
      </c>
      <c r="N683">
        <f t="shared" si="71"/>
        <v>2088.1145454545454</v>
      </c>
      <c r="O683">
        <f t="shared" si="72"/>
        <v>4511.727272727273</v>
      </c>
      <c r="P683">
        <f t="shared" si="73"/>
        <v>133.14411857458217</v>
      </c>
      <c r="Q683" t="str">
        <f t="shared" si="74"/>
        <v>Mature (8-12 years)</v>
      </c>
      <c r="R683" t="str">
        <f t="shared" si="75"/>
        <v>Low</v>
      </c>
      <c r="S683" t="str">
        <f t="shared" si="76"/>
        <v>Very High</v>
      </c>
    </row>
    <row r="684" spans="1:19" x14ac:dyDescent="0.3">
      <c r="A684">
        <v>683</v>
      </c>
      <c r="B684" t="s">
        <v>12</v>
      </c>
      <c r="C684">
        <v>2008</v>
      </c>
      <c r="D684">
        <v>50232</v>
      </c>
      <c r="E684" t="s">
        <v>26</v>
      </c>
      <c r="F684" t="s">
        <v>18</v>
      </c>
      <c r="G684" t="s">
        <v>15</v>
      </c>
      <c r="H684">
        <v>3886</v>
      </c>
      <c r="I684">
        <v>410.9</v>
      </c>
      <c r="J684" s="2">
        <v>28.02</v>
      </c>
      <c r="K684">
        <v>2</v>
      </c>
      <c r="L684" s="1">
        <v>80560.03</v>
      </c>
      <c r="M684">
        <f t="shared" si="70"/>
        <v>16</v>
      </c>
      <c r="N684">
        <f t="shared" si="71"/>
        <v>5035.0018749999999</v>
      </c>
      <c r="O684">
        <f t="shared" si="72"/>
        <v>3139.5</v>
      </c>
      <c r="P684">
        <f t="shared" si="73"/>
        <v>105.73854863612969</v>
      </c>
      <c r="Q684" t="str">
        <f t="shared" si="74"/>
        <v>Old (12+ years)</v>
      </c>
      <c r="R684" t="str">
        <f t="shared" si="75"/>
        <v>Excellent</v>
      </c>
      <c r="S684" t="str">
        <f t="shared" si="76"/>
        <v>Very High</v>
      </c>
    </row>
    <row r="685" spans="1:19" x14ac:dyDescent="0.3">
      <c r="A685">
        <v>684</v>
      </c>
      <c r="B685" t="s">
        <v>24</v>
      </c>
      <c r="C685">
        <v>2006</v>
      </c>
      <c r="D685">
        <v>91544</v>
      </c>
      <c r="E685" t="s">
        <v>26</v>
      </c>
      <c r="F685" t="s">
        <v>18</v>
      </c>
      <c r="G685" t="s">
        <v>23</v>
      </c>
      <c r="H685">
        <v>2315</v>
      </c>
      <c r="I685">
        <v>440.6</v>
      </c>
      <c r="J685" s="2">
        <v>19.54</v>
      </c>
      <c r="K685">
        <v>7</v>
      </c>
      <c r="L685" s="1">
        <v>102747.03</v>
      </c>
      <c r="M685">
        <f t="shared" si="70"/>
        <v>18</v>
      </c>
      <c r="N685">
        <f t="shared" si="71"/>
        <v>5708.1683333333331</v>
      </c>
      <c r="O685">
        <f t="shared" si="72"/>
        <v>5085.7777777777774</v>
      </c>
      <c r="P685">
        <f t="shared" si="73"/>
        <v>190.32397408207345</v>
      </c>
      <c r="Q685" t="str">
        <f t="shared" si="74"/>
        <v>Old (12+ years)</v>
      </c>
      <c r="R685" t="str">
        <f t="shared" si="75"/>
        <v>Average</v>
      </c>
      <c r="S685" t="str">
        <f t="shared" si="76"/>
        <v>Very High</v>
      </c>
    </row>
    <row r="686" spans="1:19" x14ac:dyDescent="0.3">
      <c r="A686">
        <v>685</v>
      </c>
      <c r="B686" t="s">
        <v>24</v>
      </c>
      <c r="C686">
        <v>2008</v>
      </c>
      <c r="D686">
        <v>55669</v>
      </c>
      <c r="E686" t="s">
        <v>17</v>
      </c>
      <c r="F686" t="s">
        <v>18</v>
      </c>
      <c r="G686" t="s">
        <v>23</v>
      </c>
      <c r="H686">
        <v>3717</v>
      </c>
      <c r="I686">
        <v>190.2</v>
      </c>
      <c r="J686" s="2">
        <v>18.34</v>
      </c>
      <c r="K686">
        <v>6</v>
      </c>
      <c r="L686" s="1">
        <v>33178.92</v>
      </c>
      <c r="M686">
        <f t="shared" si="70"/>
        <v>16</v>
      </c>
      <c r="N686">
        <f t="shared" si="71"/>
        <v>2073.6824999999999</v>
      </c>
      <c r="O686">
        <f t="shared" si="72"/>
        <v>3479.3125</v>
      </c>
      <c r="P686">
        <f t="shared" si="73"/>
        <v>51.170298627925746</v>
      </c>
      <c r="Q686" t="str">
        <f t="shared" si="74"/>
        <v>Old (12+ years)</v>
      </c>
      <c r="R686" t="str">
        <f t="shared" si="75"/>
        <v>Average</v>
      </c>
      <c r="S686" t="str">
        <f t="shared" si="76"/>
        <v>High</v>
      </c>
    </row>
    <row r="687" spans="1:19" x14ac:dyDescent="0.3">
      <c r="A687">
        <v>686</v>
      </c>
      <c r="B687" t="s">
        <v>28</v>
      </c>
      <c r="C687">
        <v>2006</v>
      </c>
      <c r="D687">
        <v>74184</v>
      </c>
      <c r="E687" t="s">
        <v>13</v>
      </c>
      <c r="F687" t="s">
        <v>18</v>
      </c>
      <c r="G687" t="s">
        <v>15</v>
      </c>
      <c r="H687">
        <v>3152</v>
      </c>
      <c r="I687">
        <v>216.8</v>
      </c>
      <c r="J687" s="2">
        <v>19.91</v>
      </c>
      <c r="K687">
        <v>5</v>
      </c>
      <c r="L687" s="1">
        <v>60507.16</v>
      </c>
      <c r="M687">
        <f t="shared" si="70"/>
        <v>18</v>
      </c>
      <c r="N687">
        <f t="shared" si="71"/>
        <v>3361.508888888889</v>
      </c>
      <c r="O687">
        <f t="shared" si="72"/>
        <v>4121.333333333333</v>
      </c>
      <c r="P687">
        <f t="shared" si="73"/>
        <v>68.781725888324871</v>
      </c>
      <c r="Q687" t="str">
        <f t="shared" si="74"/>
        <v>Old (12+ years)</v>
      </c>
      <c r="R687" t="str">
        <f t="shared" si="75"/>
        <v>Average</v>
      </c>
      <c r="S687" t="str">
        <f t="shared" si="76"/>
        <v>Very High</v>
      </c>
    </row>
    <row r="688" spans="1:19" x14ac:dyDescent="0.3">
      <c r="A688">
        <v>687</v>
      </c>
      <c r="B688" t="s">
        <v>27</v>
      </c>
      <c r="C688">
        <v>2019</v>
      </c>
      <c r="D688">
        <v>184017</v>
      </c>
      <c r="E688" t="s">
        <v>17</v>
      </c>
      <c r="F688" t="s">
        <v>18</v>
      </c>
      <c r="G688" t="s">
        <v>20</v>
      </c>
      <c r="H688">
        <v>1967</v>
      </c>
      <c r="I688">
        <v>110.1</v>
      </c>
      <c r="J688" s="2">
        <v>14.15</v>
      </c>
      <c r="K688">
        <v>2</v>
      </c>
      <c r="L688" s="1">
        <v>117136.7</v>
      </c>
      <c r="M688">
        <f t="shared" si="70"/>
        <v>5</v>
      </c>
      <c r="N688">
        <f t="shared" si="71"/>
        <v>23427.34</v>
      </c>
      <c r="O688">
        <f t="shared" si="72"/>
        <v>36803.4</v>
      </c>
      <c r="P688">
        <f t="shared" si="73"/>
        <v>55.973563802745289</v>
      </c>
      <c r="Q688" t="str">
        <f t="shared" si="74"/>
        <v>Recent (4-7 years)</v>
      </c>
      <c r="R688" t="str">
        <f t="shared" si="75"/>
        <v>Low</v>
      </c>
      <c r="S688" t="str">
        <f t="shared" si="76"/>
        <v>Medium</v>
      </c>
    </row>
    <row r="689" spans="1:19" x14ac:dyDescent="0.3">
      <c r="A689">
        <v>688</v>
      </c>
      <c r="B689" t="s">
        <v>27</v>
      </c>
      <c r="C689">
        <v>2006</v>
      </c>
      <c r="D689">
        <v>18140</v>
      </c>
      <c r="E689" t="s">
        <v>26</v>
      </c>
      <c r="F689" t="s">
        <v>14</v>
      </c>
      <c r="G689" t="s">
        <v>23</v>
      </c>
      <c r="H689">
        <v>910</v>
      </c>
      <c r="I689">
        <v>407.1</v>
      </c>
      <c r="J689" s="2">
        <v>25.18</v>
      </c>
      <c r="K689">
        <v>6</v>
      </c>
      <c r="L689" s="1">
        <v>41989.279999999999</v>
      </c>
      <c r="M689">
        <f t="shared" si="70"/>
        <v>18</v>
      </c>
      <c r="N689">
        <f t="shared" si="71"/>
        <v>2332.7377777777779</v>
      </c>
      <c r="O689">
        <f t="shared" si="72"/>
        <v>1007.7777777777778</v>
      </c>
      <c r="P689">
        <f t="shared" si="73"/>
        <v>447.36263736263737</v>
      </c>
      <c r="Q689" t="str">
        <f t="shared" si="74"/>
        <v>Old (12+ years)</v>
      </c>
      <c r="R689" t="str">
        <f t="shared" si="75"/>
        <v>Excellent</v>
      </c>
      <c r="S689" t="str">
        <f t="shared" si="76"/>
        <v>Very High</v>
      </c>
    </row>
    <row r="690" spans="1:19" x14ac:dyDescent="0.3">
      <c r="A690">
        <v>689</v>
      </c>
      <c r="B690" t="s">
        <v>25</v>
      </c>
      <c r="C690">
        <v>2008</v>
      </c>
      <c r="D690">
        <v>131468</v>
      </c>
      <c r="E690" t="s">
        <v>26</v>
      </c>
      <c r="F690" t="s">
        <v>18</v>
      </c>
      <c r="G690" t="s">
        <v>23</v>
      </c>
      <c r="H690">
        <v>4455</v>
      </c>
      <c r="I690">
        <v>62.3</v>
      </c>
      <c r="J690" s="2">
        <v>18.079999999999998</v>
      </c>
      <c r="K690">
        <v>7</v>
      </c>
      <c r="L690" s="1">
        <v>72620.42</v>
      </c>
      <c r="M690">
        <f t="shared" si="70"/>
        <v>16</v>
      </c>
      <c r="N690">
        <f t="shared" si="71"/>
        <v>4538.7762499999999</v>
      </c>
      <c r="O690">
        <f t="shared" si="72"/>
        <v>8216.75</v>
      </c>
      <c r="P690">
        <f t="shared" si="73"/>
        <v>13.98428731762065</v>
      </c>
      <c r="Q690" t="str">
        <f t="shared" si="74"/>
        <v>Old (12+ years)</v>
      </c>
      <c r="R690" t="str">
        <f t="shared" si="75"/>
        <v>Average</v>
      </c>
      <c r="S690" t="str">
        <f t="shared" si="76"/>
        <v>Low</v>
      </c>
    </row>
    <row r="691" spans="1:19" x14ac:dyDescent="0.3">
      <c r="A691">
        <v>690</v>
      </c>
      <c r="B691" t="s">
        <v>28</v>
      </c>
      <c r="C691">
        <v>2010</v>
      </c>
      <c r="D691">
        <v>88457</v>
      </c>
      <c r="E691" t="s">
        <v>13</v>
      </c>
      <c r="F691" t="s">
        <v>18</v>
      </c>
      <c r="G691" t="s">
        <v>20</v>
      </c>
      <c r="H691">
        <v>4593</v>
      </c>
      <c r="I691">
        <v>374.7</v>
      </c>
      <c r="J691" s="2">
        <v>7.92</v>
      </c>
      <c r="K691">
        <v>5</v>
      </c>
      <c r="L691" s="1">
        <v>13552.9</v>
      </c>
      <c r="M691">
        <f t="shared" si="70"/>
        <v>14</v>
      </c>
      <c r="N691">
        <f t="shared" si="71"/>
        <v>968.06428571428569</v>
      </c>
      <c r="O691">
        <f t="shared" si="72"/>
        <v>6318.3571428571431</v>
      </c>
      <c r="P691">
        <f t="shared" si="73"/>
        <v>81.580666231221429</v>
      </c>
      <c r="Q691" t="str">
        <f t="shared" si="74"/>
        <v>Old (12+ years)</v>
      </c>
      <c r="R691" t="str">
        <f t="shared" si="75"/>
        <v>Low</v>
      </c>
      <c r="S691" t="str">
        <f t="shared" si="76"/>
        <v>Very High</v>
      </c>
    </row>
    <row r="692" spans="1:19" x14ac:dyDescent="0.3">
      <c r="A692">
        <v>691</v>
      </c>
      <c r="B692" t="s">
        <v>29</v>
      </c>
      <c r="C692">
        <v>2011</v>
      </c>
      <c r="D692">
        <v>19357</v>
      </c>
      <c r="E692" t="s">
        <v>13</v>
      </c>
      <c r="F692" t="s">
        <v>14</v>
      </c>
      <c r="G692" t="s">
        <v>15</v>
      </c>
      <c r="H692">
        <v>2555</v>
      </c>
      <c r="I692">
        <v>527</v>
      </c>
      <c r="J692" s="2">
        <v>8.23</v>
      </c>
      <c r="K692">
        <v>2</v>
      </c>
      <c r="L692" s="1">
        <v>73903.759999999995</v>
      </c>
      <c r="M692">
        <f t="shared" si="70"/>
        <v>13</v>
      </c>
      <c r="N692">
        <f t="shared" si="71"/>
        <v>5684.9046153846148</v>
      </c>
      <c r="O692">
        <f t="shared" si="72"/>
        <v>1489</v>
      </c>
      <c r="P692">
        <f t="shared" si="73"/>
        <v>206.26223091976516</v>
      </c>
      <c r="Q692" t="str">
        <f t="shared" si="74"/>
        <v>Old (12+ years)</v>
      </c>
      <c r="R692" t="str">
        <f t="shared" si="75"/>
        <v>Low</v>
      </c>
      <c r="S692" t="str">
        <f t="shared" si="76"/>
        <v>Very High</v>
      </c>
    </row>
    <row r="693" spans="1:19" x14ac:dyDescent="0.3">
      <c r="A693">
        <v>692</v>
      </c>
      <c r="B693" t="s">
        <v>27</v>
      </c>
      <c r="C693">
        <v>2014</v>
      </c>
      <c r="D693">
        <v>116672</v>
      </c>
      <c r="E693" t="s">
        <v>13</v>
      </c>
      <c r="F693" t="s">
        <v>18</v>
      </c>
      <c r="G693" t="s">
        <v>20</v>
      </c>
      <c r="H693">
        <v>2377</v>
      </c>
      <c r="I693">
        <v>538.9</v>
      </c>
      <c r="J693" s="2">
        <v>18.420000000000002</v>
      </c>
      <c r="K693">
        <v>2</v>
      </c>
      <c r="L693" s="1">
        <v>13486.92</v>
      </c>
      <c r="M693">
        <f t="shared" si="70"/>
        <v>10</v>
      </c>
      <c r="N693">
        <f t="shared" si="71"/>
        <v>1348.692</v>
      </c>
      <c r="O693">
        <f t="shared" si="72"/>
        <v>11667.2</v>
      </c>
      <c r="P693">
        <f t="shared" si="73"/>
        <v>226.71434581405134</v>
      </c>
      <c r="Q693" t="str">
        <f t="shared" si="74"/>
        <v>Mature (8-12 years)</v>
      </c>
      <c r="R693" t="str">
        <f t="shared" si="75"/>
        <v>Average</v>
      </c>
      <c r="S693" t="str">
        <f t="shared" si="76"/>
        <v>Very High</v>
      </c>
    </row>
    <row r="694" spans="1:19" x14ac:dyDescent="0.3">
      <c r="A694">
        <v>693</v>
      </c>
      <c r="B694" t="s">
        <v>21</v>
      </c>
      <c r="C694">
        <v>2023</v>
      </c>
      <c r="D694">
        <v>73673</v>
      </c>
      <c r="E694" t="s">
        <v>17</v>
      </c>
      <c r="F694" t="s">
        <v>18</v>
      </c>
      <c r="G694" t="s">
        <v>20</v>
      </c>
      <c r="H694">
        <v>2096</v>
      </c>
      <c r="I694">
        <v>291.5</v>
      </c>
      <c r="J694" s="2">
        <v>28.41</v>
      </c>
      <c r="K694">
        <v>2</v>
      </c>
      <c r="L694" s="1">
        <v>115230.55</v>
      </c>
      <c r="M694">
        <f t="shared" si="70"/>
        <v>1</v>
      </c>
      <c r="N694">
        <f t="shared" si="71"/>
        <v>115230.55</v>
      </c>
      <c r="O694">
        <f t="shared" si="72"/>
        <v>73673</v>
      </c>
      <c r="P694">
        <f t="shared" si="73"/>
        <v>139.07442748091603</v>
      </c>
      <c r="Q694" t="str">
        <f t="shared" si="74"/>
        <v>New (0-3 years)</v>
      </c>
      <c r="R694" t="str">
        <f t="shared" si="75"/>
        <v>Excellent</v>
      </c>
      <c r="S694" t="str">
        <f t="shared" si="76"/>
        <v>Very High</v>
      </c>
    </row>
    <row r="695" spans="1:19" x14ac:dyDescent="0.3">
      <c r="A695">
        <v>694</v>
      </c>
      <c r="B695" t="s">
        <v>30</v>
      </c>
      <c r="C695">
        <v>2023</v>
      </c>
      <c r="D695">
        <v>126673</v>
      </c>
      <c r="E695" t="s">
        <v>13</v>
      </c>
      <c r="F695" t="s">
        <v>14</v>
      </c>
      <c r="G695" t="s">
        <v>20</v>
      </c>
      <c r="H695">
        <v>4574</v>
      </c>
      <c r="I695">
        <v>297.2</v>
      </c>
      <c r="J695" s="2">
        <v>12.71</v>
      </c>
      <c r="K695">
        <v>5</v>
      </c>
      <c r="L695" s="1">
        <v>86732.53</v>
      </c>
      <c r="M695">
        <f t="shared" si="70"/>
        <v>1</v>
      </c>
      <c r="N695">
        <f t="shared" si="71"/>
        <v>86732.53</v>
      </c>
      <c r="O695">
        <f t="shared" si="72"/>
        <v>126673</v>
      </c>
      <c r="P695">
        <f t="shared" si="73"/>
        <v>64.975951027546998</v>
      </c>
      <c r="Q695" t="str">
        <f t="shared" si="74"/>
        <v>New (0-3 years)</v>
      </c>
      <c r="R695" t="str">
        <f t="shared" si="75"/>
        <v>Low</v>
      </c>
      <c r="S695" t="str">
        <f t="shared" si="76"/>
        <v>Very High</v>
      </c>
    </row>
    <row r="696" spans="1:19" x14ac:dyDescent="0.3">
      <c r="A696">
        <v>695</v>
      </c>
      <c r="B696" t="s">
        <v>29</v>
      </c>
      <c r="C696">
        <v>2016</v>
      </c>
      <c r="D696">
        <v>70633</v>
      </c>
      <c r="E696" t="s">
        <v>26</v>
      </c>
      <c r="F696" t="s">
        <v>18</v>
      </c>
      <c r="G696" t="s">
        <v>23</v>
      </c>
      <c r="H696">
        <v>3020</v>
      </c>
      <c r="I696">
        <v>83.1</v>
      </c>
      <c r="J696" s="2">
        <v>26.74</v>
      </c>
      <c r="K696">
        <v>6</v>
      </c>
      <c r="L696" s="1">
        <v>95214.7</v>
      </c>
      <c r="M696">
        <f t="shared" si="70"/>
        <v>8</v>
      </c>
      <c r="N696">
        <f t="shared" si="71"/>
        <v>11901.8375</v>
      </c>
      <c r="O696">
        <f t="shared" si="72"/>
        <v>8829.125</v>
      </c>
      <c r="P696">
        <f t="shared" si="73"/>
        <v>27.516556291390728</v>
      </c>
      <c r="Q696" t="str">
        <f t="shared" si="74"/>
        <v>Mature (8-12 years)</v>
      </c>
      <c r="R696" t="str">
        <f t="shared" si="75"/>
        <v>Excellent</v>
      </c>
      <c r="S696" t="str">
        <f t="shared" si="76"/>
        <v>Low</v>
      </c>
    </row>
    <row r="697" spans="1:19" x14ac:dyDescent="0.3">
      <c r="A697">
        <v>696</v>
      </c>
      <c r="B697" t="s">
        <v>12</v>
      </c>
      <c r="C697">
        <v>2007</v>
      </c>
      <c r="D697">
        <v>101111</v>
      </c>
      <c r="E697" t="s">
        <v>26</v>
      </c>
      <c r="F697" t="s">
        <v>14</v>
      </c>
      <c r="G697" t="s">
        <v>15</v>
      </c>
      <c r="H697">
        <v>1772</v>
      </c>
      <c r="I697">
        <v>415.6</v>
      </c>
      <c r="J697" s="2">
        <v>24.1</v>
      </c>
      <c r="K697">
        <v>2</v>
      </c>
      <c r="L697" s="1">
        <v>85380.21</v>
      </c>
      <c r="M697">
        <f t="shared" si="70"/>
        <v>17</v>
      </c>
      <c r="N697">
        <f t="shared" si="71"/>
        <v>5022.3652941176479</v>
      </c>
      <c r="O697">
        <f t="shared" si="72"/>
        <v>5947.7058823529414</v>
      </c>
      <c r="P697">
        <f t="shared" si="73"/>
        <v>234.53724604966141</v>
      </c>
      <c r="Q697" t="str">
        <f t="shared" si="74"/>
        <v>Old (12+ years)</v>
      </c>
      <c r="R697" t="str">
        <f t="shared" si="75"/>
        <v>Good</v>
      </c>
      <c r="S697" t="str">
        <f t="shared" si="76"/>
        <v>Very High</v>
      </c>
    </row>
    <row r="698" spans="1:19" x14ac:dyDescent="0.3">
      <c r="A698">
        <v>697</v>
      </c>
      <c r="B698" t="s">
        <v>21</v>
      </c>
      <c r="C698">
        <v>2017</v>
      </c>
      <c r="D698">
        <v>83258</v>
      </c>
      <c r="E698" t="s">
        <v>22</v>
      </c>
      <c r="F698" t="s">
        <v>14</v>
      </c>
      <c r="G698" t="s">
        <v>15</v>
      </c>
      <c r="H698">
        <v>1830</v>
      </c>
      <c r="I698">
        <v>499.9</v>
      </c>
      <c r="J698" s="2">
        <v>11.2</v>
      </c>
      <c r="K698">
        <v>7</v>
      </c>
      <c r="L698" s="1">
        <v>71998.3</v>
      </c>
      <c r="M698">
        <f t="shared" si="70"/>
        <v>7</v>
      </c>
      <c r="N698">
        <f t="shared" si="71"/>
        <v>10285.471428571429</v>
      </c>
      <c r="O698">
        <f t="shared" si="72"/>
        <v>11894</v>
      </c>
      <c r="P698">
        <f t="shared" si="73"/>
        <v>273.16939890710381</v>
      </c>
      <c r="Q698" t="str">
        <f t="shared" si="74"/>
        <v>Recent (4-7 years)</v>
      </c>
      <c r="R698" t="str">
        <f t="shared" si="75"/>
        <v>Low</v>
      </c>
      <c r="S698" t="str">
        <f t="shared" si="76"/>
        <v>Very High</v>
      </c>
    </row>
    <row r="699" spans="1:19" x14ac:dyDescent="0.3">
      <c r="A699">
        <v>698</v>
      </c>
      <c r="B699" t="s">
        <v>21</v>
      </c>
      <c r="C699">
        <v>2022</v>
      </c>
      <c r="D699">
        <v>148996</v>
      </c>
      <c r="E699" t="s">
        <v>17</v>
      </c>
      <c r="F699" t="s">
        <v>14</v>
      </c>
      <c r="G699" t="s">
        <v>20</v>
      </c>
      <c r="H699">
        <v>3393</v>
      </c>
      <c r="I699">
        <v>177</v>
      </c>
      <c r="J699" s="2">
        <v>5.91</v>
      </c>
      <c r="K699">
        <v>2</v>
      </c>
      <c r="L699" s="1">
        <v>55639.8</v>
      </c>
      <c r="M699">
        <f t="shared" si="70"/>
        <v>2</v>
      </c>
      <c r="N699">
        <f t="shared" si="71"/>
        <v>27819.9</v>
      </c>
      <c r="O699">
        <f t="shared" si="72"/>
        <v>74498</v>
      </c>
      <c r="P699">
        <f t="shared" si="73"/>
        <v>52.166224580017683</v>
      </c>
      <c r="Q699" t="str">
        <f t="shared" si="74"/>
        <v>New (0-3 years)</v>
      </c>
      <c r="R699" t="str">
        <f t="shared" si="75"/>
        <v>Low</v>
      </c>
      <c r="S699" t="str">
        <f t="shared" si="76"/>
        <v>High</v>
      </c>
    </row>
    <row r="700" spans="1:19" x14ac:dyDescent="0.3">
      <c r="A700">
        <v>699</v>
      </c>
      <c r="B700" t="s">
        <v>28</v>
      </c>
      <c r="C700">
        <v>2012</v>
      </c>
      <c r="D700">
        <v>74286</v>
      </c>
      <c r="E700" t="s">
        <v>22</v>
      </c>
      <c r="F700" t="s">
        <v>14</v>
      </c>
      <c r="G700" t="s">
        <v>23</v>
      </c>
      <c r="H700">
        <v>4792</v>
      </c>
      <c r="I700">
        <v>275.89999999999998</v>
      </c>
      <c r="J700" s="2">
        <v>7.55</v>
      </c>
      <c r="K700">
        <v>6</v>
      </c>
      <c r="L700" s="1">
        <v>103429.69</v>
      </c>
      <c r="M700">
        <f t="shared" si="70"/>
        <v>12</v>
      </c>
      <c r="N700">
        <f t="shared" si="71"/>
        <v>8619.1408333333329</v>
      </c>
      <c r="O700">
        <f t="shared" si="72"/>
        <v>6190.5</v>
      </c>
      <c r="P700">
        <f t="shared" si="73"/>
        <v>57.575125208681129</v>
      </c>
      <c r="Q700" t="str">
        <f t="shared" si="74"/>
        <v>Mature (8-12 years)</v>
      </c>
      <c r="R700" t="str">
        <f t="shared" si="75"/>
        <v>Low</v>
      </c>
      <c r="S700" t="str">
        <f t="shared" si="76"/>
        <v>Very High</v>
      </c>
    </row>
    <row r="701" spans="1:19" x14ac:dyDescent="0.3">
      <c r="A701">
        <v>700</v>
      </c>
      <c r="B701" t="s">
        <v>25</v>
      </c>
      <c r="C701">
        <v>2019</v>
      </c>
      <c r="D701">
        <v>98269</v>
      </c>
      <c r="E701" t="s">
        <v>26</v>
      </c>
      <c r="F701" t="s">
        <v>18</v>
      </c>
      <c r="G701" t="s">
        <v>20</v>
      </c>
      <c r="H701">
        <v>1713</v>
      </c>
      <c r="I701">
        <v>509.8</v>
      </c>
      <c r="J701" s="2">
        <v>23.21</v>
      </c>
      <c r="K701">
        <v>5</v>
      </c>
      <c r="L701" s="1">
        <v>114949.77</v>
      </c>
      <c r="M701">
        <f t="shared" si="70"/>
        <v>5</v>
      </c>
      <c r="N701">
        <f t="shared" si="71"/>
        <v>22989.954000000002</v>
      </c>
      <c r="O701">
        <f t="shared" si="72"/>
        <v>19653.8</v>
      </c>
      <c r="P701">
        <f t="shared" si="73"/>
        <v>297.60653823701108</v>
      </c>
      <c r="Q701" t="str">
        <f t="shared" si="74"/>
        <v>Recent (4-7 years)</v>
      </c>
      <c r="R701" t="str">
        <f t="shared" si="75"/>
        <v>Good</v>
      </c>
      <c r="S701" t="str">
        <f t="shared" si="76"/>
        <v>Very High</v>
      </c>
    </row>
    <row r="702" spans="1:19" x14ac:dyDescent="0.3">
      <c r="A702">
        <v>701</v>
      </c>
      <c r="B702" t="s">
        <v>12</v>
      </c>
      <c r="C702">
        <v>2005</v>
      </c>
      <c r="D702">
        <v>79071</v>
      </c>
      <c r="E702" t="s">
        <v>22</v>
      </c>
      <c r="F702" t="s">
        <v>14</v>
      </c>
      <c r="G702" t="s">
        <v>23</v>
      </c>
      <c r="H702">
        <v>2981</v>
      </c>
      <c r="I702">
        <v>531.20000000000005</v>
      </c>
      <c r="J702" s="2">
        <v>9.99</v>
      </c>
      <c r="K702">
        <v>2</v>
      </c>
      <c r="L702" s="1">
        <v>61387.23</v>
      </c>
      <c r="M702">
        <f t="shared" si="70"/>
        <v>19</v>
      </c>
      <c r="N702">
        <f t="shared" si="71"/>
        <v>3230.9068421052634</v>
      </c>
      <c r="O702">
        <f t="shared" si="72"/>
        <v>4161.6315789473683</v>
      </c>
      <c r="P702">
        <f t="shared" si="73"/>
        <v>178.19523649781954</v>
      </c>
      <c r="Q702" t="str">
        <f t="shared" si="74"/>
        <v>Old (12+ years)</v>
      </c>
      <c r="R702" t="str">
        <f t="shared" si="75"/>
        <v>Low</v>
      </c>
      <c r="S702" t="str">
        <f t="shared" si="76"/>
        <v>Very High</v>
      </c>
    </row>
    <row r="703" spans="1:19" x14ac:dyDescent="0.3">
      <c r="A703">
        <v>702</v>
      </c>
      <c r="B703" t="s">
        <v>27</v>
      </c>
      <c r="C703">
        <v>2007</v>
      </c>
      <c r="D703">
        <v>193398</v>
      </c>
      <c r="E703" t="s">
        <v>26</v>
      </c>
      <c r="F703" t="s">
        <v>14</v>
      </c>
      <c r="G703" t="s">
        <v>23</v>
      </c>
      <c r="H703">
        <v>3997</v>
      </c>
      <c r="I703">
        <v>176.2</v>
      </c>
      <c r="J703" s="2">
        <v>14.28</v>
      </c>
      <c r="K703">
        <v>2</v>
      </c>
      <c r="L703" s="1">
        <v>111989.6</v>
      </c>
      <c r="M703">
        <f t="shared" si="70"/>
        <v>17</v>
      </c>
      <c r="N703">
        <f t="shared" si="71"/>
        <v>6587.623529411765</v>
      </c>
      <c r="O703">
        <f t="shared" si="72"/>
        <v>11376.35294117647</v>
      </c>
      <c r="P703">
        <f t="shared" si="73"/>
        <v>44.083062296722538</v>
      </c>
      <c r="Q703" t="str">
        <f t="shared" si="74"/>
        <v>Old (12+ years)</v>
      </c>
      <c r="R703" t="str">
        <f t="shared" si="75"/>
        <v>Low</v>
      </c>
      <c r="S703" t="str">
        <f t="shared" si="76"/>
        <v>High</v>
      </c>
    </row>
    <row r="704" spans="1:19" x14ac:dyDescent="0.3">
      <c r="A704">
        <v>703</v>
      </c>
      <c r="B704" t="s">
        <v>28</v>
      </c>
      <c r="C704">
        <v>2012</v>
      </c>
      <c r="D704">
        <v>35651</v>
      </c>
      <c r="E704" t="s">
        <v>22</v>
      </c>
      <c r="F704" t="s">
        <v>18</v>
      </c>
      <c r="G704" t="s">
        <v>23</v>
      </c>
      <c r="H704">
        <v>2262</v>
      </c>
      <c r="I704">
        <v>348.3</v>
      </c>
      <c r="J704" s="2">
        <v>17.54</v>
      </c>
      <c r="K704">
        <v>7</v>
      </c>
      <c r="L704" s="1">
        <v>71249.95</v>
      </c>
      <c r="M704">
        <f t="shared" si="70"/>
        <v>12</v>
      </c>
      <c r="N704">
        <f t="shared" si="71"/>
        <v>5937.4958333333334</v>
      </c>
      <c r="O704">
        <f t="shared" si="72"/>
        <v>2970.9166666666665</v>
      </c>
      <c r="P704">
        <f t="shared" si="73"/>
        <v>153.9787798408488</v>
      </c>
      <c r="Q704" t="str">
        <f t="shared" si="74"/>
        <v>Mature (8-12 years)</v>
      </c>
      <c r="R704" t="str">
        <f t="shared" si="75"/>
        <v>Average</v>
      </c>
      <c r="S704" t="str">
        <f t="shared" si="76"/>
        <v>Very High</v>
      </c>
    </row>
    <row r="705" spans="1:19" x14ac:dyDescent="0.3">
      <c r="A705">
        <v>704</v>
      </c>
      <c r="B705" t="s">
        <v>27</v>
      </c>
      <c r="C705">
        <v>2008</v>
      </c>
      <c r="D705">
        <v>75202</v>
      </c>
      <c r="E705" t="s">
        <v>13</v>
      </c>
      <c r="F705" t="s">
        <v>14</v>
      </c>
      <c r="G705" t="s">
        <v>23</v>
      </c>
      <c r="H705">
        <v>3178</v>
      </c>
      <c r="I705">
        <v>147.80000000000001</v>
      </c>
      <c r="J705" s="2">
        <v>23.14</v>
      </c>
      <c r="K705">
        <v>7</v>
      </c>
      <c r="L705" s="1">
        <v>65990.95</v>
      </c>
      <c r="M705">
        <f t="shared" si="70"/>
        <v>16</v>
      </c>
      <c r="N705">
        <f t="shared" si="71"/>
        <v>4124.4343749999998</v>
      </c>
      <c r="O705">
        <f t="shared" si="72"/>
        <v>4700.125</v>
      </c>
      <c r="P705">
        <f t="shared" si="73"/>
        <v>46.507237256135937</v>
      </c>
      <c r="Q705" t="str">
        <f t="shared" si="74"/>
        <v>Old (12+ years)</v>
      </c>
      <c r="R705" t="str">
        <f t="shared" si="75"/>
        <v>Good</v>
      </c>
      <c r="S705" t="str">
        <f t="shared" si="76"/>
        <v>Medium</v>
      </c>
    </row>
    <row r="706" spans="1:19" x14ac:dyDescent="0.3">
      <c r="A706">
        <v>705</v>
      </c>
      <c r="B706" t="s">
        <v>28</v>
      </c>
      <c r="C706">
        <v>2020</v>
      </c>
      <c r="D706">
        <v>53777</v>
      </c>
      <c r="E706" t="s">
        <v>22</v>
      </c>
      <c r="F706" t="s">
        <v>14</v>
      </c>
      <c r="G706" t="s">
        <v>15</v>
      </c>
      <c r="H706">
        <v>4254</v>
      </c>
      <c r="I706">
        <v>97.1</v>
      </c>
      <c r="J706" s="2">
        <v>7.83</v>
      </c>
      <c r="K706">
        <v>2</v>
      </c>
      <c r="L706" s="1">
        <v>56174.48</v>
      </c>
      <c r="M706">
        <f t="shared" si="70"/>
        <v>4</v>
      </c>
      <c r="N706">
        <f t="shared" si="71"/>
        <v>14043.62</v>
      </c>
      <c r="O706">
        <f t="shared" si="72"/>
        <v>13444.25</v>
      </c>
      <c r="P706">
        <f t="shared" si="73"/>
        <v>22.825575928537848</v>
      </c>
      <c r="Q706" t="str">
        <f t="shared" si="74"/>
        <v>Recent (4-7 years)</v>
      </c>
      <c r="R706" t="str">
        <f t="shared" si="75"/>
        <v>Low</v>
      </c>
      <c r="S706" t="str">
        <f t="shared" si="76"/>
        <v>Low</v>
      </c>
    </row>
    <row r="707" spans="1:19" x14ac:dyDescent="0.3">
      <c r="A707">
        <v>706</v>
      </c>
      <c r="B707" t="s">
        <v>28</v>
      </c>
      <c r="C707">
        <v>2014</v>
      </c>
      <c r="D707">
        <v>153066</v>
      </c>
      <c r="E707" t="s">
        <v>13</v>
      </c>
      <c r="F707" t="s">
        <v>14</v>
      </c>
      <c r="G707" t="s">
        <v>23</v>
      </c>
      <c r="H707">
        <v>4353</v>
      </c>
      <c r="I707">
        <v>550.20000000000005</v>
      </c>
      <c r="J707" s="2">
        <v>15.16</v>
      </c>
      <c r="K707">
        <v>2</v>
      </c>
      <c r="L707" s="1">
        <v>27486.67</v>
      </c>
      <c r="M707">
        <f t="shared" ref="M707:M770" si="77">2024-C707</f>
        <v>10</v>
      </c>
      <c r="N707">
        <f t="shared" ref="N707:N770" si="78">IF(M707&gt;0, L707/M707, L707)</f>
        <v>2748.6669999999999</v>
      </c>
      <c r="O707">
        <f t="shared" ref="O707:O770" si="79">IF(M707&gt;0, D707/M707, D707)</f>
        <v>15306.6</v>
      </c>
      <c r="P707">
        <f t="shared" ref="P707:P770" si="80">IF(H707&gt;0, I707/(H707/1000), 0)</f>
        <v>126.39558924879395</v>
      </c>
      <c r="Q707" t="str">
        <f t="shared" ref="Q707:Q770" si="81">IF(M707&lt;=3, "New (0-3 years)",
   IF(M707&lt;=7, "Recent (4-7 years)",
   IF(M707&lt;=12, "Mature (8-12 years)",
   "Old (12+ years)")))</f>
        <v>Mature (8-12 years)</v>
      </c>
      <c r="R707" t="str">
        <f t="shared" ref="R707:R770" si="82">IF(J707&gt;=25, "Excellent",
   IF(J707&gt;=20, "Good",
   IF(J707&gt;=15, "Average",
   "Low")))</f>
        <v>Average</v>
      </c>
      <c r="S707" t="str">
        <f t="shared" ref="S707:S770" si="83">IF(I707&gt;=200, "Very High",
   IF(I707&gt;=150, "High",
   IF(I707&gt;=100, "Medium",
   "Low")))</f>
        <v>Very High</v>
      </c>
    </row>
    <row r="708" spans="1:19" x14ac:dyDescent="0.3">
      <c r="A708">
        <v>707</v>
      </c>
      <c r="B708" t="s">
        <v>28</v>
      </c>
      <c r="C708">
        <v>2016</v>
      </c>
      <c r="D708">
        <v>72263</v>
      </c>
      <c r="E708" t="s">
        <v>13</v>
      </c>
      <c r="F708" t="s">
        <v>14</v>
      </c>
      <c r="G708" t="s">
        <v>23</v>
      </c>
      <c r="H708">
        <v>2107</v>
      </c>
      <c r="I708">
        <v>499.5</v>
      </c>
      <c r="J708" s="2">
        <v>17.13</v>
      </c>
      <c r="K708">
        <v>7</v>
      </c>
      <c r="L708" s="1">
        <v>3435.2</v>
      </c>
      <c r="M708">
        <f t="shared" si="77"/>
        <v>8</v>
      </c>
      <c r="N708">
        <f t="shared" si="78"/>
        <v>429.4</v>
      </c>
      <c r="O708">
        <f t="shared" si="79"/>
        <v>9032.875</v>
      </c>
      <c r="P708">
        <f t="shared" si="80"/>
        <v>237.06691979117227</v>
      </c>
      <c r="Q708" t="str">
        <f t="shared" si="81"/>
        <v>Mature (8-12 years)</v>
      </c>
      <c r="R708" t="str">
        <f t="shared" si="82"/>
        <v>Average</v>
      </c>
      <c r="S708" t="str">
        <f t="shared" si="83"/>
        <v>Very High</v>
      </c>
    </row>
    <row r="709" spans="1:19" x14ac:dyDescent="0.3">
      <c r="A709">
        <v>708</v>
      </c>
      <c r="B709" t="s">
        <v>25</v>
      </c>
      <c r="C709">
        <v>2018</v>
      </c>
      <c r="D709">
        <v>195706</v>
      </c>
      <c r="E709" t="s">
        <v>17</v>
      </c>
      <c r="F709" t="s">
        <v>18</v>
      </c>
      <c r="G709" t="s">
        <v>20</v>
      </c>
      <c r="H709">
        <v>1989</v>
      </c>
      <c r="I709">
        <v>465.6</v>
      </c>
      <c r="J709" s="2">
        <v>18.52</v>
      </c>
      <c r="K709">
        <v>6</v>
      </c>
      <c r="L709" s="1">
        <v>31256.23</v>
      </c>
      <c r="M709">
        <f t="shared" si="77"/>
        <v>6</v>
      </c>
      <c r="N709">
        <f t="shared" si="78"/>
        <v>5209.3716666666669</v>
      </c>
      <c r="O709">
        <f t="shared" si="79"/>
        <v>32617.666666666668</v>
      </c>
      <c r="P709">
        <f t="shared" si="80"/>
        <v>234.08748114630467</v>
      </c>
      <c r="Q709" t="str">
        <f t="shared" si="81"/>
        <v>Recent (4-7 years)</v>
      </c>
      <c r="R709" t="str">
        <f t="shared" si="82"/>
        <v>Average</v>
      </c>
      <c r="S709" t="str">
        <f t="shared" si="83"/>
        <v>Very High</v>
      </c>
    </row>
    <row r="710" spans="1:19" x14ac:dyDescent="0.3">
      <c r="A710">
        <v>709</v>
      </c>
      <c r="B710" t="s">
        <v>28</v>
      </c>
      <c r="C710">
        <v>2018</v>
      </c>
      <c r="D710">
        <v>105158</v>
      </c>
      <c r="E710" t="s">
        <v>13</v>
      </c>
      <c r="F710" t="s">
        <v>14</v>
      </c>
      <c r="G710" t="s">
        <v>20</v>
      </c>
      <c r="H710">
        <v>1487</v>
      </c>
      <c r="I710">
        <v>67.3</v>
      </c>
      <c r="J710" s="2">
        <v>25.46</v>
      </c>
      <c r="K710">
        <v>4</v>
      </c>
      <c r="L710" s="1">
        <v>62637.61</v>
      </c>
      <c r="M710">
        <f t="shared" si="77"/>
        <v>6</v>
      </c>
      <c r="N710">
        <f t="shared" si="78"/>
        <v>10439.601666666667</v>
      </c>
      <c r="O710">
        <f t="shared" si="79"/>
        <v>17526.333333333332</v>
      </c>
      <c r="P710">
        <f t="shared" si="80"/>
        <v>45.258910558170811</v>
      </c>
      <c r="Q710" t="str">
        <f t="shared" si="81"/>
        <v>Recent (4-7 years)</v>
      </c>
      <c r="R710" t="str">
        <f t="shared" si="82"/>
        <v>Excellent</v>
      </c>
      <c r="S710" t="str">
        <f t="shared" si="83"/>
        <v>Low</v>
      </c>
    </row>
    <row r="711" spans="1:19" x14ac:dyDescent="0.3">
      <c r="A711">
        <v>710</v>
      </c>
      <c r="B711" t="s">
        <v>16</v>
      </c>
      <c r="C711">
        <v>2006</v>
      </c>
      <c r="D711">
        <v>15800</v>
      </c>
      <c r="E711" t="s">
        <v>13</v>
      </c>
      <c r="F711" t="s">
        <v>18</v>
      </c>
      <c r="G711" t="s">
        <v>15</v>
      </c>
      <c r="H711">
        <v>2007</v>
      </c>
      <c r="I711">
        <v>512.5</v>
      </c>
      <c r="J711" s="2">
        <v>9.2899999999999991</v>
      </c>
      <c r="K711">
        <v>4</v>
      </c>
      <c r="L711" s="1">
        <v>47455.31</v>
      </c>
      <c r="M711">
        <f t="shared" si="77"/>
        <v>18</v>
      </c>
      <c r="N711">
        <f t="shared" si="78"/>
        <v>2636.4061111111109</v>
      </c>
      <c r="O711">
        <f t="shared" si="79"/>
        <v>877.77777777777783</v>
      </c>
      <c r="P711">
        <f t="shared" si="80"/>
        <v>255.35625311410064</v>
      </c>
      <c r="Q711" t="str">
        <f t="shared" si="81"/>
        <v>Old (12+ years)</v>
      </c>
      <c r="R711" t="str">
        <f t="shared" si="82"/>
        <v>Low</v>
      </c>
      <c r="S711" t="str">
        <f t="shared" si="83"/>
        <v>Very High</v>
      </c>
    </row>
    <row r="712" spans="1:19" x14ac:dyDescent="0.3">
      <c r="A712">
        <v>711</v>
      </c>
      <c r="B712" t="s">
        <v>30</v>
      </c>
      <c r="C712">
        <v>2009</v>
      </c>
      <c r="D712">
        <v>42823</v>
      </c>
      <c r="E712" t="s">
        <v>22</v>
      </c>
      <c r="F712" t="s">
        <v>18</v>
      </c>
      <c r="G712" t="s">
        <v>20</v>
      </c>
      <c r="H712">
        <v>2694</v>
      </c>
      <c r="I712">
        <v>285.3</v>
      </c>
      <c r="J712" s="2">
        <v>25.2</v>
      </c>
      <c r="K712">
        <v>2</v>
      </c>
      <c r="L712" s="1">
        <v>55472.77</v>
      </c>
      <c r="M712">
        <f t="shared" si="77"/>
        <v>15</v>
      </c>
      <c r="N712">
        <f t="shared" si="78"/>
        <v>3698.1846666666665</v>
      </c>
      <c r="O712">
        <f t="shared" si="79"/>
        <v>2854.8666666666668</v>
      </c>
      <c r="P712">
        <f t="shared" si="80"/>
        <v>105.90200445434299</v>
      </c>
      <c r="Q712" t="str">
        <f t="shared" si="81"/>
        <v>Old (12+ years)</v>
      </c>
      <c r="R712" t="str">
        <f t="shared" si="82"/>
        <v>Excellent</v>
      </c>
      <c r="S712" t="str">
        <f t="shared" si="83"/>
        <v>Very High</v>
      </c>
    </row>
    <row r="713" spans="1:19" x14ac:dyDescent="0.3">
      <c r="A713">
        <v>712</v>
      </c>
      <c r="B713" t="s">
        <v>27</v>
      </c>
      <c r="C713">
        <v>2009</v>
      </c>
      <c r="D713">
        <v>68878</v>
      </c>
      <c r="E713" t="s">
        <v>26</v>
      </c>
      <c r="F713" t="s">
        <v>14</v>
      </c>
      <c r="G713" t="s">
        <v>23</v>
      </c>
      <c r="H713">
        <v>2611</v>
      </c>
      <c r="I713">
        <v>231.7</v>
      </c>
      <c r="J713" s="2">
        <v>22.32</v>
      </c>
      <c r="K713">
        <v>7</v>
      </c>
      <c r="L713" s="1">
        <v>117735.84</v>
      </c>
      <c r="M713">
        <f t="shared" si="77"/>
        <v>15</v>
      </c>
      <c r="N713">
        <f t="shared" si="78"/>
        <v>7849.0559999999996</v>
      </c>
      <c r="O713">
        <f t="shared" si="79"/>
        <v>4591.8666666666668</v>
      </c>
      <c r="P713">
        <f t="shared" si="80"/>
        <v>88.739946380697035</v>
      </c>
      <c r="Q713" t="str">
        <f t="shared" si="81"/>
        <v>Old (12+ years)</v>
      </c>
      <c r="R713" t="str">
        <f t="shared" si="82"/>
        <v>Good</v>
      </c>
      <c r="S713" t="str">
        <f t="shared" si="83"/>
        <v>Very High</v>
      </c>
    </row>
    <row r="714" spans="1:19" x14ac:dyDescent="0.3">
      <c r="A714">
        <v>713</v>
      </c>
      <c r="B714" t="s">
        <v>29</v>
      </c>
      <c r="C714">
        <v>2010</v>
      </c>
      <c r="D714">
        <v>23708</v>
      </c>
      <c r="E714" t="s">
        <v>17</v>
      </c>
      <c r="F714" t="s">
        <v>14</v>
      </c>
      <c r="G714" t="s">
        <v>20</v>
      </c>
      <c r="H714">
        <v>3983</v>
      </c>
      <c r="I714">
        <v>346</v>
      </c>
      <c r="J714" s="2">
        <v>18.899999999999999</v>
      </c>
      <c r="K714">
        <v>5</v>
      </c>
      <c r="L714" s="1">
        <v>43981.87</v>
      </c>
      <c r="M714">
        <f t="shared" si="77"/>
        <v>14</v>
      </c>
      <c r="N714">
        <f t="shared" si="78"/>
        <v>3141.562142857143</v>
      </c>
      <c r="O714">
        <f t="shared" si="79"/>
        <v>1693.4285714285713</v>
      </c>
      <c r="P714">
        <f t="shared" si="80"/>
        <v>86.869194074817969</v>
      </c>
      <c r="Q714" t="str">
        <f t="shared" si="81"/>
        <v>Old (12+ years)</v>
      </c>
      <c r="R714" t="str">
        <f t="shared" si="82"/>
        <v>Average</v>
      </c>
      <c r="S714" t="str">
        <f t="shared" si="83"/>
        <v>Very High</v>
      </c>
    </row>
    <row r="715" spans="1:19" x14ac:dyDescent="0.3">
      <c r="A715">
        <v>714</v>
      </c>
      <c r="B715" t="s">
        <v>19</v>
      </c>
      <c r="C715">
        <v>2017</v>
      </c>
      <c r="D715">
        <v>148891</v>
      </c>
      <c r="E715" t="s">
        <v>13</v>
      </c>
      <c r="F715" t="s">
        <v>14</v>
      </c>
      <c r="G715" t="s">
        <v>15</v>
      </c>
      <c r="H715">
        <v>4597</v>
      </c>
      <c r="I715">
        <v>91.2</v>
      </c>
      <c r="J715" s="2">
        <v>22.49</v>
      </c>
      <c r="K715">
        <v>5</v>
      </c>
      <c r="L715" s="1">
        <v>55905.4</v>
      </c>
      <c r="M715">
        <f t="shared" si="77"/>
        <v>7</v>
      </c>
      <c r="N715">
        <f t="shared" si="78"/>
        <v>7986.4857142857145</v>
      </c>
      <c r="O715">
        <f t="shared" si="79"/>
        <v>21270.142857142859</v>
      </c>
      <c r="P715">
        <f t="shared" si="80"/>
        <v>19.839025451381335</v>
      </c>
      <c r="Q715" t="str">
        <f t="shared" si="81"/>
        <v>Recent (4-7 years)</v>
      </c>
      <c r="R715" t="str">
        <f t="shared" si="82"/>
        <v>Good</v>
      </c>
      <c r="S715" t="str">
        <f t="shared" si="83"/>
        <v>Low</v>
      </c>
    </row>
    <row r="716" spans="1:19" x14ac:dyDescent="0.3">
      <c r="A716">
        <v>715</v>
      </c>
      <c r="B716" t="s">
        <v>12</v>
      </c>
      <c r="C716">
        <v>2013</v>
      </c>
      <c r="D716">
        <v>68870</v>
      </c>
      <c r="E716" t="s">
        <v>17</v>
      </c>
      <c r="F716" t="s">
        <v>14</v>
      </c>
      <c r="G716" t="s">
        <v>20</v>
      </c>
      <c r="H716">
        <v>2444</v>
      </c>
      <c r="I716">
        <v>463.7</v>
      </c>
      <c r="J716" s="2">
        <v>15.3</v>
      </c>
      <c r="K716">
        <v>4</v>
      </c>
      <c r="L716" s="1">
        <v>18621.32</v>
      </c>
      <c r="M716">
        <f t="shared" si="77"/>
        <v>11</v>
      </c>
      <c r="N716">
        <f t="shared" si="78"/>
        <v>1692.8472727272726</v>
      </c>
      <c r="O716">
        <f t="shared" si="79"/>
        <v>6260.909090909091</v>
      </c>
      <c r="P716">
        <f t="shared" si="80"/>
        <v>189.72995090016366</v>
      </c>
      <c r="Q716" t="str">
        <f t="shared" si="81"/>
        <v>Mature (8-12 years)</v>
      </c>
      <c r="R716" t="str">
        <f t="shared" si="82"/>
        <v>Average</v>
      </c>
      <c r="S716" t="str">
        <f t="shared" si="83"/>
        <v>Very High</v>
      </c>
    </row>
    <row r="717" spans="1:19" x14ac:dyDescent="0.3">
      <c r="A717">
        <v>716</v>
      </c>
      <c r="B717" t="s">
        <v>24</v>
      </c>
      <c r="C717">
        <v>2019</v>
      </c>
      <c r="D717">
        <v>14283</v>
      </c>
      <c r="E717" t="s">
        <v>22</v>
      </c>
      <c r="F717" t="s">
        <v>18</v>
      </c>
      <c r="G717" t="s">
        <v>20</v>
      </c>
      <c r="H717">
        <v>4768</v>
      </c>
      <c r="I717">
        <v>366.2</v>
      </c>
      <c r="J717" s="2">
        <v>8.4600000000000009</v>
      </c>
      <c r="K717">
        <v>6</v>
      </c>
      <c r="L717" s="1">
        <v>8611.0499999999993</v>
      </c>
      <c r="M717">
        <f t="shared" si="77"/>
        <v>5</v>
      </c>
      <c r="N717">
        <f t="shared" si="78"/>
        <v>1722.2099999999998</v>
      </c>
      <c r="O717">
        <f t="shared" si="79"/>
        <v>2856.6</v>
      </c>
      <c r="P717">
        <f t="shared" si="80"/>
        <v>76.803691275167793</v>
      </c>
      <c r="Q717" t="str">
        <f t="shared" si="81"/>
        <v>Recent (4-7 years)</v>
      </c>
      <c r="R717" t="str">
        <f t="shared" si="82"/>
        <v>Low</v>
      </c>
      <c r="S717" t="str">
        <f t="shared" si="83"/>
        <v>Very High</v>
      </c>
    </row>
    <row r="718" spans="1:19" x14ac:dyDescent="0.3">
      <c r="A718">
        <v>717</v>
      </c>
      <c r="B718" t="s">
        <v>25</v>
      </c>
      <c r="C718">
        <v>2018</v>
      </c>
      <c r="D718">
        <v>166645</v>
      </c>
      <c r="E718" t="s">
        <v>13</v>
      </c>
      <c r="F718" t="s">
        <v>18</v>
      </c>
      <c r="G718" t="s">
        <v>15</v>
      </c>
      <c r="H718">
        <v>3516</v>
      </c>
      <c r="I718">
        <v>144.5</v>
      </c>
      <c r="J718" s="2">
        <v>21.64</v>
      </c>
      <c r="K718">
        <v>4</v>
      </c>
      <c r="L718" s="1">
        <v>93722.91</v>
      </c>
      <c r="M718">
        <f t="shared" si="77"/>
        <v>6</v>
      </c>
      <c r="N718">
        <f t="shared" si="78"/>
        <v>15620.485000000001</v>
      </c>
      <c r="O718">
        <f t="shared" si="79"/>
        <v>27774.166666666668</v>
      </c>
      <c r="P718">
        <f t="shared" si="80"/>
        <v>41.097838452787258</v>
      </c>
      <c r="Q718" t="str">
        <f t="shared" si="81"/>
        <v>Recent (4-7 years)</v>
      </c>
      <c r="R718" t="str">
        <f t="shared" si="82"/>
        <v>Good</v>
      </c>
      <c r="S718" t="str">
        <f t="shared" si="83"/>
        <v>Medium</v>
      </c>
    </row>
    <row r="719" spans="1:19" x14ac:dyDescent="0.3">
      <c r="A719">
        <v>718</v>
      </c>
      <c r="B719" t="s">
        <v>29</v>
      </c>
      <c r="C719">
        <v>2011</v>
      </c>
      <c r="D719">
        <v>83707</v>
      </c>
      <c r="E719" t="s">
        <v>22</v>
      </c>
      <c r="F719" t="s">
        <v>18</v>
      </c>
      <c r="G719" t="s">
        <v>15</v>
      </c>
      <c r="H719">
        <v>990</v>
      </c>
      <c r="I719">
        <v>145.4</v>
      </c>
      <c r="J719" s="2">
        <v>18.12</v>
      </c>
      <c r="K719">
        <v>2</v>
      </c>
      <c r="L719" s="1">
        <v>69769.929999999993</v>
      </c>
      <c r="M719">
        <f t="shared" si="77"/>
        <v>13</v>
      </c>
      <c r="N719">
        <f t="shared" si="78"/>
        <v>5366.9176923076921</v>
      </c>
      <c r="O719">
        <f t="shared" si="79"/>
        <v>6439</v>
      </c>
      <c r="P719">
        <f t="shared" si="80"/>
        <v>146.86868686868686</v>
      </c>
      <c r="Q719" t="str">
        <f t="shared" si="81"/>
        <v>Old (12+ years)</v>
      </c>
      <c r="R719" t="str">
        <f t="shared" si="82"/>
        <v>Average</v>
      </c>
      <c r="S719" t="str">
        <f t="shared" si="83"/>
        <v>Medium</v>
      </c>
    </row>
    <row r="720" spans="1:19" x14ac:dyDescent="0.3">
      <c r="A720">
        <v>719</v>
      </c>
      <c r="B720" t="s">
        <v>21</v>
      </c>
      <c r="C720">
        <v>2024</v>
      </c>
      <c r="D720">
        <v>167005</v>
      </c>
      <c r="E720" t="s">
        <v>17</v>
      </c>
      <c r="F720" t="s">
        <v>14</v>
      </c>
      <c r="G720" t="s">
        <v>23</v>
      </c>
      <c r="H720">
        <v>2135</v>
      </c>
      <c r="I720">
        <v>143.19999999999999</v>
      </c>
      <c r="J720" s="2">
        <v>20.98</v>
      </c>
      <c r="K720">
        <v>6</v>
      </c>
      <c r="L720" s="1">
        <v>92002.46</v>
      </c>
      <c r="M720">
        <f t="shared" si="77"/>
        <v>0</v>
      </c>
      <c r="N720">
        <f t="shared" si="78"/>
        <v>92002.46</v>
      </c>
      <c r="O720">
        <f t="shared" si="79"/>
        <v>167005</v>
      </c>
      <c r="P720">
        <f t="shared" si="80"/>
        <v>67.072599531615921</v>
      </c>
      <c r="Q720" t="str">
        <f t="shared" si="81"/>
        <v>New (0-3 years)</v>
      </c>
      <c r="R720" t="str">
        <f t="shared" si="82"/>
        <v>Good</v>
      </c>
      <c r="S720" t="str">
        <f t="shared" si="83"/>
        <v>Medium</v>
      </c>
    </row>
    <row r="721" spans="1:19" x14ac:dyDescent="0.3">
      <c r="A721">
        <v>720</v>
      </c>
      <c r="B721" t="s">
        <v>16</v>
      </c>
      <c r="C721">
        <v>2006</v>
      </c>
      <c r="D721">
        <v>10774</v>
      </c>
      <c r="E721" t="s">
        <v>22</v>
      </c>
      <c r="F721" t="s">
        <v>18</v>
      </c>
      <c r="G721" t="s">
        <v>20</v>
      </c>
      <c r="H721">
        <v>3906</v>
      </c>
      <c r="I721">
        <v>71.900000000000006</v>
      </c>
      <c r="J721" s="2">
        <v>13.45</v>
      </c>
      <c r="K721">
        <v>5</v>
      </c>
      <c r="L721" s="1">
        <v>20533.95</v>
      </c>
      <c r="M721">
        <f t="shared" si="77"/>
        <v>18</v>
      </c>
      <c r="N721">
        <f t="shared" si="78"/>
        <v>1140.7750000000001</v>
      </c>
      <c r="O721">
        <f t="shared" si="79"/>
        <v>598.55555555555554</v>
      </c>
      <c r="P721">
        <f t="shared" si="80"/>
        <v>18.407578084997439</v>
      </c>
      <c r="Q721" t="str">
        <f t="shared" si="81"/>
        <v>Old (12+ years)</v>
      </c>
      <c r="R721" t="str">
        <f t="shared" si="82"/>
        <v>Low</v>
      </c>
      <c r="S721" t="str">
        <f t="shared" si="83"/>
        <v>Low</v>
      </c>
    </row>
    <row r="722" spans="1:19" x14ac:dyDescent="0.3">
      <c r="A722">
        <v>721</v>
      </c>
      <c r="B722" t="s">
        <v>24</v>
      </c>
      <c r="C722">
        <v>2011</v>
      </c>
      <c r="D722">
        <v>147055</v>
      </c>
      <c r="E722" t="s">
        <v>17</v>
      </c>
      <c r="F722" t="s">
        <v>14</v>
      </c>
      <c r="G722" t="s">
        <v>23</v>
      </c>
      <c r="H722">
        <v>1178</v>
      </c>
      <c r="I722">
        <v>369.2</v>
      </c>
      <c r="J722" s="2">
        <v>27.67</v>
      </c>
      <c r="K722">
        <v>7</v>
      </c>
      <c r="L722" s="1">
        <v>69903.97</v>
      </c>
      <c r="M722">
        <f t="shared" si="77"/>
        <v>13</v>
      </c>
      <c r="N722">
        <f t="shared" si="78"/>
        <v>5377.2284615384615</v>
      </c>
      <c r="O722">
        <f t="shared" si="79"/>
        <v>11311.923076923076</v>
      </c>
      <c r="P722">
        <f t="shared" si="80"/>
        <v>313.41256366723263</v>
      </c>
      <c r="Q722" t="str">
        <f t="shared" si="81"/>
        <v>Old (12+ years)</v>
      </c>
      <c r="R722" t="str">
        <f t="shared" si="82"/>
        <v>Excellent</v>
      </c>
      <c r="S722" t="str">
        <f t="shared" si="83"/>
        <v>Very High</v>
      </c>
    </row>
    <row r="723" spans="1:19" x14ac:dyDescent="0.3">
      <c r="A723">
        <v>722</v>
      </c>
      <c r="B723" t="s">
        <v>19</v>
      </c>
      <c r="C723">
        <v>2010</v>
      </c>
      <c r="D723">
        <v>101468</v>
      </c>
      <c r="E723" t="s">
        <v>22</v>
      </c>
      <c r="F723" t="s">
        <v>14</v>
      </c>
      <c r="G723" t="s">
        <v>20</v>
      </c>
      <c r="H723">
        <v>4629</v>
      </c>
      <c r="I723">
        <v>510.6</v>
      </c>
      <c r="J723" s="2">
        <v>19.68</v>
      </c>
      <c r="K723">
        <v>7</v>
      </c>
      <c r="L723" s="1">
        <v>32676.17</v>
      </c>
      <c r="M723">
        <f t="shared" si="77"/>
        <v>14</v>
      </c>
      <c r="N723">
        <f t="shared" si="78"/>
        <v>2334.0121428571429</v>
      </c>
      <c r="O723">
        <f t="shared" si="79"/>
        <v>7247.7142857142853</v>
      </c>
      <c r="P723">
        <f t="shared" si="80"/>
        <v>110.30460142579392</v>
      </c>
      <c r="Q723" t="str">
        <f t="shared" si="81"/>
        <v>Old (12+ years)</v>
      </c>
      <c r="R723" t="str">
        <f t="shared" si="82"/>
        <v>Average</v>
      </c>
      <c r="S723" t="str">
        <f t="shared" si="83"/>
        <v>Very High</v>
      </c>
    </row>
    <row r="724" spans="1:19" x14ac:dyDescent="0.3">
      <c r="A724">
        <v>723</v>
      </c>
      <c r="B724" t="s">
        <v>29</v>
      </c>
      <c r="C724">
        <v>2021</v>
      </c>
      <c r="D724">
        <v>101334</v>
      </c>
      <c r="E724" t="s">
        <v>17</v>
      </c>
      <c r="F724" t="s">
        <v>14</v>
      </c>
      <c r="G724" t="s">
        <v>20</v>
      </c>
      <c r="H724">
        <v>1415</v>
      </c>
      <c r="I724">
        <v>49.8</v>
      </c>
      <c r="J724" s="2">
        <v>7.14</v>
      </c>
      <c r="K724">
        <v>2</v>
      </c>
      <c r="L724" s="1">
        <v>29683.23</v>
      </c>
      <c r="M724">
        <f t="shared" si="77"/>
        <v>3</v>
      </c>
      <c r="N724">
        <f t="shared" si="78"/>
        <v>9894.41</v>
      </c>
      <c r="O724">
        <f t="shared" si="79"/>
        <v>33778</v>
      </c>
      <c r="P724">
        <f t="shared" si="80"/>
        <v>35.194346289752644</v>
      </c>
      <c r="Q724" t="str">
        <f t="shared" si="81"/>
        <v>New (0-3 years)</v>
      </c>
      <c r="R724" t="str">
        <f t="shared" si="82"/>
        <v>Low</v>
      </c>
      <c r="S724" t="str">
        <f t="shared" si="83"/>
        <v>Low</v>
      </c>
    </row>
    <row r="725" spans="1:19" x14ac:dyDescent="0.3">
      <c r="A725">
        <v>724</v>
      </c>
      <c r="B725" t="s">
        <v>24</v>
      </c>
      <c r="C725">
        <v>2006</v>
      </c>
      <c r="D725">
        <v>23133</v>
      </c>
      <c r="E725" t="s">
        <v>26</v>
      </c>
      <c r="F725" t="s">
        <v>14</v>
      </c>
      <c r="G725" t="s">
        <v>23</v>
      </c>
      <c r="H725">
        <v>3130</v>
      </c>
      <c r="I725">
        <v>67.400000000000006</v>
      </c>
      <c r="J725" s="2">
        <v>16.25</v>
      </c>
      <c r="K725">
        <v>4</v>
      </c>
      <c r="L725" s="1">
        <v>4348.54</v>
      </c>
      <c r="M725">
        <f t="shared" si="77"/>
        <v>18</v>
      </c>
      <c r="N725">
        <f t="shared" si="78"/>
        <v>241.58555555555554</v>
      </c>
      <c r="O725">
        <f t="shared" si="79"/>
        <v>1285.1666666666667</v>
      </c>
      <c r="P725">
        <f t="shared" si="80"/>
        <v>21.533546325878596</v>
      </c>
      <c r="Q725" t="str">
        <f t="shared" si="81"/>
        <v>Old (12+ years)</v>
      </c>
      <c r="R725" t="str">
        <f t="shared" si="82"/>
        <v>Average</v>
      </c>
      <c r="S725" t="str">
        <f t="shared" si="83"/>
        <v>Low</v>
      </c>
    </row>
    <row r="726" spans="1:19" x14ac:dyDescent="0.3">
      <c r="A726">
        <v>725</v>
      </c>
      <c r="B726" t="s">
        <v>29</v>
      </c>
      <c r="C726">
        <v>2007</v>
      </c>
      <c r="D726">
        <v>151011</v>
      </c>
      <c r="E726" t="s">
        <v>22</v>
      </c>
      <c r="F726" t="s">
        <v>14</v>
      </c>
      <c r="G726" t="s">
        <v>20</v>
      </c>
      <c r="H726">
        <v>2554</v>
      </c>
      <c r="I726">
        <v>360.8</v>
      </c>
      <c r="J726" s="2">
        <v>23.91</v>
      </c>
      <c r="K726">
        <v>2</v>
      </c>
      <c r="L726" s="1">
        <v>18249.86</v>
      </c>
      <c r="M726">
        <f t="shared" si="77"/>
        <v>17</v>
      </c>
      <c r="N726">
        <f t="shared" si="78"/>
        <v>1073.5211764705882</v>
      </c>
      <c r="O726">
        <f t="shared" si="79"/>
        <v>8883</v>
      </c>
      <c r="P726">
        <f t="shared" si="80"/>
        <v>141.26859827721222</v>
      </c>
      <c r="Q726" t="str">
        <f t="shared" si="81"/>
        <v>Old (12+ years)</v>
      </c>
      <c r="R726" t="str">
        <f t="shared" si="82"/>
        <v>Good</v>
      </c>
      <c r="S726" t="str">
        <f t="shared" si="83"/>
        <v>Very High</v>
      </c>
    </row>
    <row r="727" spans="1:19" x14ac:dyDescent="0.3">
      <c r="A727">
        <v>726</v>
      </c>
      <c r="B727" t="s">
        <v>16</v>
      </c>
      <c r="C727">
        <v>2009</v>
      </c>
      <c r="D727">
        <v>5781</v>
      </c>
      <c r="E727" t="s">
        <v>22</v>
      </c>
      <c r="F727" t="s">
        <v>18</v>
      </c>
      <c r="G727" t="s">
        <v>20</v>
      </c>
      <c r="H727">
        <v>1263</v>
      </c>
      <c r="I727">
        <v>498.9</v>
      </c>
      <c r="J727" s="2">
        <v>24.85</v>
      </c>
      <c r="K727">
        <v>7</v>
      </c>
      <c r="L727" s="1">
        <v>39184.370000000003</v>
      </c>
      <c r="M727">
        <f t="shared" si="77"/>
        <v>15</v>
      </c>
      <c r="N727">
        <f t="shared" si="78"/>
        <v>2612.2913333333336</v>
      </c>
      <c r="O727">
        <f t="shared" si="79"/>
        <v>385.4</v>
      </c>
      <c r="P727">
        <f t="shared" si="80"/>
        <v>395.01187648456056</v>
      </c>
      <c r="Q727" t="str">
        <f t="shared" si="81"/>
        <v>Old (12+ years)</v>
      </c>
      <c r="R727" t="str">
        <f t="shared" si="82"/>
        <v>Good</v>
      </c>
      <c r="S727" t="str">
        <f t="shared" si="83"/>
        <v>Very High</v>
      </c>
    </row>
    <row r="728" spans="1:19" x14ac:dyDescent="0.3">
      <c r="A728">
        <v>727</v>
      </c>
      <c r="B728" t="s">
        <v>19</v>
      </c>
      <c r="C728">
        <v>2009</v>
      </c>
      <c r="D728">
        <v>119586</v>
      </c>
      <c r="E728" t="s">
        <v>26</v>
      </c>
      <c r="F728" t="s">
        <v>18</v>
      </c>
      <c r="G728" t="s">
        <v>20</v>
      </c>
      <c r="H728">
        <v>1766</v>
      </c>
      <c r="I728">
        <v>223</v>
      </c>
      <c r="J728" s="2">
        <v>17.36</v>
      </c>
      <c r="K728">
        <v>5</v>
      </c>
      <c r="L728" s="1">
        <v>16674.810000000001</v>
      </c>
      <c r="M728">
        <f t="shared" si="77"/>
        <v>15</v>
      </c>
      <c r="N728">
        <f t="shared" si="78"/>
        <v>1111.654</v>
      </c>
      <c r="O728">
        <f t="shared" si="79"/>
        <v>7972.4</v>
      </c>
      <c r="P728">
        <f t="shared" si="80"/>
        <v>126.27406568516422</v>
      </c>
      <c r="Q728" t="str">
        <f t="shared" si="81"/>
        <v>Old (12+ years)</v>
      </c>
      <c r="R728" t="str">
        <f t="shared" si="82"/>
        <v>Average</v>
      </c>
      <c r="S728" t="str">
        <f t="shared" si="83"/>
        <v>Very High</v>
      </c>
    </row>
    <row r="729" spans="1:19" x14ac:dyDescent="0.3">
      <c r="A729">
        <v>728</v>
      </c>
      <c r="B729" t="s">
        <v>21</v>
      </c>
      <c r="C729">
        <v>2005</v>
      </c>
      <c r="D729">
        <v>192772</v>
      </c>
      <c r="E729" t="s">
        <v>26</v>
      </c>
      <c r="F729" t="s">
        <v>14</v>
      </c>
      <c r="G729" t="s">
        <v>15</v>
      </c>
      <c r="H729">
        <v>3958</v>
      </c>
      <c r="I729">
        <v>235.8</v>
      </c>
      <c r="J729" s="2">
        <v>27.37</v>
      </c>
      <c r="K729">
        <v>7</v>
      </c>
      <c r="L729" s="1">
        <v>118345.44</v>
      </c>
      <c r="M729">
        <f t="shared" si="77"/>
        <v>19</v>
      </c>
      <c r="N729">
        <f t="shared" si="78"/>
        <v>6228.7073684210527</v>
      </c>
      <c r="O729">
        <f t="shared" si="79"/>
        <v>10145.894736842105</v>
      </c>
      <c r="P729">
        <f t="shared" si="80"/>
        <v>59.575543203638205</v>
      </c>
      <c r="Q729" t="str">
        <f t="shared" si="81"/>
        <v>Old (12+ years)</v>
      </c>
      <c r="R729" t="str">
        <f t="shared" si="82"/>
        <v>Excellent</v>
      </c>
      <c r="S729" t="str">
        <f t="shared" si="83"/>
        <v>Very High</v>
      </c>
    </row>
    <row r="730" spans="1:19" x14ac:dyDescent="0.3">
      <c r="A730">
        <v>729</v>
      </c>
      <c r="B730" t="s">
        <v>28</v>
      </c>
      <c r="C730">
        <v>2012</v>
      </c>
      <c r="D730">
        <v>32624</v>
      </c>
      <c r="E730" t="s">
        <v>22</v>
      </c>
      <c r="F730" t="s">
        <v>18</v>
      </c>
      <c r="G730" t="s">
        <v>23</v>
      </c>
      <c r="H730">
        <v>4424</v>
      </c>
      <c r="I730">
        <v>374</v>
      </c>
      <c r="J730" s="2">
        <v>11.69</v>
      </c>
      <c r="K730">
        <v>6</v>
      </c>
      <c r="L730" s="1">
        <v>39110.019999999997</v>
      </c>
      <c r="M730">
        <f t="shared" si="77"/>
        <v>12</v>
      </c>
      <c r="N730">
        <f t="shared" si="78"/>
        <v>3259.1683333333331</v>
      </c>
      <c r="O730">
        <f t="shared" si="79"/>
        <v>2718.6666666666665</v>
      </c>
      <c r="P730">
        <f t="shared" si="80"/>
        <v>84.538878842676297</v>
      </c>
      <c r="Q730" t="str">
        <f t="shared" si="81"/>
        <v>Mature (8-12 years)</v>
      </c>
      <c r="R730" t="str">
        <f t="shared" si="82"/>
        <v>Low</v>
      </c>
      <c r="S730" t="str">
        <f t="shared" si="83"/>
        <v>Very High</v>
      </c>
    </row>
    <row r="731" spans="1:19" x14ac:dyDescent="0.3">
      <c r="A731">
        <v>730</v>
      </c>
      <c r="B731" t="s">
        <v>27</v>
      </c>
      <c r="C731">
        <v>2016</v>
      </c>
      <c r="D731">
        <v>11823</v>
      </c>
      <c r="E731" t="s">
        <v>26</v>
      </c>
      <c r="F731" t="s">
        <v>14</v>
      </c>
      <c r="G731" t="s">
        <v>15</v>
      </c>
      <c r="H731">
        <v>1489</v>
      </c>
      <c r="I731">
        <v>193.6</v>
      </c>
      <c r="J731" s="2">
        <v>15.26</v>
      </c>
      <c r="K731">
        <v>7</v>
      </c>
      <c r="L731" s="1">
        <v>18247.900000000001</v>
      </c>
      <c r="M731">
        <f t="shared" si="77"/>
        <v>8</v>
      </c>
      <c r="N731">
        <f t="shared" si="78"/>
        <v>2280.9875000000002</v>
      </c>
      <c r="O731">
        <f t="shared" si="79"/>
        <v>1477.875</v>
      </c>
      <c r="P731">
        <f t="shared" si="80"/>
        <v>130.02014775016789</v>
      </c>
      <c r="Q731" t="str">
        <f t="shared" si="81"/>
        <v>Mature (8-12 years)</v>
      </c>
      <c r="R731" t="str">
        <f t="shared" si="82"/>
        <v>Average</v>
      </c>
      <c r="S731" t="str">
        <f t="shared" si="83"/>
        <v>High</v>
      </c>
    </row>
    <row r="732" spans="1:19" x14ac:dyDescent="0.3">
      <c r="A732">
        <v>731</v>
      </c>
      <c r="B732" t="s">
        <v>21</v>
      </c>
      <c r="C732">
        <v>2008</v>
      </c>
      <c r="D732">
        <v>23489</v>
      </c>
      <c r="E732" t="s">
        <v>13</v>
      </c>
      <c r="F732" t="s">
        <v>14</v>
      </c>
      <c r="G732" t="s">
        <v>23</v>
      </c>
      <c r="H732">
        <v>3422</v>
      </c>
      <c r="I732">
        <v>54.9</v>
      </c>
      <c r="J732" s="2">
        <v>27.46</v>
      </c>
      <c r="K732">
        <v>7</v>
      </c>
      <c r="L732" s="1">
        <v>26292.63</v>
      </c>
      <c r="M732">
        <f t="shared" si="77"/>
        <v>16</v>
      </c>
      <c r="N732">
        <f t="shared" si="78"/>
        <v>1643.2893750000001</v>
      </c>
      <c r="O732">
        <f t="shared" si="79"/>
        <v>1468.0625</v>
      </c>
      <c r="P732">
        <f t="shared" si="80"/>
        <v>16.043249561659845</v>
      </c>
      <c r="Q732" t="str">
        <f t="shared" si="81"/>
        <v>Old (12+ years)</v>
      </c>
      <c r="R732" t="str">
        <f t="shared" si="82"/>
        <v>Excellent</v>
      </c>
      <c r="S732" t="str">
        <f t="shared" si="83"/>
        <v>Low</v>
      </c>
    </row>
    <row r="733" spans="1:19" x14ac:dyDescent="0.3">
      <c r="A733">
        <v>732</v>
      </c>
      <c r="B733" t="s">
        <v>28</v>
      </c>
      <c r="C733">
        <v>2017</v>
      </c>
      <c r="D733">
        <v>176033</v>
      </c>
      <c r="E733" t="s">
        <v>17</v>
      </c>
      <c r="F733" t="s">
        <v>14</v>
      </c>
      <c r="G733" t="s">
        <v>23</v>
      </c>
      <c r="H733">
        <v>3012</v>
      </c>
      <c r="I733">
        <v>451.7</v>
      </c>
      <c r="J733" s="2">
        <v>27.41</v>
      </c>
      <c r="K733">
        <v>6</v>
      </c>
      <c r="L733" s="1">
        <v>71761.279999999999</v>
      </c>
      <c r="M733">
        <f t="shared" si="77"/>
        <v>7</v>
      </c>
      <c r="N733">
        <f t="shared" si="78"/>
        <v>10251.611428571428</v>
      </c>
      <c r="O733">
        <f t="shared" si="79"/>
        <v>25147.571428571428</v>
      </c>
      <c r="P733">
        <f t="shared" si="80"/>
        <v>149.96679946879149</v>
      </c>
      <c r="Q733" t="str">
        <f t="shared" si="81"/>
        <v>Recent (4-7 years)</v>
      </c>
      <c r="R733" t="str">
        <f t="shared" si="82"/>
        <v>Excellent</v>
      </c>
      <c r="S733" t="str">
        <f t="shared" si="83"/>
        <v>Very High</v>
      </c>
    </row>
    <row r="734" spans="1:19" x14ac:dyDescent="0.3">
      <c r="A734">
        <v>733</v>
      </c>
      <c r="B734" t="s">
        <v>25</v>
      </c>
      <c r="C734">
        <v>2019</v>
      </c>
      <c r="D734">
        <v>34118</v>
      </c>
      <c r="E734" t="s">
        <v>17</v>
      </c>
      <c r="F734" t="s">
        <v>18</v>
      </c>
      <c r="G734" t="s">
        <v>20</v>
      </c>
      <c r="H734">
        <v>1182</v>
      </c>
      <c r="I734">
        <v>390.4</v>
      </c>
      <c r="J734" s="2">
        <v>22.14</v>
      </c>
      <c r="K734">
        <v>4</v>
      </c>
      <c r="L734" s="1">
        <v>10493.09</v>
      </c>
      <c r="M734">
        <f t="shared" si="77"/>
        <v>5</v>
      </c>
      <c r="N734">
        <f t="shared" si="78"/>
        <v>2098.6179999999999</v>
      </c>
      <c r="O734">
        <f t="shared" si="79"/>
        <v>6823.6</v>
      </c>
      <c r="P734">
        <f t="shared" si="80"/>
        <v>330.28764805414551</v>
      </c>
      <c r="Q734" t="str">
        <f t="shared" si="81"/>
        <v>Recent (4-7 years)</v>
      </c>
      <c r="R734" t="str">
        <f t="shared" si="82"/>
        <v>Good</v>
      </c>
      <c r="S734" t="str">
        <f t="shared" si="83"/>
        <v>Very High</v>
      </c>
    </row>
    <row r="735" spans="1:19" x14ac:dyDescent="0.3">
      <c r="A735">
        <v>734</v>
      </c>
      <c r="B735" t="s">
        <v>30</v>
      </c>
      <c r="C735">
        <v>2015</v>
      </c>
      <c r="D735">
        <v>105417</v>
      </c>
      <c r="E735" t="s">
        <v>17</v>
      </c>
      <c r="F735" t="s">
        <v>14</v>
      </c>
      <c r="G735" t="s">
        <v>23</v>
      </c>
      <c r="H735">
        <v>3056</v>
      </c>
      <c r="I735">
        <v>365.2</v>
      </c>
      <c r="J735" s="2">
        <v>26.47</v>
      </c>
      <c r="K735">
        <v>7</v>
      </c>
      <c r="L735" s="1">
        <v>103904.79</v>
      </c>
      <c r="M735">
        <f t="shared" si="77"/>
        <v>9</v>
      </c>
      <c r="N735">
        <f t="shared" si="78"/>
        <v>11544.976666666666</v>
      </c>
      <c r="O735">
        <f t="shared" si="79"/>
        <v>11713</v>
      </c>
      <c r="P735">
        <f t="shared" si="80"/>
        <v>119.50261780104711</v>
      </c>
      <c r="Q735" t="str">
        <f t="shared" si="81"/>
        <v>Mature (8-12 years)</v>
      </c>
      <c r="R735" t="str">
        <f t="shared" si="82"/>
        <v>Excellent</v>
      </c>
      <c r="S735" t="str">
        <f t="shared" si="83"/>
        <v>Very High</v>
      </c>
    </row>
    <row r="736" spans="1:19" x14ac:dyDescent="0.3">
      <c r="A736">
        <v>735</v>
      </c>
      <c r="B736" t="s">
        <v>12</v>
      </c>
      <c r="C736">
        <v>2014</v>
      </c>
      <c r="D736">
        <v>86816</v>
      </c>
      <c r="E736" t="s">
        <v>13</v>
      </c>
      <c r="F736" t="s">
        <v>14</v>
      </c>
      <c r="G736" t="s">
        <v>15</v>
      </c>
      <c r="H736">
        <v>4610</v>
      </c>
      <c r="I736">
        <v>455.3</v>
      </c>
      <c r="J736" s="2">
        <v>7.22</v>
      </c>
      <c r="K736">
        <v>2</v>
      </c>
      <c r="L736" s="1">
        <v>115495.46</v>
      </c>
      <c r="M736">
        <f t="shared" si="77"/>
        <v>10</v>
      </c>
      <c r="N736">
        <f t="shared" si="78"/>
        <v>11549.546</v>
      </c>
      <c r="O736">
        <f t="shared" si="79"/>
        <v>8681.6</v>
      </c>
      <c r="P736">
        <f t="shared" si="80"/>
        <v>98.76355748373102</v>
      </c>
      <c r="Q736" t="str">
        <f t="shared" si="81"/>
        <v>Mature (8-12 years)</v>
      </c>
      <c r="R736" t="str">
        <f t="shared" si="82"/>
        <v>Low</v>
      </c>
      <c r="S736" t="str">
        <f t="shared" si="83"/>
        <v>Very High</v>
      </c>
    </row>
    <row r="737" spans="1:19" x14ac:dyDescent="0.3">
      <c r="A737">
        <v>736</v>
      </c>
      <c r="B737" t="s">
        <v>12</v>
      </c>
      <c r="C737">
        <v>2007</v>
      </c>
      <c r="D737">
        <v>158335</v>
      </c>
      <c r="E737" t="s">
        <v>26</v>
      </c>
      <c r="F737" t="s">
        <v>18</v>
      </c>
      <c r="G737" t="s">
        <v>15</v>
      </c>
      <c r="H737">
        <v>4303</v>
      </c>
      <c r="I737">
        <v>418.1</v>
      </c>
      <c r="J737" s="2">
        <v>26.62</v>
      </c>
      <c r="K737">
        <v>7</v>
      </c>
      <c r="L737" s="1">
        <v>31869.45</v>
      </c>
      <c r="M737">
        <f t="shared" si="77"/>
        <v>17</v>
      </c>
      <c r="N737">
        <f t="shared" si="78"/>
        <v>1874.6735294117648</v>
      </c>
      <c r="O737">
        <f t="shared" si="79"/>
        <v>9313.823529411764</v>
      </c>
      <c r="P737">
        <f t="shared" si="80"/>
        <v>97.164768765977229</v>
      </c>
      <c r="Q737" t="str">
        <f t="shared" si="81"/>
        <v>Old (12+ years)</v>
      </c>
      <c r="R737" t="str">
        <f t="shared" si="82"/>
        <v>Excellent</v>
      </c>
      <c r="S737" t="str">
        <f t="shared" si="83"/>
        <v>Very High</v>
      </c>
    </row>
    <row r="738" spans="1:19" x14ac:dyDescent="0.3">
      <c r="A738">
        <v>737</v>
      </c>
      <c r="B738" t="s">
        <v>27</v>
      </c>
      <c r="C738">
        <v>2018</v>
      </c>
      <c r="D738">
        <v>18565</v>
      </c>
      <c r="E738" t="s">
        <v>26</v>
      </c>
      <c r="F738" t="s">
        <v>18</v>
      </c>
      <c r="G738" t="s">
        <v>15</v>
      </c>
      <c r="H738">
        <v>2212</v>
      </c>
      <c r="I738">
        <v>155.30000000000001</v>
      </c>
      <c r="J738" s="2">
        <v>13.02</v>
      </c>
      <c r="K738">
        <v>2</v>
      </c>
      <c r="L738" s="1">
        <v>55661.15</v>
      </c>
      <c r="M738">
        <f t="shared" si="77"/>
        <v>6</v>
      </c>
      <c r="N738">
        <f t="shared" si="78"/>
        <v>9276.8583333333336</v>
      </c>
      <c r="O738">
        <f t="shared" si="79"/>
        <v>3094.1666666666665</v>
      </c>
      <c r="P738">
        <f t="shared" si="80"/>
        <v>70.207956600361669</v>
      </c>
      <c r="Q738" t="str">
        <f t="shared" si="81"/>
        <v>Recent (4-7 years)</v>
      </c>
      <c r="R738" t="str">
        <f t="shared" si="82"/>
        <v>Low</v>
      </c>
      <c r="S738" t="str">
        <f t="shared" si="83"/>
        <v>High</v>
      </c>
    </row>
    <row r="739" spans="1:19" x14ac:dyDescent="0.3">
      <c r="A739">
        <v>738</v>
      </c>
      <c r="B739" t="s">
        <v>19</v>
      </c>
      <c r="C739">
        <v>2020</v>
      </c>
      <c r="D739">
        <v>156426</v>
      </c>
      <c r="E739" t="s">
        <v>22</v>
      </c>
      <c r="F739" t="s">
        <v>18</v>
      </c>
      <c r="G739" t="s">
        <v>23</v>
      </c>
      <c r="H739">
        <v>2383</v>
      </c>
      <c r="I739">
        <v>237.4</v>
      </c>
      <c r="J739" s="2">
        <v>9.4600000000000009</v>
      </c>
      <c r="K739">
        <v>6</v>
      </c>
      <c r="L739" s="1">
        <v>5589.73</v>
      </c>
      <c r="M739">
        <f t="shared" si="77"/>
        <v>4</v>
      </c>
      <c r="N739">
        <f t="shared" si="78"/>
        <v>1397.4324999999999</v>
      </c>
      <c r="O739">
        <f t="shared" si="79"/>
        <v>39106.5</v>
      </c>
      <c r="P739">
        <f t="shared" si="80"/>
        <v>99.622324800671421</v>
      </c>
      <c r="Q739" t="str">
        <f t="shared" si="81"/>
        <v>Recent (4-7 years)</v>
      </c>
      <c r="R739" t="str">
        <f t="shared" si="82"/>
        <v>Low</v>
      </c>
      <c r="S739" t="str">
        <f t="shared" si="83"/>
        <v>Very High</v>
      </c>
    </row>
    <row r="740" spans="1:19" x14ac:dyDescent="0.3">
      <c r="A740">
        <v>739</v>
      </c>
      <c r="B740" t="s">
        <v>16</v>
      </c>
      <c r="C740">
        <v>2014</v>
      </c>
      <c r="D740">
        <v>179023</v>
      </c>
      <c r="E740" t="s">
        <v>26</v>
      </c>
      <c r="F740" t="s">
        <v>14</v>
      </c>
      <c r="G740" t="s">
        <v>15</v>
      </c>
      <c r="H740">
        <v>1171</v>
      </c>
      <c r="I740">
        <v>110.6</v>
      </c>
      <c r="J740" s="2">
        <v>10.98</v>
      </c>
      <c r="K740">
        <v>7</v>
      </c>
      <c r="L740" s="1">
        <v>77963.100000000006</v>
      </c>
      <c r="M740">
        <f t="shared" si="77"/>
        <v>10</v>
      </c>
      <c r="N740">
        <f t="shared" si="78"/>
        <v>7796.31</v>
      </c>
      <c r="O740">
        <f t="shared" si="79"/>
        <v>17902.3</v>
      </c>
      <c r="P740">
        <f t="shared" si="80"/>
        <v>94.449188727583248</v>
      </c>
      <c r="Q740" t="str">
        <f t="shared" si="81"/>
        <v>Mature (8-12 years)</v>
      </c>
      <c r="R740" t="str">
        <f t="shared" si="82"/>
        <v>Low</v>
      </c>
      <c r="S740" t="str">
        <f t="shared" si="83"/>
        <v>Medium</v>
      </c>
    </row>
    <row r="741" spans="1:19" x14ac:dyDescent="0.3">
      <c r="A741">
        <v>740</v>
      </c>
      <c r="B741" t="s">
        <v>19</v>
      </c>
      <c r="C741">
        <v>2014</v>
      </c>
      <c r="D741">
        <v>96179</v>
      </c>
      <c r="E741" t="s">
        <v>22</v>
      </c>
      <c r="F741" t="s">
        <v>14</v>
      </c>
      <c r="G741" t="s">
        <v>23</v>
      </c>
      <c r="H741">
        <v>1410</v>
      </c>
      <c r="I741">
        <v>112.7</v>
      </c>
      <c r="J741" s="2">
        <v>15.45</v>
      </c>
      <c r="K741">
        <v>6</v>
      </c>
      <c r="L741" s="1">
        <v>51429.35</v>
      </c>
      <c r="M741">
        <f t="shared" si="77"/>
        <v>10</v>
      </c>
      <c r="N741">
        <f t="shared" si="78"/>
        <v>5142.9349999999995</v>
      </c>
      <c r="O741">
        <f t="shared" si="79"/>
        <v>9617.9</v>
      </c>
      <c r="P741">
        <f t="shared" si="80"/>
        <v>79.929078014184398</v>
      </c>
      <c r="Q741" t="str">
        <f t="shared" si="81"/>
        <v>Mature (8-12 years)</v>
      </c>
      <c r="R741" t="str">
        <f t="shared" si="82"/>
        <v>Average</v>
      </c>
      <c r="S741" t="str">
        <f t="shared" si="83"/>
        <v>Medium</v>
      </c>
    </row>
    <row r="742" spans="1:19" x14ac:dyDescent="0.3">
      <c r="A742">
        <v>741</v>
      </c>
      <c r="B742" t="s">
        <v>16</v>
      </c>
      <c r="C742">
        <v>2016</v>
      </c>
      <c r="D742">
        <v>28648</v>
      </c>
      <c r="E742" t="s">
        <v>13</v>
      </c>
      <c r="F742" t="s">
        <v>18</v>
      </c>
      <c r="G742" t="s">
        <v>15</v>
      </c>
      <c r="H742">
        <v>915</v>
      </c>
      <c r="I742">
        <v>418.7</v>
      </c>
      <c r="J742" s="2">
        <v>11.28</v>
      </c>
      <c r="K742">
        <v>6</v>
      </c>
      <c r="L742" s="1">
        <v>34596.839999999997</v>
      </c>
      <c r="M742">
        <f t="shared" si="77"/>
        <v>8</v>
      </c>
      <c r="N742">
        <f t="shared" si="78"/>
        <v>4324.6049999999996</v>
      </c>
      <c r="O742">
        <f t="shared" si="79"/>
        <v>3581</v>
      </c>
      <c r="P742">
        <f t="shared" si="80"/>
        <v>457.5956284153005</v>
      </c>
      <c r="Q742" t="str">
        <f t="shared" si="81"/>
        <v>Mature (8-12 years)</v>
      </c>
      <c r="R742" t="str">
        <f t="shared" si="82"/>
        <v>Low</v>
      </c>
      <c r="S742" t="str">
        <f t="shared" si="83"/>
        <v>Very High</v>
      </c>
    </row>
    <row r="743" spans="1:19" x14ac:dyDescent="0.3">
      <c r="A743">
        <v>742</v>
      </c>
      <c r="B743" t="s">
        <v>19</v>
      </c>
      <c r="C743">
        <v>2013</v>
      </c>
      <c r="D743">
        <v>186801</v>
      </c>
      <c r="E743" t="s">
        <v>17</v>
      </c>
      <c r="F743" t="s">
        <v>14</v>
      </c>
      <c r="G743" t="s">
        <v>15</v>
      </c>
      <c r="H743">
        <v>1246</v>
      </c>
      <c r="I743">
        <v>520.79999999999995</v>
      </c>
      <c r="J743" s="2">
        <v>13.01</v>
      </c>
      <c r="K743">
        <v>4</v>
      </c>
      <c r="L743" s="1">
        <v>27199.94</v>
      </c>
      <c r="M743">
        <f t="shared" si="77"/>
        <v>11</v>
      </c>
      <c r="N743">
        <f t="shared" si="78"/>
        <v>2472.721818181818</v>
      </c>
      <c r="O743">
        <f t="shared" si="79"/>
        <v>16981.909090909092</v>
      </c>
      <c r="P743">
        <f t="shared" si="80"/>
        <v>417.97752808988758</v>
      </c>
      <c r="Q743" t="str">
        <f t="shared" si="81"/>
        <v>Mature (8-12 years)</v>
      </c>
      <c r="R743" t="str">
        <f t="shared" si="82"/>
        <v>Low</v>
      </c>
      <c r="S743" t="str">
        <f t="shared" si="83"/>
        <v>Very High</v>
      </c>
    </row>
    <row r="744" spans="1:19" x14ac:dyDescent="0.3">
      <c r="A744">
        <v>743</v>
      </c>
      <c r="B744" t="s">
        <v>30</v>
      </c>
      <c r="C744">
        <v>2005</v>
      </c>
      <c r="D744">
        <v>46971</v>
      </c>
      <c r="E744" t="s">
        <v>17</v>
      </c>
      <c r="F744" t="s">
        <v>18</v>
      </c>
      <c r="G744" t="s">
        <v>23</v>
      </c>
      <c r="H744">
        <v>2191</v>
      </c>
      <c r="I744">
        <v>579.1</v>
      </c>
      <c r="J744" s="2">
        <v>8.3699999999999992</v>
      </c>
      <c r="K744">
        <v>7</v>
      </c>
      <c r="L744" s="1">
        <v>79520.7</v>
      </c>
      <c r="M744">
        <f t="shared" si="77"/>
        <v>19</v>
      </c>
      <c r="N744">
        <f t="shared" si="78"/>
        <v>4185.3</v>
      </c>
      <c r="O744">
        <f t="shared" si="79"/>
        <v>2472.1578947368421</v>
      </c>
      <c r="P744">
        <f t="shared" si="80"/>
        <v>264.30853491556371</v>
      </c>
      <c r="Q744" t="str">
        <f t="shared" si="81"/>
        <v>Old (12+ years)</v>
      </c>
      <c r="R744" t="str">
        <f t="shared" si="82"/>
        <v>Low</v>
      </c>
      <c r="S744" t="str">
        <f t="shared" si="83"/>
        <v>Very High</v>
      </c>
    </row>
    <row r="745" spans="1:19" x14ac:dyDescent="0.3">
      <c r="A745">
        <v>744</v>
      </c>
      <c r="B745" t="s">
        <v>25</v>
      </c>
      <c r="C745">
        <v>2009</v>
      </c>
      <c r="D745">
        <v>23658</v>
      </c>
      <c r="E745" t="s">
        <v>17</v>
      </c>
      <c r="F745" t="s">
        <v>18</v>
      </c>
      <c r="G745" t="s">
        <v>15</v>
      </c>
      <c r="H745">
        <v>4124</v>
      </c>
      <c r="I745">
        <v>391.9</v>
      </c>
      <c r="J745" s="2">
        <v>12.4</v>
      </c>
      <c r="K745">
        <v>2</v>
      </c>
      <c r="L745" s="1">
        <v>51697.39</v>
      </c>
      <c r="M745">
        <f t="shared" si="77"/>
        <v>15</v>
      </c>
      <c r="N745">
        <f t="shared" si="78"/>
        <v>3446.4926666666665</v>
      </c>
      <c r="O745">
        <f t="shared" si="79"/>
        <v>1577.2</v>
      </c>
      <c r="P745">
        <f t="shared" si="80"/>
        <v>95.029097963142576</v>
      </c>
      <c r="Q745" t="str">
        <f t="shared" si="81"/>
        <v>Old (12+ years)</v>
      </c>
      <c r="R745" t="str">
        <f t="shared" si="82"/>
        <v>Low</v>
      </c>
      <c r="S745" t="str">
        <f t="shared" si="83"/>
        <v>Very High</v>
      </c>
    </row>
    <row r="746" spans="1:19" x14ac:dyDescent="0.3">
      <c r="A746">
        <v>745</v>
      </c>
      <c r="B746" t="s">
        <v>25</v>
      </c>
      <c r="C746">
        <v>2024</v>
      </c>
      <c r="D746">
        <v>26253</v>
      </c>
      <c r="E746" t="s">
        <v>26</v>
      </c>
      <c r="F746" t="s">
        <v>14</v>
      </c>
      <c r="G746" t="s">
        <v>20</v>
      </c>
      <c r="H746">
        <v>2140</v>
      </c>
      <c r="I746">
        <v>143.1</v>
      </c>
      <c r="J746" s="2">
        <v>19.309999999999999</v>
      </c>
      <c r="K746">
        <v>2</v>
      </c>
      <c r="L746" s="1">
        <v>24020.14</v>
      </c>
      <c r="M746">
        <f t="shared" si="77"/>
        <v>0</v>
      </c>
      <c r="N746">
        <f t="shared" si="78"/>
        <v>24020.14</v>
      </c>
      <c r="O746">
        <f t="shared" si="79"/>
        <v>26253</v>
      </c>
      <c r="P746">
        <f t="shared" si="80"/>
        <v>66.869158878504663</v>
      </c>
      <c r="Q746" t="str">
        <f t="shared" si="81"/>
        <v>New (0-3 years)</v>
      </c>
      <c r="R746" t="str">
        <f t="shared" si="82"/>
        <v>Average</v>
      </c>
      <c r="S746" t="str">
        <f t="shared" si="83"/>
        <v>Medium</v>
      </c>
    </row>
    <row r="747" spans="1:19" x14ac:dyDescent="0.3">
      <c r="A747">
        <v>746</v>
      </c>
      <c r="B747" t="s">
        <v>28</v>
      </c>
      <c r="C747">
        <v>2012</v>
      </c>
      <c r="D747">
        <v>184635</v>
      </c>
      <c r="E747" t="s">
        <v>22</v>
      </c>
      <c r="F747" t="s">
        <v>14</v>
      </c>
      <c r="G747" t="s">
        <v>23</v>
      </c>
      <c r="H747">
        <v>3739</v>
      </c>
      <c r="I747">
        <v>99.2</v>
      </c>
      <c r="J747" s="2">
        <v>16.05</v>
      </c>
      <c r="K747">
        <v>7</v>
      </c>
      <c r="L747" s="1">
        <v>83625.759999999995</v>
      </c>
      <c r="M747">
        <f t="shared" si="77"/>
        <v>12</v>
      </c>
      <c r="N747">
        <f t="shared" si="78"/>
        <v>6968.8133333333326</v>
      </c>
      <c r="O747">
        <f t="shared" si="79"/>
        <v>15386.25</v>
      </c>
      <c r="P747">
        <f t="shared" si="80"/>
        <v>26.531158063653386</v>
      </c>
      <c r="Q747" t="str">
        <f t="shared" si="81"/>
        <v>Mature (8-12 years)</v>
      </c>
      <c r="R747" t="str">
        <f t="shared" si="82"/>
        <v>Average</v>
      </c>
      <c r="S747" t="str">
        <f t="shared" si="83"/>
        <v>Low</v>
      </c>
    </row>
    <row r="748" spans="1:19" x14ac:dyDescent="0.3">
      <c r="A748">
        <v>747</v>
      </c>
      <c r="B748" t="s">
        <v>24</v>
      </c>
      <c r="C748">
        <v>2015</v>
      </c>
      <c r="D748">
        <v>162462</v>
      </c>
      <c r="E748" t="s">
        <v>22</v>
      </c>
      <c r="F748" t="s">
        <v>18</v>
      </c>
      <c r="G748" t="s">
        <v>23</v>
      </c>
      <c r="H748">
        <v>4499</v>
      </c>
      <c r="I748">
        <v>495.2</v>
      </c>
      <c r="J748" s="2">
        <v>13.67</v>
      </c>
      <c r="K748">
        <v>4</v>
      </c>
      <c r="L748" s="1">
        <v>69113.460000000006</v>
      </c>
      <c r="M748">
        <f t="shared" si="77"/>
        <v>9</v>
      </c>
      <c r="N748">
        <f t="shared" si="78"/>
        <v>7679.2733333333344</v>
      </c>
      <c r="O748">
        <f t="shared" si="79"/>
        <v>18051.333333333332</v>
      </c>
      <c r="P748">
        <f t="shared" si="80"/>
        <v>110.06890420093355</v>
      </c>
      <c r="Q748" t="str">
        <f t="shared" si="81"/>
        <v>Mature (8-12 years)</v>
      </c>
      <c r="R748" t="str">
        <f t="shared" si="82"/>
        <v>Low</v>
      </c>
      <c r="S748" t="str">
        <f t="shared" si="83"/>
        <v>Very High</v>
      </c>
    </row>
    <row r="749" spans="1:19" x14ac:dyDescent="0.3">
      <c r="A749">
        <v>748</v>
      </c>
      <c r="B749" t="s">
        <v>25</v>
      </c>
      <c r="C749">
        <v>2016</v>
      </c>
      <c r="D749">
        <v>93664</v>
      </c>
      <c r="E749" t="s">
        <v>13</v>
      </c>
      <c r="F749" t="s">
        <v>18</v>
      </c>
      <c r="G749" t="s">
        <v>23</v>
      </c>
      <c r="H749">
        <v>1873</v>
      </c>
      <c r="I749">
        <v>364.1</v>
      </c>
      <c r="J749" s="2">
        <v>23.66</v>
      </c>
      <c r="K749">
        <v>4</v>
      </c>
      <c r="L749" s="1">
        <v>103464.63</v>
      </c>
      <c r="M749">
        <f t="shared" si="77"/>
        <v>8</v>
      </c>
      <c r="N749">
        <f t="shared" si="78"/>
        <v>12933.078750000001</v>
      </c>
      <c r="O749">
        <f t="shared" si="79"/>
        <v>11708</v>
      </c>
      <c r="P749">
        <f t="shared" si="80"/>
        <v>194.39402028830753</v>
      </c>
      <c r="Q749" t="str">
        <f t="shared" si="81"/>
        <v>Mature (8-12 years)</v>
      </c>
      <c r="R749" t="str">
        <f t="shared" si="82"/>
        <v>Good</v>
      </c>
      <c r="S749" t="str">
        <f t="shared" si="83"/>
        <v>Very High</v>
      </c>
    </row>
    <row r="750" spans="1:19" x14ac:dyDescent="0.3">
      <c r="A750">
        <v>749</v>
      </c>
      <c r="B750" t="s">
        <v>25</v>
      </c>
      <c r="C750">
        <v>2005</v>
      </c>
      <c r="D750">
        <v>187650</v>
      </c>
      <c r="E750" t="s">
        <v>26</v>
      </c>
      <c r="F750" t="s">
        <v>18</v>
      </c>
      <c r="G750" t="s">
        <v>20</v>
      </c>
      <c r="H750">
        <v>4369</v>
      </c>
      <c r="I750">
        <v>386.2</v>
      </c>
      <c r="J750" s="2">
        <v>27.34</v>
      </c>
      <c r="K750">
        <v>4</v>
      </c>
      <c r="L750" s="1">
        <v>16744.68</v>
      </c>
      <c r="M750">
        <f t="shared" si="77"/>
        <v>19</v>
      </c>
      <c r="N750">
        <f t="shared" si="78"/>
        <v>881.29894736842107</v>
      </c>
      <c r="O750">
        <f t="shared" si="79"/>
        <v>9876.3157894736851</v>
      </c>
      <c r="P750">
        <f t="shared" si="80"/>
        <v>88.39551384756237</v>
      </c>
      <c r="Q750" t="str">
        <f t="shared" si="81"/>
        <v>Old (12+ years)</v>
      </c>
      <c r="R750" t="str">
        <f t="shared" si="82"/>
        <v>Excellent</v>
      </c>
      <c r="S750" t="str">
        <f t="shared" si="83"/>
        <v>Very High</v>
      </c>
    </row>
    <row r="751" spans="1:19" x14ac:dyDescent="0.3">
      <c r="A751">
        <v>750</v>
      </c>
      <c r="B751" t="s">
        <v>21</v>
      </c>
      <c r="C751">
        <v>2024</v>
      </c>
      <c r="D751">
        <v>108850</v>
      </c>
      <c r="E751" t="s">
        <v>13</v>
      </c>
      <c r="F751" t="s">
        <v>18</v>
      </c>
      <c r="G751" t="s">
        <v>23</v>
      </c>
      <c r="H751">
        <v>3950</v>
      </c>
      <c r="I751">
        <v>477.6</v>
      </c>
      <c r="J751" s="2">
        <v>23.92</v>
      </c>
      <c r="K751">
        <v>2</v>
      </c>
      <c r="L751" s="1">
        <v>94922.99</v>
      </c>
      <c r="M751">
        <f t="shared" si="77"/>
        <v>0</v>
      </c>
      <c r="N751">
        <f t="shared" si="78"/>
        <v>94922.99</v>
      </c>
      <c r="O751">
        <f t="shared" si="79"/>
        <v>108850</v>
      </c>
      <c r="P751">
        <f t="shared" si="80"/>
        <v>120.9113924050633</v>
      </c>
      <c r="Q751" t="str">
        <f t="shared" si="81"/>
        <v>New (0-3 years)</v>
      </c>
      <c r="R751" t="str">
        <f t="shared" si="82"/>
        <v>Good</v>
      </c>
      <c r="S751" t="str">
        <f t="shared" si="83"/>
        <v>Very High</v>
      </c>
    </row>
    <row r="752" spans="1:19" x14ac:dyDescent="0.3">
      <c r="A752">
        <v>751</v>
      </c>
      <c r="B752" t="s">
        <v>21</v>
      </c>
      <c r="C752">
        <v>2015</v>
      </c>
      <c r="D752">
        <v>168730</v>
      </c>
      <c r="E752" t="s">
        <v>22</v>
      </c>
      <c r="F752" t="s">
        <v>14</v>
      </c>
      <c r="G752" t="s">
        <v>15</v>
      </c>
      <c r="H752">
        <v>2405</v>
      </c>
      <c r="I752">
        <v>433.8</v>
      </c>
      <c r="J752" s="2">
        <v>13.3</v>
      </c>
      <c r="K752">
        <v>6</v>
      </c>
      <c r="L752" s="1">
        <v>81801.460000000006</v>
      </c>
      <c r="M752">
        <f t="shared" si="77"/>
        <v>9</v>
      </c>
      <c r="N752">
        <f t="shared" si="78"/>
        <v>9089.0511111111118</v>
      </c>
      <c r="O752">
        <f t="shared" si="79"/>
        <v>18747.777777777777</v>
      </c>
      <c r="P752">
        <f t="shared" si="80"/>
        <v>180.37422037422039</v>
      </c>
      <c r="Q752" t="str">
        <f t="shared" si="81"/>
        <v>Mature (8-12 years)</v>
      </c>
      <c r="R752" t="str">
        <f t="shared" si="82"/>
        <v>Low</v>
      </c>
      <c r="S752" t="str">
        <f t="shared" si="83"/>
        <v>Very High</v>
      </c>
    </row>
    <row r="753" spans="1:19" x14ac:dyDescent="0.3">
      <c r="A753">
        <v>752</v>
      </c>
      <c r="B753" t="s">
        <v>28</v>
      </c>
      <c r="C753">
        <v>2009</v>
      </c>
      <c r="D753">
        <v>142924</v>
      </c>
      <c r="E753" t="s">
        <v>22</v>
      </c>
      <c r="F753" t="s">
        <v>18</v>
      </c>
      <c r="G753" t="s">
        <v>15</v>
      </c>
      <c r="H753">
        <v>3094</v>
      </c>
      <c r="I753">
        <v>507.3</v>
      </c>
      <c r="J753" s="2">
        <v>23.61</v>
      </c>
      <c r="K753">
        <v>4</v>
      </c>
      <c r="L753" s="1">
        <v>16456.28</v>
      </c>
      <c r="M753">
        <f t="shared" si="77"/>
        <v>15</v>
      </c>
      <c r="N753">
        <f t="shared" si="78"/>
        <v>1097.0853333333332</v>
      </c>
      <c r="O753">
        <f t="shared" si="79"/>
        <v>9528.2666666666664</v>
      </c>
      <c r="P753">
        <f t="shared" si="80"/>
        <v>163.96250808015515</v>
      </c>
      <c r="Q753" t="str">
        <f t="shared" si="81"/>
        <v>Old (12+ years)</v>
      </c>
      <c r="R753" t="str">
        <f t="shared" si="82"/>
        <v>Good</v>
      </c>
      <c r="S753" t="str">
        <f t="shared" si="83"/>
        <v>Very High</v>
      </c>
    </row>
    <row r="754" spans="1:19" x14ac:dyDescent="0.3">
      <c r="A754">
        <v>753</v>
      </c>
      <c r="B754" t="s">
        <v>24</v>
      </c>
      <c r="C754">
        <v>2019</v>
      </c>
      <c r="D754">
        <v>138623</v>
      </c>
      <c r="E754" t="s">
        <v>17</v>
      </c>
      <c r="F754" t="s">
        <v>18</v>
      </c>
      <c r="G754" t="s">
        <v>15</v>
      </c>
      <c r="H754">
        <v>4462</v>
      </c>
      <c r="I754">
        <v>71.5</v>
      </c>
      <c r="J754" s="2">
        <v>8.8000000000000007</v>
      </c>
      <c r="K754">
        <v>2</v>
      </c>
      <c r="L754" s="1">
        <v>84294.03</v>
      </c>
      <c r="M754">
        <f t="shared" si="77"/>
        <v>5</v>
      </c>
      <c r="N754">
        <f t="shared" si="78"/>
        <v>16858.806</v>
      </c>
      <c r="O754">
        <f t="shared" si="79"/>
        <v>27724.6</v>
      </c>
      <c r="P754">
        <f t="shared" si="80"/>
        <v>16.024204392649036</v>
      </c>
      <c r="Q754" t="str">
        <f t="shared" si="81"/>
        <v>Recent (4-7 years)</v>
      </c>
      <c r="R754" t="str">
        <f t="shared" si="82"/>
        <v>Low</v>
      </c>
      <c r="S754" t="str">
        <f t="shared" si="83"/>
        <v>Low</v>
      </c>
    </row>
    <row r="755" spans="1:19" x14ac:dyDescent="0.3">
      <c r="A755">
        <v>754</v>
      </c>
      <c r="B755" t="s">
        <v>27</v>
      </c>
      <c r="C755">
        <v>2009</v>
      </c>
      <c r="D755">
        <v>76947</v>
      </c>
      <c r="E755" t="s">
        <v>26</v>
      </c>
      <c r="F755" t="s">
        <v>18</v>
      </c>
      <c r="G755" t="s">
        <v>23</v>
      </c>
      <c r="H755">
        <v>1783</v>
      </c>
      <c r="I755">
        <v>458.6</v>
      </c>
      <c r="J755" s="2">
        <v>8.26</v>
      </c>
      <c r="K755">
        <v>2</v>
      </c>
      <c r="L755" s="1">
        <v>54661.03</v>
      </c>
      <c r="M755">
        <f t="shared" si="77"/>
        <v>15</v>
      </c>
      <c r="N755">
        <f t="shared" si="78"/>
        <v>3644.0686666666666</v>
      </c>
      <c r="O755">
        <f t="shared" si="79"/>
        <v>5129.8</v>
      </c>
      <c r="P755">
        <f t="shared" si="80"/>
        <v>257.20695457094786</v>
      </c>
      <c r="Q755" t="str">
        <f t="shared" si="81"/>
        <v>Old (12+ years)</v>
      </c>
      <c r="R755" t="str">
        <f t="shared" si="82"/>
        <v>Low</v>
      </c>
      <c r="S755" t="str">
        <f t="shared" si="83"/>
        <v>Very High</v>
      </c>
    </row>
    <row r="756" spans="1:19" x14ac:dyDescent="0.3">
      <c r="A756">
        <v>755</v>
      </c>
      <c r="B756" t="s">
        <v>21</v>
      </c>
      <c r="C756">
        <v>2016</v>
      </c>
      <c r="D756">
        <v>66001</v>
      </c>
      <c r="E756" t="s">
        <v>22</v>
      </c>
      <c r="F756" t="s">
        <v>14</v>
      </c>
      <c r="G756" t="s">
        <v>15</v>
      </c>
      <c r="H756">
        <v>1151</v>
      </c>
      <c r="I756">
        <v>516.5</v>
      </c>
      <c r="J756" s="2">
        <v>13.64</v>
      </c>
      <c r="K756">
        <v>6</v>
      </c>
      <c r="L756" s="1">
        <v>113563.22</v>
      </c>
      <c r="M756">
        <f t="shared" si="77"/>
        <v>8</v>
      </c>
      <c r="N756">
        <f t="shared" si="78"/>
        <v>14195.4025</v>
      </c>
      <c r="O756">
        <f t="shared" si="79"/>
        <v>8250.125</v>
      </c>
      <c r="P756">
        <f t="shared" si="80"/>
        <v>448.74022589052998</v>
      </c>
      <c r="Q756" t="str">
        <f t="shared" si="81"/>
        <v>Mature (8-12 years)</v>
      </c>
      <c r="R756" t="str">
        <f t="shared" si="82"/>
        <v>Low</v>
      </c>
      <c r="S756" t="str">
        <f t="shared" si="83"/>
        <v>Very High</v>
      </c>
    </row>
    <row r="757" spans="1:19" x14ac:dyDescent="0.3">
      <c r="A757">
        <v>756</v>
      </c>
      <c r="B757" t="s">
        <v>27</v>
      </c>
      <c r="C757">
        <v>2009</v>
      </c>
      <c r="D757">
        <v>185231</v>
      </c>
      <c r="E757" t="s">
        <v>17</v>
      </c>
      <c r="F757" t="s">
        <v>14</v>
      </c>
      <c r="G757" t="s">
        <v>23</v>
      </c>
      <c r="H757">
        <v>2524</v>
      </c>
      <c r="I757">
        <v>200.2</v>
      </c>
      <c r="J757" s="2">
        <v>25.19</v>
      </c>
      <c r="K757">
        <v>7</v>
      </c>
      <c r="L757" s="1">
        <v>19568.53</v>
      </c>
      <c r="M757">
        <f t="shared" si="77"/>
        <v>15</v>
      </c>
      <c r="N757">
        <f t="shared" si="78"/>
        <v>1304.5686666666666</v>
      </c>
      <c r="O757">
        <f t="shared" si="79"/>
        <v>12348.733333333334</v>
      </c>
      <c r="P757">
        <f t="shared" si="80"/>
        <v>79.318541996830419</v>
      </c>
      <c r="Q757" t="str">
        <f t="shared" si="81"/>
        <v>Old (12+ years)</v>
      </c>
      <c r="R757" t="str">
        <f t="shared" si="82"/>
        <v>Excellent</v>
      </c>
      <c r="S757" t="str">
        <f t="shared" si="83"/>
        <v>Very High</v>
      </c>
    </row>
    <row r="758" spans="1:19" x14ac:dyDescent="0.3">
      <c r="A758">
        <v>757</v>
      </c>
      <c r="B758" t="s">
        <v>29</v>
      </c>
      <c r="C758">
        <v>2021</v>
      </c>
      <c r="D758">
        <v>127775</v>
      </c>
      <c r="E758" t="s">
        <v>26</v>
      </c>
      <c r="F758" t="s">
        <v>18</v>
      </c>
      <c r="G758" t="s">
        <v>15</v>
      </c>
      <c r="H758">
        <v>2751</v>
      </c>
      <c r="I758">
        <v>398.7</v>
      </c>
      <c r="J758" s="2">
        <v>11.16</v>
      </c>
      <c r="K758">
        <v>7</v>
      </c>
      <c r="L758" s="1">
        <v>78211.509999999995</v>
      </c>
      <c r="M758">
        <f t="shared" si="77"/>
        <v>3</v>
      </c>
      <c r="N758">
        <f t="shared" si="78"/>
        <v>26070.50333333333</v>
      </c>
      <c r="O758">
        <f t="shared" si="79"/>
        <v>42591.666666666664</v>
      </c>
      <c r="P758">
        <f t="shared" si="80"/>
        <v>144.92911668484189</v>
      </c>
      <c r="Q758" t="str">
        <f t="shared" si="81"/>
        <v>New (0-3 years)</v>
      </c>
      <c r="R758" t="str">
        <f t="shared" si="82"/>
        <v>Low</v>
      </c>
      <c r="S758" t="str">
        <f t="shared" si="83"/>
        <v>Very High</v>
      </c>
    </row>
    <row r="759" spans="1:19" x14ac:dyDescent="0.3">
      <c r="A759">
        <v>758</v>
      </c>
      <c r="B759" t="s">
        <v>21</v>
      </c>
      <c r="C759">
        <v>2021</v>
      </c>
      <c r="D759">
        <v>187779</v>
      </c>
      <c r="E759" t="s">
        <v>13</v>
      </c>
      <c r="F759" t="s">
        <v>14</v>
      </c>
      <c r="G759" t="s">
        <v>20</v>
      </c>
      <c r="H759">
        <v>2079</v>
      </c>
      <c r="I759">
        <v>215.9</v>
      </c>
      <c r="J759" s="2">
        <v>6.58</v>
      </c>
      <c r="K759">
        <v>4</v>
      </c>
      <c r="L759" s="1">
        <v>47691.67</v>
      </c>
      <c r="M759">
        <f t="shared" si="77"/>
        <v>3</v>
      </c>
      <c r="N759">
        <f t="shared" si="78"/>
        <v>15897.223333333333</v>
      </c>
      <c r="O759">
        <f t="shared" si="79"/>
        <v>62593</v>
      </c>
      <c r="P759">
        <f t="shared" si="80"/>
        <v>103.84800384800384</v>
      </c>
      <c r="Q759" t="str">
        <f t="shared" si="81"/>
        <v>New (0-3 years)</v>
      </c>
      <c r="R759" t="str">
        <f t="shared" si="82"/>
        <v>Low</v>
      </c>
      <c r="S759" t="str">
        <f t="shared" si="83"/>
        <v>Very High</v>
      </c>
    </row>
    <row r="760" spans="1:19" x14ac:dyDescent="0.3">
      <c r="A760">
        <v>759</v>
      </c>
      <c r="B760" t="s">
        <v>30</v>
      </c>
      <c r="C760">
        <v>2016</v>
      </c>
      <c r="D760">
        <v>38243</v>
      </c>
      <c r="E760" t="s">
        <v>26</v>
      </c>
      <c r="F760" t="s">
        <v>14</v>
      </c>
      <c r="G760" t="s">
        <v>20</v>
      </c>
      <c r="H760">
        <v>2707</v>
      </c>
      <c r="I760">
        <v>576.5</v>
      </c>
      <c r="J760" s="2">
        <v>8.2899999999999991</v>
      </c>
      <c r="K760">
        <v>4</v>
      </c>
      <c r="L760" s="1">
        <v>114947.32</v>
      </c>
      <c r="M760">
        <f t="shared" si="77"/>
        <v>8</v>
      </c>
      <c r="N760">
        <f t="shared" si="78"/>
        <v>14368.415000000001</v>
      </c>
      <c r="O760">
        <f t="shared" si="79"/>
        <v>4780.375</v>
      </c>
      <c r="P760">
        <f t="shared" si="80"/>
        <v>212.96638345031403</v>
      </c>
      <c r="Q760" t="str">
        <f t="shared" si="81"/>
        <v>Mature (8-12 years)</v>
      </c>
      <c r="R760" t="str">
        <f t="shared" si="82"/>
        <v>Low</v>
      </c>
      <c r="S760" t="str">
        <f t="shared" si="83"/>
        <v>Very High</v>
      </c>
    </row>
    <row r="761" spans="1:19" x14ac:dyDescent="0.3">
      <c r="A761">
        <v>760</v>
      </c>
      <c r="B761" t="s">
        <v>24</v>
      </c>
      <c r="C761">
        <v>2019</v>
      </c>
      <c r="D761">
        <v>157872</v>
      </c>
      <c r="E761" t="s">
        <v>26</v>
      </c>
      <c r="F761" t="s">
        <v>14</v>
      </c>
      <c r="G761" t="s">
        <v>20</v>
      </c>
      <c r="H761">
        <v>1824</v>
      </c>
      <c r="I761">
        <v>58.7</v>
      </c>
      <c r="J761" s="2">
        <v>26.47</v>
      </c>
      <c r="K761">
        <v>6</v>
      </c>
      <c r="L761" s="1">
        <v>41607.06</v>
      </c>
      <c r="M761">
        <f t="shared" si="77"/>
        <v>5</v>
      </c>
      <c r="N761">
        <f t="shared" si="78"/>
        <v>8321.4120000000003</v>
      </c>
      <c r="O761">
        <f t="shared" si="79"/>
        <v>31574.400000000001</v>
      </c>
      <c r="P761">
        <f t="shared" si="80"/>
        <v>32.182017543859651</v>
      </c>
      <c r="Q761" t="str">
        <f t="shared" si="81"/>
        <v>Recent (4-7 years)</v>
      </c>
      <c r="R761" t="str">
        <f t="shared" si="82"/>
        <v>Excellent</v>
      </c>
      <c r="S761" t="str">
        <f t="shared" si="83"/>
        <v>Low</v>
      </c>
    </row>
    <row r="762" spans="1:19" x14ac:dyDescent="0.3">
      <c r="A762">
        <v>761</v>
      </c>
      <c r="B762" t="s">
        <v>28</v>
      </c>
      <c r="C762">
        <v>2019</v>
      </c>
      <c r="D762">
        <v>80939</v>
      </c>
      <c r="E762" t="s">
        <v>22</v>
      </c>
      <c r="F762" t="s">
        <v>18</v>
      </c>
      <c r="G762" t="s">
        <v>20</v>
      </c>
      <c r="H762">
        <v>1345</v>
      </c>
      <c r="I762">
        <v>364.7</v>
      </c>
      <c r="J762" s="2">
        <v>20.84</v>
      </c>
      <c r="K762">
        <v>4</v>
      </c>
      <c r="L762" s="1">
        <v>115575.75</v>
      </c>
      <c r="M762">
        <f t="shared" si="77"/>
        <v>5</v>
      </c>
      <c r="N762">
        <f t="shared" si="78"/>
        <v>23115.15</v>
      </c>
      <c r="O762">
        <f t="shared" si="79"/>
        <v>16187.8</v>
      </c>
      <c r="P762">
        <f t="shared" si="80"/>
        <v>271.15241635687732</v>
      </c>
      <c r="Q762" t="str">
        <f t="shared" si="81"/>
        <v>Recent (4-7 years)</v>
      </c>
      <c r="R762" t="str">
        <f t="shared" si="82"/>
        <v>Good</v>
      </c>
      <c r="S762" t="str">
        <f t="shared" si="83"/>
        <v>Very High</v>
      </c>
    </row>
    <row r="763" spans="1:19" x14ac:dyDescent="0.3">
      <c r="A763">
        <v>762</v>
      </c>
      <c r="B763" t="s">
        <v>29</v>
      </c>
      <c r="C763">
        <v>2010</v>
      </c>
      <c r="D763">
        <v>62828</v>
      </c>
      <c r="E763" t="s">
        <v>22</v>
      </c>
      <c r="F763" t="s">
        <v>18</v>
      </c>
      <c r="G763" t="s">
        <v>23</v>
      </c>
      <c r="H763">
        <v>4974</v>
      </c>
      <c r="I763">
        <v>133.19999999999999</v>
      </c>
      <c r="J763" s="2">
        <v>11.33</v>
      </c>
      <c r="K763">
        <v>6</v>
      </c>
      <c r="L763" s="1">
        <v>108473.84</v>
      </c>
      <c r="M763">
        <f t="shared" si="77"/>
        <v>14</v>
      </c>
      <c r="N763">
        <f t="shared" si="78"/>
        <v>7748.1314285714279</v>
      </c>
      <c r="O763">
        <f t="shared" si="79"/>
        <v>4487.7142857142853</v>
      </c>
      <c r="P763">
        <f t="shared" si="80"/>
        <v>26.779252110977076</v>
      </c>
      <c r="Q763" t="str">
        <f t="shared" si="81"/>
        <v>Old (12+ years)</v>
      </c>
      <c r="R763" t="str">
        <f t="shared" si="82"/>
        <v>Low</v>
      </c>
      <c r="S763" t="str">
        <f t="shared" si="83"/>
        <v>Medium</v>
      </c>
    </row>
    <row r="764" spans="1:19" x14ac:dyDescent="0.3">
      <c r="A764">
        <v>763</v>
      </c>
      <c r="B764" t="s">
        <v>24</v>
      </c>
      <c r="C764">
        <v>2016</v>
      </c>
      <c r="D764">
        <v>143311</v>
      </c>
      <c r="E764" t="s">
        <v>26</v>
      </c>
      <c r="F764" t="s">
        <v>14</v>
      </c>
      <c r="G764" t="s">
        <v>15</v>
      </c>
      <c r="H764">
        <v>3181</v>
      </c>
      <c r="I764">
        <v>438.8</v>
      </c>
      <c r="J764" s="2">
        <v>18.88</v>
      </c>
      <c r="K764">
        <v>2</v>
      </c>
      <c r="L764" s="1">
        <v>34634.839999999997</v>
      </c>
      <c r="M764">
        <f t="shared" si="77"/>
        <v>8</v>
      </c>
      <c r="N764">
        <f t="shared" si="78"/>
        <v>4329.3549999999996</v>
      </c>
      <c r="O764">
        <f t="shared" si="79"/>
        <v>17913.875</v>
      </c>
      <c r="P764">
        <f t="shared" si="80"/>
        <v>137.94404275385099</v>
      </c>
      <c r="Q764" t="str">
        <f t="shared" si="81"/>
        <v>Mature (8-12 years)</v>
      </c>
      <c r="R764" t="str">
        <f t="shared" si="82"/>
        <v>Average</v>
      </c>
      <c r="S764" t="str">
        <f t="shared" si="83"/>
        <v>Very High</v>
      </c>
    </row>
    <row r="765" spans="1:19" x14ac:dyDescent="0.3">
      <c r="A765">
        <v>764</v>
      </c>
      <c r="B765" t="s">
        <v>30</v>
      </c>
      <c r="C765">
        <v>2024</v>
      </c>
      <c r="D765">
        <v>11710</v>
      </c>
      <c r="E765" t="s">
        <v>22</v>
      </c>
      <c r="F765" t="s">
        <v>18</v>
      </c>
      <c r="G765" t="s">
        <v>20</v>
      </c>
      <c r="H765">
        <v>1688</v>
      </c>
      <c r="I765">
        <v>138.5</v>
      </c>
      <c r="J765" s="2">
        <v>18.190000000000001</v>
      </c>
      <c r="K765">
        <v>4</v>
      </c>
      <c r="L765" s="1">
        <v>97014.39</v>
      </c>
      <c r="M765">
        <f t="shared" si="77"/>
        <v>0</v>
      </c>
      <c r="N765">
        <f t="shared" si="78"/>
        <v>97014.39</v>
      </c>
      <c r="O765">
        <f t="shared" si="79"/>
        <v>11710</v>
      </c>
      <c r="P765">
        <f t="shared" si="80"/>
        <v>82.049763033175353</v>
      </c>
      <c r="Q765" t="str">
        <f t="shared" si="81"/>
        <v>New (0-3 years)</v>
      </c>
      <c r="R765" t="str">
        <f t="shared" si="82"/>
        <v>Average</v>
      </c>
      <c r="S765" t="str">
        <f t="shared" si="83"/>
        <v>Medium</v>
      </c>
    </row>
    <row r="766" spans="1:19" x14ac:dyDescent="0.3">
      <c r="A766">
        <v>765</v>
      </c>
      <c r="B766" t="s">
        <v>24</v>
      </c>
      <c r="C766">
        <v>2022</v>
      </c>
      <c r="D766">
        <v>157456</v>
      </c>
      <c r="E766" t="s">
        <v>22</v>
      </c>
      <c r="F766" t="s">
        <v>18</v>
      </c>
      <c r="G766" t="s">
        <v>23</v>
      </c>
      <c r="H766">
        <v>1905</v>
      </c>
      <c r="I766">
        <v>171.8</v>
      </c>
      <c r="J766" s="2">
        <v>21.39</v>
      </c>
      <c r="K766">
        <v>2</v>
      </c>
      <c r="L766" s="1">
        <v>119485.69</v>
      </c>
      <c r="M766">
        <f t="shared" si="77"/>
        <v>2</v>
      </c>
      <c r="N766">
        <f t="shared" si="78"/>
        <v>59742.845000000001</v>
      </c>
      <c r="O766">
        <f t="shared" si="79"/>
        <v>78728</v>
      </c>
      <c r="P766">
        <f t="shared" si="80"/>
        <v>90.183727034120736</v>
      </c>
      <c r="Q766" t="str">
        <f t="shared" si="81"/>
        <v>New (0-3 years)</v>
      </c>
      <c r="R766" t="str">
        <f t="shared" si="82"/>
        <v>Good</v>
      </c>
      <c r="S766" t="str">
        <f t="shared" si="83"/>
        <v>High</v>
      </c>
    </row>
    <row r="767" spans="1:19" x14ac:dyDescent="0.3">
      <c r="A767">
        <v>766</v>
      </c>
      <c r="B767" t="s">
        <v>30</v>
      </c>
      <c r="C767">
        <v>2018</v>
      </c>
      <c r="D767">
        <v>157110</v>
      </c>
      <c r="E767" t="s">
        <v>22</v>
      </c>
      <c r="F767" t="s">
        <v>14</v>
      </c>
      <c r="G767" t="s">
        <v>20</v>
      </c>
      <c r="H767">
        <v>3349</v>
      </c>
      <c r="I767">
        <v>316.8</v>
      </c>
      <c r="J767" s="2">
        <v>10.83</v>
      </c>
      <c r="K767">
        <v>5</v>
      </c>
      <c r="L767" s="1">
        <v>32561.57</v>
      </c>
      <c r="M767">
        <f t="shared" si="77"/>
        <v>6</v>
      </c>
      <c r="N767">
        <f t="shared" si="78"/>
        <v>5426.9283333333333</v>
      </c>
      <c r="O767">
        <f t="shared" si="79"/>
        <v>26185</v>
      </c>
      <c r="P767">
        <f t="shared" si="80"/>
        <v>94.595401612421611</v>
      </c>
      <c r="Q767" t="str">
        <f t="shared" si="81"/>
        <v>Recent (4-7 years)</v>
      </c>
      <c r="R767" t="str">
        <f t="shared" si="82"/>
        <v>Low</v>
      </c>
      <c r="S767" t="str">
        <f t="shared" si="83"/>
        <v>Very High</v>
      </c>
    </row>
    <row r="768" spans="1:19" x14ac:dyDescent="0.3">
      <c r="A768">
        <v>767</v>
      </c>
      <c r="B768" t="s">
        <v>30</v>
      </c>
      <c r="C768">
        <v>2006</v>
      </c>
      <c r="D768">
        <v>176918</v>
      </c>
      <c r="E768" t="s">
        <v>17</v>
      </c>
      <c r="F768" t="s">
        <v>14</v>
      </c>
      <c r="G768" t="s">
        <v>20</v>
      </c>
      <c r="H768">
        <v>2790</v>
      </c>
      <c r="I768">
        <v>552.29999999999995</v>
      </c>
      <c r="J768" s="2">
        <v>26.61</v>
      </c>
      <c r="K768">
        <v>6</v>
      </c>
      <c r="L768" s="1">
        <v>54102.93</v>
      </c>
      <c r="M768">
        <f t="shared" si="77"/>
        <v>18</v>
      </c>
      <c r="N768">
        <f t="shared" si="78"/>
        <v>3005.7183333333332</v>
      </c>
      <c r="O768">
        <f t="shared" si="79"/>
        <v>9828.7777777777774</v>
      </c>
      <c r="P768">
        <f t="shared" si="80"/>
        <v>197.95698924731181</v>
      </c>
      <c r="Q768" t="str">
        <f t="shared" si="81"/>
        <v>Old (12+ years)</v>
      </c>
      <c r="R768" t="str">
        <f t="shared" si="82"/>
        <v>Excellent</v>
      </c>
      <c r="S768" t="str">
        <f t="shared" si="83"/>
        <v>Very High</v>
      </c>
    </row>
    <row r="769" spans="1:19" x14ac:dyDescent="0.3">
      <c r="A769">
        <v>768</v>
      </c>
      <c r="B769" t="s">
        <v>27</v>
      </c>
      <c r="C769">
        <v>2013</v>
      </c>
      <c r="D769">
        <v>42991</v>
      </c>
      <c r="E769" t="s">
        <v>17</v>
      </c>
      <c r="F769" t="s">
        <v>18</v>
      </c>
      <c r="G769" t="s">
        <v>23</v>
      </c>
      <c r="H769">
        <v>4798</v>
      </c>
      <c r="I769">
        <v>158.6</v>
      </c>
      <c r="J769" s="2">
        <v>12.73</v>
      </c>
      <c r="K769">
        <v>5</v>
      </c>
      <c r="L769" s="1">
        <v>63861.15</v>
      </c>
      <c r="M769">
        <f t="shared" si="77"/>
        <v>11</v>
      </c>
      <c r="N769">
        <f t="shared" si="78"/>
        <v>5805.5590909090906</v>
      </c>
      <c r="O769">
        <f t="shared" si="79"/>
        <v>3908.2727272727275</v>
      </c>
      <c r="P769">
        <f t="shared" si="80"/>
        <v>33.0554397665694</v>
      </c>
      <c r="Q769" t="str">
        <f t="shared" si="81"/>
        <v>Mature (8-12 years)</v>
      </c>
      <c r="R769" t="str">
        <f t="shared" si="82"/>
        <v>Low</v>
      </c>
      <c r="S769" t="str">
        <f t="shared" si="83"/>
        <v>High</v>
      </c>
    </row>
    <row r="770" spans="1:19" x14ac:dyDescent="0.3">
      <c r="A770">
        <v>769</v>
      </c>
      <c r="B770" t="s">
        <v>19</v>
      </c>
      <c r="C770">
        <v>2009</v>
      </c>
      <c r="D770">
        <v>143043</v>
      </c>
      <c r="E770" t="s">
        <v>26</v>
      </c>
      <c r="F770" t="s">
        <v>14</v>
      </c>
      <c r="G770" t="s">
        <v>23</v>
      </c>
      <c r="H770">
        <v>4575</v>
      </c>
      <c r="I770">
        <v>120.8</v>
      </c>
      <c r="J770" s="2">
        <v>22.35</v>
      </c>
      <c r="K770">
        <v>4</v>
      </c>
      <c r="L770" s="1">
        <v>37506.94</v>
      </c>
      <c r="M770">
        <f t="shared" si="77"/>
        <v>15</v>
      </c>
      <c r="N770">
        <f t="shared" si="78"/>
        <v>2500.4626666666668</v>
      </c>
      <c r="O770">
        <f t="shared" si="79"/>
        <v>9536.2000000000007</v>
      </c>
      <c r="P770">
        <f t="shared" si="80"/>
        <v>26.404371584699451</v>
      </c>
      <c r="Q770" t="str">
        <f t="shared" si="81"/>
        <v>Old (12+ years)</v>
      </c>
      <c r="R770" t="str">
        <f t="shared" si="82"/>
        <v>Good</v>
      </c>
      <c r="S770" t="str">
        <f t="shared" si="83"/>
        <v>Medium</v>
      </c>
    </row>
    <row r="771" spans="1:19" x14ac:dyDescent="0.3">
      <c r="A771">
        <v>770</v>
      </c>
      <c r="B771" t="s">
        <v>29</v>
      </c>
      <c r="C771">
        <v>2024</v>
      </c>
      <c r="D771">
        <v>165211</v>
      </c>
      <c r="E771" t="s">
        <v>22</v>
      </c>
      <c r="F771" t="s">
        <v>18</v>
      </c>
      <c r="G771" t="s">
        <v>15</v>
      </c>
      <c r="H771">
        <v>3612</v>
      </c>
      <c r="I771">
        <v>465</v>
      </c>
      <c r="J771" s="2">
        <v>5.4</v>
      </c>
      <c r="K771">
        <v>2</v>
      </c>
      <c r="L771" s="1">
        <v>4785.99</v>
      </c>
      <c r="M771">
        <f t="shared" ref="M771:M834" si="84">2024-C771</f>
        <v>0</v>
      </c>
      <c r="N771">
        <f t="shared" ref="N771:N834" si="85">IF(M771&gt;0, L771/M771, L771)</f>
        <v>4785.99</v>
      </c>
      <c r="O771">
        <f t="shared" ref="O771:O834" si="86">IF(M771&gt;0, D771/M771, D771)</f>
        <v>165211</v>
      </c>
      <c r="P771">
        <f t="shared" ref="P771:P834" si="87">IF(H771&gt;0, I771/(H771/1000), 0)</f>
        <v>128.73754152823921</v>
      </c>
      <c r="Q771" t="str">
        <f t="shared" ref="Q771:Q834" si="88">IF(M771&lt;=3, "New (0-3 years)",
   IF(M771&lt;=7, "Recent (4-7 years)",
   IF(M771&lt;=12, "Mature (8-12 years)",
   "Old (12+ years)")))</f>
        <v>New (0-3 years)</v>
      </c>
      <c r="R771" t="str">
        <f t="shared" ref="R771:R834" si="89">IF(J771&gt;=25, "Excellent",
   IF(J771&gt;=20, "Good",
   IF(J771&gt;=15, "Average",
   "Low")))</f>
        <v>Low</v>
      </c>
      <c r="S771" t="str">
        <f t="shared" ref="S771:S834" si="90">IF(I771&gt;=200, "Very High",
   IF(I771&gt;=150, "High",
   IF(I771&gt;=100, "Medium",
   "Low")))</f>
        <v>Very High</v>
      </c>
    </row>
    <row r="772" spans="1:19" x14ac:dyDescent="0.3">
      <c r="A772">
        <v>771</v>
      </c>
      <c r="B772" t="s">
        <v>24</v>
      </c>
      <c r="C772">
        <v>2005</v>
      </c>
      <c r="D772">
        <v>90445</v>
      </c>
      <c r="E772" t="s">
        <v>17</v>
      </c>
      <c r="F772" t="s">
        <v>18</v>
      </c>
      <c r="G772" t="s">
        <v>15</v>
      </c>
      <c r="H772">
        <v>1720</v>
      </c>
      <c r="I772">
        <v>320.3</v>
      </c>
      <c r="J772" s="2">
        <v>14.32</v>
      </c>
      <c r="K772">
        <v>4</v>
      </c>
      <c r="L772" s="1">
        <v>28755.119999999999</v>
      </c>
      <c r="M772">
        <f t="shared" si="84"/>
        <v>19</v>
      </c>
      <c r="N772">
        <f t="shared" si="85"/>
        <v>1513.4273684210525</v>
      </c>
      <c r="O772">
        <f t="shared" si="86"/>
        <v>4760.2631578947367</v>
      </c>
      <c r="P772">
        <f t="shared" si="87"/>
        <v>186.22093023255815</v>
      </c>
      <c r="Q772" t="str">
        <f t="shared" si="88"/>
        <v>Old (12+ years)</v>
      </c>
      <c r="R772" t="str">
        <f t="shared" si="89"/>
        <v>Low</v>
      </c>
      <c r="S772" t="str">
        <f t="shared" si="90"/>
        <v>Very High</v>
      </c>
    </row>
    <row r="773" spans="1:19" x14ac:dyDescent="0.3">
      <c r="A773">
        <v>772</v>
      </c>
      <c r="B773" t="s">
        <v>16</v>
      </c>
      <c r="C773">
        <v>2007</v>
      </c>
      <c r="D773">
        <v>85257</v>
      </c>
      <c r="E773" t="s">
        <v>26</v>
      </c>
      <c r="F773" t="s">
        <v>14</v>
      </c>
      <c r="G773" t="s">
        <v>20</v>
      </c>
      <c r="H773">
        <v>2861</v>
      </c>
      <c r="I773">
        <v>550.6</v>
      </c>
      <c r="J773" s="2">
        <v>13.79</v>
      </c>
      <c r="K773">
        <v>5</v>
      </c>
      <c r="L773" s="1">
        <v>35986.620000000003</v>
      </c>
      <c r="M773">
        <f t="shared" si="84"/>
        <v>17</v>
      </c>
      <c r="N773">
        <f t="shared" si="85"/>
        <v>2116.86</v>
      </c>
      <c r="O773">
        <f t="shared" si="86"/>
        <v>5015.1176470588234</v>
      </c>
      <c r="P773">
        <f t="shared" si="87"/>
        <v>192.45019224047536</v>
      </c>
      <c r="Q773" t="str">
        <f t="shared" si="88"/>
        <v>Old (12+ years)</v>
      </c>
      <c r="R773" t="str">
        <f t="shared" si="89"/>
        <v>Low</v>
      </c>
      <c r="S773" t="str">
        <f t="shared" si="90"/>
        <v>Very High</v>
      </c>
    </row>
    <row r="774" spans="1:19" x14ac:dyDescent="0.3">
      <c r="A774">
        <v>773</v>
      </c>
      <c r="B774" t="s">
        <v>29</v>
      </c>
      <c r="C774">
        <v>2010</v>
      </c>
      <c r="D774">
        <v>42711</v>
      </c>
      <c r="E774" t="s">
        <v>22</v>
      </c>
      <c r="F774" t="s">
        <v>18</v>
      </c>
      <c r="G774" t="s">
        <v>20</v>
      </c>
      <c r="H774">
        <v>4439</v>
      </c>
      <c r="I774">
        <v>122.1</v>
      </c>
      <c r="J774" s="2">
        <v>18.59</v>
      </c>
      <c r="K774">
        <v>4</v>
      </c>
      <c r="L774" s="1">
        <v>54901.17</v>
      </c>
      <c r="M774">
        <f t="shared" si="84"/>
        <v>14</v>
      </c>
      <c r="N774">
        <f t="shared" si="85"/>
        <v>3921.5121428571429</v>
      </c>
      <c r="O774">
        <f t="shared" si="86"/>
        <v>3050.7857142857142</v>
      </c>
      <c r="P774">
        <f t="shared" si="87"/>
        <v>27.506195088984004</v>
      </c>
      <c r="Q774" t="str">
        <f t="shared" si="88"/>
        <v>Old (12+ years)</v>
      </c>
      <c r="R774" t="str">
        <f t="shared" si="89"/>
        <v>Average</v>
      </c>
      <c r="S774" t="str">
        <f t="shared" si="90"/>
        <v>Medium</v>
      </c>
    </row>
    <row r="775" spans="1:19" x14ac:dyDescent="0.3">
      <c r="A775">
        <v>774</v>
      </c>
      <c r="B775" t="s">
        <v>19</v>
      </c>
      <c r="C775">
        <v>2009</v>
      </c>
      <c r="D775">
        <v>11530</v>
      </c>
      <c r="E775" t="s">
        <v>13</v>
      </c>
      <c r="F775" t="s">
        <v>18</v>
      </c>
      <c r="G775" t="s">
        <v>15</v>
      </c>
      <c r="H775">
        <v>3965</v>
      </c>
      <c r="I775">
        <v>401.7</v>
      </c>
      <c r="J775" s="2">
        <v>6.82</v>
      </c>
      <c r="K775">
        <v>7</v>
      </c>
      <c r="L775" s="1">
        <v>23018.99</v>
      </c>
      <c r="M775">
        <f t="shared" si="84"/>
        <v>15</v>
      </c>
      <c r="N775">
        <f t="shared" si="85"/>
        <v>1534.5993333333333</v>
      </c>
      <c r="O775">
        <f t="shared" si="86"/>
        <v>768.66666666666663</v>
      </c>
      <c r="P775">
        <f t="shared" si="87"/>
        <v>101.31147540983606</v>
      </c>
      <c r="Q775" t="str">
        <f t="shared" si="88"/>
        <v>Old (12+ years)</v>
      </c>
      <c r="R775" t="str">
        <f t="shared" si="89"/>
        <v>Low</v>
      </c>
      <c r="S775" t="str">
        <f t="shared" si="90"/>
        <v>Very High</v>
      </c>
    </row>
    <row r="776" spans="1:19" x14ac:dyDescent="0.3">
      <c r="A776">
        <v>775</v>
      </c>
      <c r="B776" t="s">
        <v>29</v>
      </c>
      <c r="C776">
        <v>2009</v>
      </c>
      <c r="D776">
        <v>16116</v>
      </c>
      <c r="E776" t="s">
        <v>22</v>
      </c>
      <c r="F776" t="s">
        <v>14</v>
      </c>
      <c r="G776" t="s">
        <v>15</v>
      </c>
      <c r="H776">
        <v>3444</v>
      </c>
      <c r="I776">
        <v>170.4</v>
      </c>
      <c r="J776" s="2">
        <v>24.75</v>
      </c>
      <c r="K776">
        <v>5</v>
      </c>
      <c r="L776" s="1">
        <v>105170.76</v>
      </c>
      <c r="M776">
        <f t="shared" si="84"/>
        <v>15</v>
      </c>
      <c r="N776">
        <f t="shared" si="85"/>
        <v>7011.384</v>
      </c>
      <c r="O776">
        <f t="shared" si="86"/>
        <v>1074.4000000000001</v>
      </c>
      <c r="P776">
        <f t="shared" si="87"/>
        <v>49.477351916376307</v>
      </c>
      <c r="Q776" t="str">
        <f t="shared" si="88"/>
        <v>Old (12+ years)</v>
      </c>
      <c r="R776" t="str">
        <f t="shared" si="89"/>
        <v>Good</v>
      </c>
      <c r="S776" t="str">
        <f t="shared" si="90"/>
        <v>High</v>
      </c>
    </row>
    <row r="777" spans="1:19" x14ac:dyDescent="0.3">
      <c r="A777">
        <v>776</v>
      </c>
      <c r="B777" t="s">
        <v>25</v>
      </c>
      <c r="C777">
        <v>2005</v>
      </c>
      <c r="D777">
        <v>70794</v>
      </c>
      <c r="E777" t="s">
        <v>22</v>
      </c>
      <c r="F777" t="s">
        <v>14</v>
      </c>
      <c r="G777" t="s">
        <v>23</v>
      </c>
      <c r="H777">
        <v>1845</v>
      </c>
      <c r="I777">
        <v>127.8</v>
      </c>
      <c r="J777" s="2">
        <v>10.44</v>
      </c>
      <c r="K777">
        <v>4</v>
      </c>
      <c r="L777" s="1">
        <v>85474.6</v>
      </c>
      <c r="M777">
        <f t="shared" si="84"/>
        <v>19</v>
      </c>
      <c r="N777">
        <f t="shared" si="85"/>
        <v>4498.6631578947372</v>
      </c>
      <c r="O777">
        <f t="shared" si="86"/>
        <v>3726</v>
      </c>
      <c r="P777">
        <f t="shared" si="87"/>
        <v>69.268292682926827</v>
      </c>
      <c r="Q777" t="str">
        <f t="shared" si="88"/>
        <v>Old (12+ years)</v>
      </c>
      <c r="R777" t="str">
        <f t="shared" si="89"/>
        <v>Low</v>
      </c>
      <c r="S777" t="str">
        <f t="shared" si="90"/>
        <v>Medium</v>
      </c>
    </row>
    <row r="778" spans="1:19" x14ac:dyDescent="0.3">
      <c r="A778">
        <v>777</v>
      </c>
      <c r="B778" t="s">
        <v>16</v>
      </c>
      <c r="C778">
        <v>2021</v>
      </c>
      <c r="D778">
        <v>136354</v>
      </c>
      <c r="E778" t="s">
        <v>17</v>
      </c>
      <c r="F778" t="s">
        <v>14</v>
      </c>
      <c r="G778" t="s">
        <v>15</v>
      </c>
      <c r="H778">
        <v>4356</v>
      </c>
      <c r="I778">
        <v>422.7</v>
      </c>
      <c r="J778" s="2">
        <v>21.93</v>
      </c>
      <c r="K778">
        <v>2</v>
      </c>
      <c r="L778" s="1">
        <v>12968.46</v>
      </c>
      <c r="M778">
        <f t="shared" si="84"/>
        <v>3</v>
      </c>
      <c r="N778">
        <f t="shared" si="85"/>
        <v>4322.82</v>
      </c>
      <c r="O778">
        <f t="shared" si="86"/>
        <v>45451.333333333336</v>
      </c>
      <c r="P778">
        <f t="shared" si="87"/>
        <v>97.03856749311295</v>
      </c>
      <c r="Q778" t="str">
        <f t="shared" si="88"/>
        <v>New (0-3 years)</v>
      </c>
      <c r="R778" t="str">
        <f t="shared" si="89"/>
        <v>Good</v>
      </c>
      <c r="S778" t="str">
        <f t="shared" si="90"/>
        <v>Very High</v>
      </c>
    </row>
    <row r="779" spans="1:19" x14ac:dyDescent="0.3">
      <c r="A779">
        <v>778</v>
      </c>
      <c r="B779" t="s">
        <v>19</v>
      </c>
      <c r="C779">
        <v>2023</v>
      </c>
      <c r="D779">
        <v>137970</v>
      </c>
      <c r="E779" t="s">
        <v>26</v>
      </c>
      <c r="F779" t="s">
        <v>18</v>
      </c>
      <c r="G779" t="s">
        <v>15</v>
      </c>
      <c r="H779">
        <v>3481</v>
      </c>
      <c r="I779">
        <v>372.5</v>
      </c>
      <c r="J779" s="2">
        <v>25.08</v>
      </c>
      <c r="K779">
        <v>4</v>
      </c>
      <c r="L779" s="1">
        <v>79060.820000000007</v>
      </c>
      <c r="M779">
        <f t="shared" si="84"/>
        <v>1</v>
      </c>
      <c r="N779">
        <f t="shared" si="85"/>
        <v>79060.820000000007</v>
      </c>
      <c r="O779">
        <f t="shared" si="86"/>
        <v>137970</v>
      </c>
      <c r="P779">
        <f t="shared" si="87"/>
        <v>107.00948003447286</v>
      </c>
      <c r="Q779" t="str">
        <f t="shared" si="88"/>
        <v>New (0-3 years)</v>
      </c>
      <c r="R779" t="str">
        <f t="shared" si="89"/>
        <v>Excellent</v>
      </c>
      <c r="S779" t="str">
        <f t="shared" si="90"/>
        <v>Very High</v>
      </c>
    </row>
    <row r="780" spans="1:19" x14ac:dyDescent="0.3">
      <c r="A780">
        <v>779</v>
      </c>
      <c r="B780" t="s">
        <v>27</v>
      </c>
      <c r="C780">
        <v>2018</v>
      </c>
      <c r="D780">
        <v>9135</v>
      </c>
      <c r="E780" t="s">
        <v>26</v>
      </c>
      <c r="F780" t="s">
        <v>14</v>
      </c>
      <c r="G780" t="s">
        <v>20</v>
      </c>
      <c r="H780">
        <v>3999</v>
      </c>
      <c r="I780">
        <v>462.7</v>
      </c>
      <c r="J780" s="2">
        <v>19.05</v>
      </c>
      <c r="K780">
        <v>2</v>
      </c>
      <c r="L780" s="1">
        <v>79477.81</v>
      </c>
      <c r="M780">
        <f t="shared" si="84"/>
        <v>6</v>
      </c>
      <c r="N780">
        <f t="shared" si="85"/>
        <v>13246.301666666666</v>
      </c>
      <c r="O780">
        <f t="shared" si="86"/>
        <v>1522.5</v>
      </c>
      <c r="P780">
        <f t="shared" si="87"/>
        <v>115.70392598149537</v>
      </c>
      <c r="Q780" t="str">
        <f t="shared" si="88"/>
        <v>Recent (4-7 years)</v>
      </c>
      <c r="R780" t="str">
        <f t="shared" si="89"/>
        <v>Average</v>
      </c>
      <c r="S780" t="str">
        <f t="shared" si="90"/>
        <v>Very High</v>
      </c>
    </row>
    <row r="781" spans="1:19" x14ac:dyDescent="0.3">
      <c r="A781">
        <v>780</v>
      </c>
      <c r="B781" t="s">
        <v>24</v>
      </c>
      <c r="C781">
        <v>2016</v>
      </c>
      <c r="D781">
        <v>142701</v>
      </c>
      <c r="E781" t="s">
        <v>17</v>
      </c>
      <c r="F781" t="s">
        <v>14</v>
      </c>
      <c r="G781" t="s">
        <v>15</v>
      </c>
      <c r="H781">
        <v>1738</v>
      </c>
      <c r="I781">
        <v>213.3</v>
      </c>
      <c r="J781" s="2">
        <v>23.52</v>
      </c>
      <c r="K781">
        <v>7</v>
      </c>
      <c r="L781" s="1">
        <v>114877.88</v>
      </c>
      <c r="M781">
        <f t="shared" si="84"/>
        <v>8</v>
      </c>
      <c r="N781">
        <f t="shared" si="85"/>
        <v>14359.735000000001</v>
      </c>
      <c r="O781">
        <f t="shared" si="86"/>
        <v>17837.625</v>
      </c>
      <c r="P781">
        <f t="shared" si="87"/>
        <v>122.72727272727273</v>
      </c>
      <c r="Q781" t="str">
        <f t="shared" si="88"/>
        <v>Mature (8-12 years)</v>
      </c>
      <c r="R781" t="str">
        <f t="shared" si="89"/>
        <v>Good</v>
      </c>
      <c r="S781" t="str">
        <f t="shared" si="90"/>
        <v>Very High</v>
      </c>
    </row>
    <row r="782" spans="1:19" x14ac:dyDescent="0.3">
      <c r="A782">
        <v>781</v>
      </c>
      <c r="B782" t="s">
        <v>12</v>
      </c>
      <c r="C782">
        <v>2014</v>
      </c>
      <c r="D782">
        <v>114472</v>
      </c>
      <c r="E782" t="s">
        <v>22</v>
      </c>
      <c r="F782" t="s">
        <v>14</v>
      </c>
      <c r="G782" t="s">
        <v>20</v>
      </c>
      <c r="H782">
        <v>1241</v>
      </c>
      <c r="I782">
        <v>290.89999999999998</v>
      </c>
      <c r="J782" s="2">
        <v>21.55</v>
      </c>
      <c r="K782">
        <v>4</v>
      </c>
      <c r="L782" s="1">
        <v>3353.44</v>
      </c>
      <c r="M782">
        <f t="shared" si="84"/>
        <v>10</v>
      </c>
      <c r="N782">
        <f t="shared" si="85"/>
        <v>335.34399999999999</v>
      </c>
      <c r="O782">
        <f t="shared" si="86"/>
        <v>11447.2</v>
      </c>
      <c r="P782">
        <f t="shared" si="87"/>
        <v>234.4077356970185</v>
      </c>
      <c r="Q782" t="str">
        <f t="shared" si="88"/>
        <v>Mature (8-12 years)</v>
      </c>
      <c r="R782" t="str">
        <f t="shared" si="89"/>
        <v>Good</v>
      </c>
      <c r="S782" t="str">
        <f t="shared" si="90"/>
        <v>Very High</v>
      </c>
    </row>
    <row r="783" spans="1:19" x14ac:dyDescent="0.3">
      <c r="A783">
        <v>782</v>
      </c>
      <c r="B783" t="s">
        <v>19</v>
      </c>
      <c r="C783">
        <v>2024</v>
      </c>
      <c r="D783">
        <v>130147</v>
      </c>
      <c r="E783" t="s">
        <v>13</v>
      </c>
      <c r="F783" t="s">
        <v>14</v>
      </c>
      <c r="G783" t="s">
        <v>15</v>
      </c>
      <c r="H783">
        <v>3350</v>
      </c>
      <c r="I783">
        <v>267.10000000000002</v>
      </c>
      <c r="J783" s="2">
        <v>13.89</v>
      </c>
      <c r="K783">
        <v>7</v>
      </c>
      <c r="L783" s="1">
        <v>32008.1</v>
      </c>
      <c r="M783">
        <f t="shared" si="84"/>
        <v>0</v>
      </c>
      <c r="N783">
        <f t="shared" si="85"/>
        <v>32008.1</v>
      </c>
      <c r="O783">
        <f t="shared" si="86"/>
        <v>130147</v>
      </c>
      <c r="P783">
        <f t="shared" si="87"/>
        <v>79.731343283582092</v>
      </c>
      <c r="Q783" t="str">
        <f t="shared" si="88"/>
        <v>New (0-3 years)</v>
      </c>
      <c r="R783" t="str">
        <f t="shared" si="89"/>
        <v>Low</v>
      </c>
      <c r="S783" t="str">
        <f t="shared" si="90"/>
        <v>Very High</v>
      </c>
    </row>
    <row r="784" spans="1:19" x14ac:dyDescent="0.3">
      <c r="A784">
        <v>783</v>
      </c>
      <c r="B784" t="s">
        <v>28</v>
      </c>
      <c r="C784">
        <v>2022</v>
      </c>
      <c r="D784">
        <v>94087</v>
      </c>
      <c r="E784" t="s">
        <v>22</v>
      </c>
      <c r="F784" t="s">
        <v>18</v>
      </c>
      <c r="G784" t="s">
        <v>23</v>
      </c>
      <c r="H784">
        <v>1396</v>
      </c>
      <c r="I784">
        <v>591.1</v>
      </c>
      <c r="J784" s="2">
        <v>25.22</v>
      </c>
      <c r="K784">
        <v>5</v>
      </c>
      <c r="L784" s="1">
        <v>111551.6</v>
      </c>
      <c r="M784">
        <f t="shared" si="84"/>
        <v>2</v>
      </c>
      <c r="N784">
        <f t="shared" si="85"/>
        <v>55775.8</v>
      </c>
      <c r="O784">
        <f t="shared" si="86"/>
        <v>47043.5</v>
      </c>
      <c r="P784">
        <f t="shared" si="87"/>
        <v>423.42406876790835</v>
      </c>
      <c r="Q784" t="str">
        <f t="shared" si="88"/>
        <v>New (0-3 years)</v>
      </c>
      <c r="R784" t="str">
        <f t="shared" si="89"/>
        <v>Excellent</v>
      </c>
      <c r="S784" t="str">
        <f t="shared" si="90"/>
        <v>Very High</v>
      </c>
    </row>
    <row r="785" spans="1:19" x14ac:dyDescent="0.3">
      <c r="A785">
        <v>784</v>
      </c>
      <c r="B785" t="s">
        <v>24</v>
      </c>
      <c r="C785">
        <v>2015</v>
      </c>
      <c r="D785">
        <v>38380</v>
      </c>
      <c r="E785" t="s">
        <v>22</v>
      </c>
      <c r="F785" t="s">
        <v>18</v>
      </c>
      <c r="G785" t="s">
        <v>15</v>
      </c>
      <c r="H785">
        <v>2305</v>
      </c>
      <c r="I785">
        <v>203.7</v>
      </c>
      <c r="J785" s="2">
        <v>12.37</v>
      </c>
      <c r="K785">
        <v>2</v>
      </c>
      <c r="L785" s="1">
        <v>112059.67</v>
      </c>
      <c r="M785">
        <f t="shared" si="84"/>
        <v>9</v>
      </c>
      <c r="N785">
        <f t="shared" si="85"/>
        <v>12451.074444444444</v>
      </c>
      <c r="O785">
        <f t="shared" si="86"/>
        <v>4264.4444444444443</v>
      </c>
      <c r="P785">
        <f t="shared" si="87"/>
        <v>88.373101952277651</v>
      </c>
      <c r="Q785" t="str">
        <f t="shared" si="88"/>
        <v>Mature (8-12 years)</v>
      </c>
      <c r="R785" t="str">
        <f t="shared" si="89"/>
        <v>Low</v>
      </c>
      <c r="S785" t="str">
        <f t="shared" si="90"/>
        <v>Very High</v>
      </c>
    </row>
    <row r="786" spans="1:19" x14ac:dyDescent="0.3">
      <c r="A786">
        <v>785</v>
      </c>
      <c r="B786" t="s">
        <v>19</v>
      </c>
      <c r="C786">
        <v>2006</v>
      </c>
      <c r="D786">
        <v>134951</v>
      </c>
      <c r="E786" t="s">
        <v>13</v>
      </c>
      <c r="F786" t="s">
        <v>14</v>
      </c>
      <c r="G786" t="s">
        <v>15</v>
      </c>
      <c r="H786">
        <v>1661</v>
      </c>
      <c r="I786">
        <v>205.1</v>
      </c>
      <c r="J786" s="2">
        <v>19.28</v>
      </c>
      <c r="K786">
        <v>5</v>
      </c>
      <c r="L786" s="1">
        <v>87308.61</v>
      </c>
      <c r="M786">
        <f t="shared" si="84"/>
        <v>18</v>
      </c>
      <c r="N786">
        <f t="shared" si="85"/>
        <v>4850.4783333333335</v>
      </c>
      <c r="O786">
        <f t="shared" si="86"/>
        <v>7497.2777777777774</v>
      </c>
      <c r="P786">
        <f t="shared" si="87"/>
        <v>123.47983142685129</v>
      </c>
      <c r="Q786" t="str">
        <f t="shared" si="88"/>
        <v>Old (12+ years)</v>
      </c>
      <c r="R786" t="str">
        <f t="shared" si="89"/>
        <v>Average</v>
      </c>
      <c r="S786" t="str">
        <f t="shared" si="90"/>
        <v>Very High</v>
      </c>
    </row>
    <row r="787" spans="1:19" x14ac:dyDescent="0.3">
      <c r="A787">
        <v>786</v>
      </c>
      <c r="B787" t="s">
        <v>25</v>
      </c>
      <c r="C787">
        <v>2022</v>
      </c>
      <c r="D787">
        <v>22071</v>
      </c>
      <c r="E787" t="s">
        <v>17</v>
      </c>
      <c r="F787" t="s">
        <v>18</v>
      </c>
      <c r="G787" t="s">
        <v>15</v>
      </c>
      <c r="H787">
        <v>3440</v>
      </c>
      <c r="I787">
        <v>238.5</v>
      </c>
      <c r="J787" s="2">
        <v>23.63</v>
      </c>
      <c r="K787">
        <v>2</v>
      </c>
      <c r="L787" s="1">
        <v>92594.31</v>
      </c>
      <c r="M787">
        <f t="shared" si="84"/>
        <v>2</v>
      </c>
      <c r="N787">
        <f t="shared" si="85"/>
        <v>46297.154999999999</v>
      </c>
      <c r="O787">
        <f t="shared" si="86"/>
        <v>11035.5</v>
      </c>
      <c r="P787">
        <f t="shared" si="87"/>
        <v>69.331395348837205</v>
      </c>
      <c r="Q787" t="str">
        <f t="shared" si="88"/>
        <v>New (0-3 years)</v>
      </c>
      <c r="R787" t="str">
        <f t="shared" si="89"/>
        <v>Good</v>
      </c>
      <c r="S787" t="str">
        <f t="shared" si="90"/>
        <v>Very High</v>
      </c>
    </row>
    <row r="788" spans="1:19" x14ac:dyDescent="0.3">
      <c r="A788">
        <v>787</v>
      </c>
      <c r="B788" t="s">
        <v>12</v>
      </c>
      <c r="C788">
        <v>2011</v>
      </c>
      <c r="D788">
        <v>25074</v>
      </c>
      <c r="E788" t="s">
        <v>26</v>
      </c>
      <c r="F788" t="s">
        <v>14</v>
      </c>
      <c r="G788" t="s">
        <v>20</v>
      </c>
      <c r="H788">
        <v>4531</v>
      </c>
      <c r="I788">
        <v>356.2</v>
      </c>
      <c r="J788" s="2">
        <v>14.47</v>
      </c>
      <c r="K788">
        <v>7</v>
      </c>
      <c r="L788" s="1">
        <v>13703.51</v>
      </c>
      <c r="M788">
        <f t="shared" si="84"/>
        <v>13</v>
      </c>
      <c r="N788">
        <f t="shared" si="85"/>
        <v>1054.1161538461538</v>
      </c>
      <c r="O788">
        <f t="shared" si="86"/>
        <v>1928.7692307692307</v>
      </c>
      <c r="P788">
        <f t="shared" si="87"/>
        <v>78.613992496137726</v>
      </c>
      <c r="Q788" t="str">
        <f t="shared" si="88"/>
        <v>Old (12+ years)</v>
      </c>
      <c r="R788" t="str">
        <f t="shared" si="89"/>
        <v>Low</v>
      </c>
      <c r="S788" t="str">
        <f t="shared" si="90"/>
        <v>Very High</v>
      </c>
    </row>
    <row r="789" spans="1:19" x14ac:dyDescent="0.3">
      <c r="A789">
        <v>788</v>
      </c>
      <c r="B789" t="s">
        <v>25</v>
      </c>
      <c r="C789">
        <v>2019</v>
      </c>
      <c r="D789">
        <v>72843</v>
      </c>
      <c r="E789" t="s">
        <v>17</v>
      </c>
      <c r="F789" t="s">
        <v>14</v>
      </c>
      <c r="G789" t="s">
        <v>23</v>
      </c>
      <c r="H789">
        <v>2351</v>
      </c>
      <c r="I789">
        <v>181.3</v>
      </c>
      <c r="J789" s="2">
        <v>12.57</v>
      </c>
      <c r="K789">
        <v>6</v>
      </c>
      <c r="L789" s="1">
        <v>63123.47</v>
      </c>
      <c r="M789">
        <f t="shared" si="84"/>
        <v>5</v>
      </c>
      <c r="N789">
        <f t="shared" si="85"/>
        <v>12624.694</v>
      </c>
      <c r="O789">
        <f t="shared" si="86"/>
        <v>14568.6</v>
      </c>
      <c r="P789">
        <f t="shared" si="87"/>
        <v>77.116120799659726</v>
      </c>
      <c r="Q789" t="str">
        <f t="shared" si="88"/>
        <v>Recent (4-7 years)</v>
      </c>
      <c r="R789" t="str">
        <f t="shared" si="89"/>
        <v>Low</v>
      </c>
      <c r="S789" t="str">
        <f t="shared" si="90"/>
        <v>High</v>
      </c>
    </row>
    <row r="790" spans="1:19" x14ac:dyDescent="0.3">
      <c r="A790">
        <v>789</v>
      </c>
      <c r="B790" t="s">
        <v>12</v>
      </c>
      <c r="C790">
        <v>2015</v>
      </c>
      <c r="D790">
        <v>44901</v>
      </c>
      <c r="E790" t="s">
        <v>17</v>
      </c>
      <c r="F790" t="s">
        <v>18</v>
      </c>
      <c r="G790" t="s">
        <v>15</v>
      </c>
      <c r="H790">
        <v>4036</v>
      </c>
      <c r="I790">
        <v>552.6</v>
      </c>
      <c r="J790" s="2">
        <v>16.48</v>
      </c>
      <c r="K790">
        <v>4</v>
      </c>
      <c r="L790" s="1">
        <v>30095.21</v>
      </c>
      <c r="M790">
        <f t="shared" si="84"/>
        <v>9</v>
      </c>
      <c r="N790">
        <f t="shared" si="85"/>
        <v>3343.9122222222222</v>
      </c>
      <c r="O790">
        <f t="shared" si="86"/>
        <v>4989</v>
      </c>
      <c r="P790">
        <f t="shared" si="87"/>
        <v>136.91774033696731</v>
      </c>
      <c r="Q790" t="str">
        <f t="shared" si="88"/>
        <v>Mature (8-12 years)</v>
      </c>
      <c r="R790" t="str">
        <f t="shared" si="89"/>
        <v>Average</v>
      </c>
      <c r="S790" t="str">
        <f t="shared" si="90"/>
        <v>Very High</v>
      </c>
    </row>
    <row r="791" spans="1:19" x14ac:dyDescent="0.3">
      <c r="A791">
        <v>790</v>
      </c>
      <c r="B791" t="s">
        <v>28</v>
      </c>
      <c r="C791">
        <v>2022</v>
      </c>
      <c r="D791">
        <v>16205</v>
      </c>
      <c r="E791" t="s">
        <v>22</v>
      </c>
      <c r="F791" t="s">
        <v>18</v>
      </c>
      <c r="G791" t="s">
        <v>20</v>
      </c>
      <c r="H791">
        <v>2536</v>
      </c>
      <c r="I791">
        <v>188.8</v>
      </c>
      <c r="J791" s="2">
        <v>25.45</v>
      </c>
      <c r="K791">
        <v>7</v>
      </c>
      <c r="L791" s="1">
        <v>24202.51</v>
      </c>
      <c r="M791">
        <f t="shared" si="84"/>
        <v>2</v>
      </c>
      <c r="N791">
        <f t="shared" si="85"/>
        <v>12101.254999999999</v>
      </c>
      <c r="O791">
        <f t="shared" si="86"/>
        <v>8102.5</v>
      </c>
      <c r="P791">
        <f t="shared" si="87"/>
        <v>74.447949526813886</v>
      </c>
      <c r="Q791" t="str">
        <f t="shared" si="88"/>
        <v>New (0-3 years)</v>
      </c>
      <c r="R791" t="str">
        <f t="shared" si="89"/>
        <v>Excellent</v>
      </c>
      <c r="S791" t="str">
        <f t="shared" si="90"/>
        <v>High</v>
      </c>
    </row>
    <row r="792" spans="1:19" x14ac:dyDescent="0.3">
      <c r="A792">
        <v>791</v>
      </c>
      <c r="B792" t="s">
        <v>24</v>
      </c>
      <c r="C792">
        <v>2016</v>
      </c>
      <c r="D792">
        <v>191733</v>
      </c>
      <c r="E792" t="s">
        <v>26</v>
      </c>
      <c r="F792" t="s">
        <v>14</v>
      </c>
      <c r="G792" t="s">
        <v>23</v>
      </c>
      <c r="H792">
        <v>2249</v>
      </c>
      <c r="I792">
        <v>541.70000000000005</v>
      </c>
      <c r="J792" s="2">
        <v>28.25</v>
      </c>
      <c r="K792">
        <v>2</v>
      </c>
      <c r="L792" s="1">
        <v>97805.49</v>
      </c>
      <c r="M792">
        <f t="shared" si="84"/>
        <v>8</v>
      </c>
      <c r="N792">
        <f t="shared" si="85"/>
        <v>12225.686250000001</v>
      </c>
      <c r="O792">
        <f t="shared" si="86"/>
        <v>23966.625</v>
      </c>
      <c r="P792">
        <f t="shared" si="87"/>
        <v>240.86260560248999</v>
      </c>
      <c r="Q792" t="str">
        <f t="shared" si="88"/>
        <v>Mature (8-12 years)</v>
      </c>
      <c r="R792" t="str">
        <f t="shared" si="89"/>
        <v>Excellent</v>
      </c>
      <c r="S792" t="str">
        <f t="shared" si="90"/>
        <v>Very High</v>
      </c>
    </row>
    <row r="793" spans="1:19" x14ac:dyDescent="0.3">
      <c r="A793">
        <v>792</v>
      </c>
      <c r="B793" t="s">
        <v>27</v>
      </c>
      <c r="C793">
        <v>2010</v>
      </c>
      <c r="D793">
        <v>129661</v>
      </c>
      <c r="E793" t="s">
        <v>26</v>
      </c>
      <c r="F793" t="s">
        <v>14</v>
      </c>
      <c r="G793" t="s">
        <v>20</v>
      </c>
      <c r="H793">
        <v>1064</v>
      </c>
      <c r="I793">
        <v>97.9</v>
      </c>
      <c r="J793" s="2">
        <v>18.63</v>
      </c>
      <c r="K793">
        <v>2</v>
      </c>
      <c r="L793" s="1">
        <v>18799.46</v>
      </c>
      <c r="M793">
        <f t="shared" si="84"/>
        <v>14</v>
      </c>
      <c r="N793">
        <f t="shared" si="85"/>
        <v>1342.8185714285714</v>
      </c>
      <c r="O793">
        <f t="shared" si="86"/>
        <v>9261.5</v>
      </c>
      <c r="P793">
        <f t="shared" si="87"/>
        <v>92.011278195488728</v>
      </c>
      <c r="Q793" t="str">
        <f t="shared" si="88"/>
        <v>Old (12+ years)</v>
      </c>
      <c r="R793" t="str">
        <f t="shared" si="89"/>
        <v>Average</v>
      </c>
      <c r="S793" t="str">
        <f t="shared" si="90"/>
        <v>Low</v>
      </c>
    </row>
    <row r="794" spans="1:19" x14ac:dyDescent="0.3">
      <c r="A794">
        <v>793</v>
      </c>
      <c r="B794" t="s">
        <v>25</v>
      </c>
      <c r="C794">
        <v>2024</v>
      </c>
      <c r="D794">
        <v>10906</v>
      </c>
      <c r="E794" t="s">
        <v>17</v>
      </c>
      <c r="F794" t="s">
        <v>18</v>
      </c>
      <c r="G794" t="s">
        <v>20</v>
      </c>
      <c r="H794">
        <v>3459</v>
      </c>
      <c r="I794">
        <v>407.7</v>
      </c>
      <c r="J794" s="2">
        <v>21.54</v>
      </c>
      <c r="K794">
        <v>2</v>
      </c>
      <c r="L794" s="1">
        <v>57832.24</v>
      </c>
      <c r="M794">
        <f t="shared" si="84"/>
        <v>0</v>
      </c>
      <c r="N794">
        <f t="shared" si="85"/>
        <v>57832.24</v>
      </c>
      <c r="O794">
        <f t="shared" si="86"/>
        <v>10906</v>
      </c>
      <c r="P794">
        <f t="shared" si="87"/>
        <v>117.86643538594969</v>
      </c>
      <c r="Q794" t="str">
        <f t="shared" si="88"/>
        <v>New (0-3 years)</v>
      </c>
      <c r="R794" t="str">
        <f t="shared" si="89"/>
        <v>Good</v>
      </c>
      <c r="S794" t="str">
        <f t="shared" si="90"/>
        <v>Very High</v>
      </c>
    </row>
    <row r="795" spans="1:19" x14ac:dyDescent="0.3">
      <c r="A795">
        <v>794</v>
      </c>
      <c r="B795" t="s">
        <v>25</v>
      </c>
      <c r="C795">
        <v>2017</v>
      </c>
      <c r="D795">
        <v>138663</v>
      </c>
      <c r="E795" t="s">
        <v>13</v>
      </c>
      <c r="F795" t="s">
        <v>14</v>
      </c>
      <c r="G795" t="s">
        <v>23</v>
      </c>
      <c r="H795">
        <v>3521</v>
      </c>
      <c r="I795">
        <v>547.9</v>
      </c>
      <c r="J795" s="2">
        <v>27.58</v>
      </c>
      <c r="K795">
        <v>2</v>
      </c>
      <c r="L795" s="1">
        <v>112813.65</v>
      </c>
      <c r="M795">
        <f t="shared" si="84"/>
        <v>7</v>
      </c>
      <c r="N795">
        <f t="shared" si="85"/>
        <v>16116.235714285713</v>
      </c>
      <c r="O795">
        <f t="shared" si="86"/>
        <v>19809</v>
      </c>
      <c r="P795">
        <f t="shared" si="87"/>
        <v>155.60920193126952</v>
      </c>
      <c r="Q795" t="str">
        <f t="shared" si="88"/>
        <v>Recent (4-7 years)</v>
      </c>
      <c r="R795" t="str">
        <f t="shared" si="89"/>
        <v>Excellent</v>
      </c>
      <c r="S795" t="str">
        <f t="shared" si="90"/>
        <v>Very High</v>
      </c>
    </row>
    <row r="796" spans="1:19" x14ac:dyDescent="0.3">
      <c r="A796">
        <v>795</v>
      </c>
      <c r="B796" t="s">
        <v>30</v>
      </c>
      <c r="C796">
        <v>2024</v>
      </c>
      <c r="D796">
        <v>130576</v>
      </c>
      <c r="E796" t="s">
        <v>17</v>
      </c>
      <c r="F796" t="s">
        <v>18</v>
      </c>
      <c r="G796" t="s">
        <v>15</v>
      </c>
      <c r="H796">
        <v>2262</v>
      </c>
      <c r="I796">
        <v>134.5</v>
      </c>
      <c r="J796" s="2">
        <v>7.46</v>
      </c>
      <c r="K796">
        <v>4</v>
      </c>
      <c r="L796" s="1">
        <v>24742.35</v>
      </c>
      <c r="M796">
        <f t="shared" si="84"/>
        <v>0</v>
      </c>
      <c r="N796">
        <f t="shared" si="85"/>
        <v>24742.35</v>
      </c>
      <c r="O796">
        <f t="shared" si="86"/>
        <v>130576</v>
      </c>
      <c r="P796">
        <f t="shared" si="87"/>
        <v>59.460654288240498</v>
      </c>
      <c r="Q796" t="str">
        <f t="shared" si="88"/>
        <v>New (0-3 years)</v>
      </c>
      <c r="R796" t="str">
        <f t="shared" si="89"/>
        <v>Low</v>
      </c>
      <c r="S796" t="str">
        <f t="shared" si="90"/>
        <v>Medium</v>
      </c>
    </row>
    <row r="797" spans="1:19" x14ac:dyDescent="0.3">
      <c r="A797">
        <v>796</v>
      </c>
      <c r="B797" t="s">
        <v>12</v>
      </c>
      <c r="C797">
        <v>2020</v>
      </c>
      <c r="D797">
        <v>67987</v>
      </c>
      <c r="E797" t="s">
        <v>13</v>
      </c>
      <c r="F797" t="s">
        <v>14</v>
      </c>
      <c r="G797" t="s">
        <v>20</v>
      </c>
      <c r="H797">
        <v>2245</v>
      </c>
      <c r="I797">
        <v>582.29999999999995</v>
      </c>
      <c r="J797" s="2">
        <v>10.8</v>
      </c>
      <c r="K797">
        <v>5</v>
      </c>
      <c r="L797" s="1">
        <v>117425.23</v>
      </c>
      <c r="M797">
        <f t="shared" si="84"/>
        <v>4</v>
      </c>
      <c r="N797">
        <f t="shared" si="85"/>
        <v>29356.307499999999</v>
      </c>
      <c r="O797">
        <f t="shared" si="86"/>
        <v>16996.75</v>
      </c>
      <c r="P797">
        <f t="shared" si="87"/>
        <v>259.37639198218261</v>
      </c>
      <c r="Q797" t="str">
        <f t="shared" si="88"/>
        <v>Recent (4-7 years)</v>
      </c>
      <c r="R797" t="str">
        <f t="shared" si="89"/>
        <v>Low</v>
      </c>
      <c r="S797" t="str">
        <f t="shared" si="90"/>
        <v>Very High</v>
      </c>
    </row>
    <row r="798" spans="1:19" x14ac:dyDescent="0.3">
      <c r="A798">
        <v>797</v>
      </c>
      <c r="B798" t="s">
        <v>21</v>
      </c>
      <c r="C798">
        <v>2022</v>
      </c>
      <c r="D798">
        <v>199442</v>
      </c>
      <c r="E798" t="s">
        <v>26</v>
      </c>
      <c r="F798" t="s">
        <v>14</v>
      </c>
      <c r="G798" t="s">
        <v>20</v>
      </c>
      <c r="H798">
        <v>3098</v>
      </c>
      <c r="I798">
        <v>293.60000000000002</v>
      </c>
      <c r="J798" s="2">
        <v>22.72</v>
      </c>
      <c r="K798">
        <v>6</v>
      </c>
      <c r="L798" s="1">
        <v>119331.69</v>
      </c>
      <c r="M798">
        <f t="shared" si="84"/>
        <v>2</v>
      </c>
      <c r="N798">
        <f t="shared" si="85"/>
        <v>59665.845000000001</v>
      </c>
      <c r="O798">
        <f t="shared" si="86"/>
        <v>99721</v>
      </c>
      <c r="P798">
        <f t="shared" si="87"/>
        <v>94.770819883796008</v>
      </c>
      <c r="Q798" t="str">
        <f t="shared" si="88"/>
        <v>New (0-3 years)</v>
      </c>
      <c r="R798" t="str">
        <f t="shared" si="89"/>
        <v>Good</v>
      </c>
      <c r="S798" t="str">
        <f t="shared" si="90"/>
        <v>Very High</v>
      </c>
    </row>
    <row r="799" spans="1:19" x14ac:dyDescent="0.3">
      <c r="A799">
        <v>798</v>
      </c>
      <c r="B799" t="s">
        <v>24</v>
      </c>
      <c r="C799">
        <v>2014</v>
      </c>
      <c r="D799">
        <v>85685</v>
      </c>
      <c r="E799" t="s">
        <v>17</v>
      </c>
      <c r="F799" t="s">
        <v>18</v>
      </c>
      <c r="G799" t="s">
        <v>15</v>
      </c>
      <c r="H799">
        <v>3725</v>
      </c>
      <c r="I799">
        <v>569.6</v>
      </c>
      <c r="J799" s="2">
        <v>25.59</v>
      </c>
      <c r="K799">
        <v>4</v>
      </c>
      <c r="L799" s="1">
        <v>68007.210000000006</v>
      </c>
      <c r="M799">
        <f t="shared" si="84"/>
        <v>10</v>
      </c>
      <c r="N799">
        <f t="shared" si="85"/>
        <v>6800.7210000000005</v>
      </c>
      <c r="O799">
        <f t="shared" si="86"/>
        <v>8568.5</v>
      </c>
      <c r="P799">
        <f t="shared" si="87"/>
        <v>152.91275167785236</v>
      </c>
      <c r="Q799" t="str">
        <f t="shared" si="88"/>
        <v>Mature (8-12 years)</v>
      </c>
      <c r="R799" t="str">
        <f t="shared" si="89"/>
        <v>Excellent</v>
      </c>
      <c r="S799" t="str">
        <f t="shared" si="90"/>
        <v>Very High</v>
      </c>
    </row>
    <row r="800" spans="1:19" x14ac:dyDescent="0.3">
      <c r="A800">
        <v>799</v>
      </c>
      <c r="B800" t="s">
        <v>12</v>
      </c>
      <c r="C800">
        <v>2012</v>
      </c>
      <c r="D800">
        <v>115454</v>
      </c>
      <c r="E800" t="s">
        <v>22</v>
      </c>
      <c r="F800" t="s">
        <v>18</v>
      </c>
      <c r="G800" t="s">
        <v>15</v>
      </c>
      <c r="H800">
        <v>2432</v>
      </c>
      <c r="I800">
        <v>419</v>
      </c>
      <c r="J800" s="2">
        <v>26.43</v>
      </c>
      <c r="K800">
        <v>2</v>
      </c>
      <c r="L800" s="1">
        <v>22906.7</v>
      </c>
      <c r="M800">
        <f t="shared" si="84"/>
        <v>12</v>
      </c>
      <c r="N800">
        <f t="shared" si="85"/>
        <v>1908.8916666666667</v>
      </c>
      <c r="O800">
        <f t="shared" si="86"/>
        <v>9621.1666666666661</v>
      </c>
      <c r="P800">
        <f t="shared" si="87"/>
        <v>172.28618421052633</v>
      </c>
      <c r="Q800" t="str">
        <f t="shared" si="88"/>
        <v>Mature (8-12 years)</v>
      </c>
      <c r="R800" t="str">
        <f t="shared" si="89"/>
        <v>Excellent</v>
      </c>
      <c r="S800" t="str">
        <f t="shared" si="90"/>
        <v>Very High</v>
      </c>
    </row>
    <row r="801" spans="1:19" x14ac:dyDescent="0.3">
      <c r="A801">
        <v>800</v>
      </c>
      <c r="B801" t="s">
        <v>30</v>
      </c>
      <c r="C801">
        <v>2022</v>
      </c>
      <c r="D801">
        <v>110487</v>
      </c>
      <c r="E801" t="s">
        <v>17</v>
      </c>
      <c r="F801" t="s">
        <v>18</v>
      </c>
      <c r="G801" t="s">
        <v>23</v>
      </c>
      <c r="H801">
        <v>3174</v>
      </c>
      <c r="I801">
        <v>208.9</v>
      </c>
      <c r="J801" s="2">
        <v>15.38</v>
      </c>
      <c r="K801">
        <v>4</v>
      </c>
      <c r="L801" s="1">
        <v>39984.269999999997</v>
      </c>
      <c r="M801">
        <f t="shared" si="84"/>
        <v>2</v>
      </c>
      <c r="N801">
        <f t="shared" si="85"/>
        <v>19992.134999999998</v>
      </c>
      <c r="O801">
        <f t="shared" si="86"/>
        <v>55243.5</v>
      </c>
      <c r="P801">
        <f t="shared" si="87"/>
        <v>65.816005040957791</v>
      </c>
      <c r="Q801" t="str">
        <f t="shared" si="88"/>
        <v>New (0-3 years)</v>
      </c>
      <c r="R801" t="str">
        <f t="shared" si="89"/>
        <v>Average</v>
      </c>
      <c r="S801" t="str">
        <f t="shared" si="90"/>
        <v>Very High</v>
      </c>
    </row>
    <row r="802" spans="1:19" x14ac:dyDescent="0.3">
      <c r="A802">
        <v>801</v>
      </c>
      <c r="B802" t="s">
        <v>29</v>
      </c>
      <c r="C802">
        <v>2005</v>
      </c>
      <c r="D802">
        <v>59400</v>
      </c>
      <c r="E802" t="s">
        <v>26</v>
      </c>
      <c r="F802" t="s">
        <v>18</v>
      </c>
      <c r="G802" t="s">
        <v>23</v>
      </c>
      <c r="H802">
        <v>1312</v>
      </c>
      <c r="I802">
        <v>145.4</v>
      </c>
      <c r="J802" s="2">
        <v>7.23</v>
      </c>
      <c r="K802">
        <v>7</v>
      </c>
      <c r="L802" s="1">
        <v>52665.66</v>
      </c>
      <c r="M802">
        <f t="shared" si="84"/>
        <v>19</v>
      </c>
      <c r="N802">
        <f t="shared" si="85"/>
        <v>2771.8768421052632</v>
      </c>
      <c r="O802">
        <f t="shared" si="86"/>
        <v>3126.3157894736842</v>
      </c>
      <c r="P802">
        <f t="shared" si="87"/>
        <v>110.82317073170732</v>
      </c>
      <c r="Q802" t="str">
        <f t="shared" si="88"/>
        <v>Old (12+ years)</v>
      </c>
      <c r="R802" t="str">
        <f t="shared" si="89"/>
        <v>Low</v>
      </c>
      <c r="S802" t="str">
        <f t="shared" si="90"/>
        <v>Medium</v>
      </c>
    </row>
    <row r="803" spans="1:19" x14ac:dyDescent="0.3">
      <c r="A803">
        <v>802</v>
      </c>
      <c r="B803" t="s">
        <v>12</v>
      </c>
      <c r="C803">
        <v>2012</v>
      </c>
      <c r="D803">
        <v>161222</v>
      </c>
      <c r="E803" t="s">
        <v>22</v>
      </c>
      <c r="F803" t="s">
        <v>18</v>
      </c>
      <c r="G803" t="s">
        <v>23</v>
      </c>
      <c r="H803">
        <v>1015</v>
      </c>
      <c r="I803">
        <v>210.1</v>
      </c>
      <c r="J803" s="2">
        <v>15.94</v>
      </c>
      <c r="K803">
        <v>2</v>
      </c>
      <c r="L803" s="1">
        <v>39190.93</v>
      </c>
      <c r="M803">
        <f t="shared" si="84"/>
        <v>12</v>
      </c>
      <c r="N803">
        <f t="shared" si="85"/>
        <v>3265.9108333333334</v>
      </c>
      <c r="O803">
        <f t="shared" si="86"/>
        <v>13435.166666666666</v>
      </c>
      <c r="P803">
        <f t="shared" si="87"/>
        <v>206.99507389162562</v>
      </c>
      <c r="Q803" t="str">
        <f t="shared" si="88"/>
        <v>Mature (8-12 years)</v>
      </c>
      <c r="R803" t="str">
        <f t="shared" si="89"/>
        <v>Average</v>
      </c>
      <c r="S803" t="str">
        <f t="shared" si="90"/>
        <v>Very High</v>
      </c>
    </row>
    <row r="804" spans="1:19" x14ac:dyDescent="0.3">
      <c r="A804">
        <v>803</v>
      </c>
      <c r="B804" t="s">
        <v>27</v>
      </c>
      <c r="C804">
        <v>2010</v>
      </c>
      <c r="D804">
        <v>36852</v>
      </c>
      <c r="E804" t="s">
        <v>22</v>
      </c>
      <c r="F804" t="s">
        <v>18</v>
      </c>
      <c r="G804" t="s">
        <v>15</v>
      </c>
      <c r="H804">
        <v>4131</v>
      </c>
      <c r="I804">
        <v>92.1</v>
      </c>
      <c r="J804" s="2">
        <v>10.77</v>
      </c>
      <c r="K804">
        <v>6</v>
      </c>
      <c r="L804" s="1">
        <v>35834.36</v>
      </c>
      <c r="M804">
        <f t="shared" si="84"/>
        <v>14</v>
      </c>
      <c r="N804">
        <f t="shared" si="85"/>
        <v>2559.5971428571429</v>
      </c>
      <c r="O804">
        <f t="shared" si="86"/>
        <v>2632.2857142857142</v>
      </c>
      <c r="P804">
        <f t="shared" si="87"/>
        <v>22.294843863471311</v>
      </c>
      <c r="Q804" t="str">
        <f t="shared" si="88"/>
        <v>Old (12+ years)</v>
      </c>
      <c r="R804" t="str">
        <f t="shared" si="89"/>
        <v>Low</v>
      </c>
      <c r="S804" t="str">
        <f t="shared" si="90"/>
        <v>Low</v>
      </c>
    </row>
    <row r="805" spans="1:19" x14ac:dyDescent="0.3">
      <c r="A805">
        <v>804</v>
      </c>
      <c r="B805" t="s">
        <v>24</v>
      </c>
      <c r="C805">
        <v>2009</v>
      </c>
      <c r="D805">
        <v>178942</v>
      </c>
      <c r="E805" t="s">
        <v>13</v>
      </c>
      <c r="F805" t="s">
        <v>18</v>
      </c>
      <c r="G805" t="s">
        <v>20</v>
      </c>
      <c r="H805">
        <v>2972</v>
      </c>
      <c r="I805">
        <v>120.6</v>
      </c>
      <c r="J805" s="2">
        <v>12.28</v>
      </c>
      <c r="K805">
        <v>2</v>
      </c>
      <c r="L805" s="1">
        <v>116750.88</v>
      </c>
      <c r="M805">
        <f t="shared" si="84"/>
        <v>15</v>
      </c>
      <c r="N805">
        <f t="shared" si="85"/>
        <v>7783.3920000000007</v>
      </c>
      <c r="O805">
        <f t="shared" si="86"/>
        <v>11929.466666666667</v>
      </c>
      <c r="P805">
        <f t="shared" si="87"/>
        <v>40.578734858681024</v>
      </c>
      <c r="Q805" t="str">
        <f t="shared" si="88"/>
        <v>Old (12+ years)</v>
      </c>
      <c r="R805" t="str">
        <f t="shared" si="89"/>
        <v>Low</v>
      </c>
      <c r="S805" t="str">
        <f t="shared" si="90"/>
        <v>Medium</v>
      </c>
    </row>
    <row r="806" spans="1:19" x14ac:dyDescent="0.3">
      <c r="A806">
        <v>805</v>
      </c>
      <c r="B806" t="s">
        <v>30</v>
      </c>
      <c r="C806">
        <v>2019</v>
      </c>
      <c r="D806">
        <v>57756</v>
      </c>
      <c r="E806" t="s">
        <v>22</v>
      </c>
      <c r="F806" t="s">
        <v>14</v>
      </c>
      <c r="G806" t="s">
        <v>20</v>
      </c>
      <c r="H806">
        <v>3953</v>
      </c>
      <c r="I806">
        <v>98.6</v>
      </c>
      <c r="J806" s="2">
        <v>24.31</v>
      </c>
      <c r="K806">
        <v>6</v>
      </c>
      <c r="L806" s="1">
        <v>20943.68</v>
      </c>
      <c r="M806">
        <f t="shared" si="84"/>
        <v>5</v>
      </c>
      <c r="N806">
        <f t="shared" si="85"/>
        <v>4188.7359999999999</v>
      </c>
      <c r="O806">
        <f t="shared" si="86"/>
        <v>11551.2</v>
      </c>
      <c r="P806">
        <f t="shared" si="87"/>
        <v>24.943081204148747</v>
      </c>
      <c r="Q806" t="str">
        <f t="shared" si="88"/>
        <v>Recent (4-7 years)</v>
      </c>
      <c r="R806" t="str">
        <f t="shared" si="89"/>
        <v>Good</v>
      </c>
      <c r="S806" t="str">
        <f t="shared" si="90"/>
        <v>Low</v>
      </c>
    </row>
    <row r="807" spans="1:19" x14ac:dyDescent="0.3">
      <c r="A807">
        <v>806</v>
      </c>
      <c r="B807" t="s">
        <v>29</v>
      </c>
      <c r="C807">
        <v>2019</v>
      </c>
      <c r="D807">
        <v>120357</v>
      </c>
      <c r="E807" t="s">
        <v>22</v>
      </c>
      <c r="F807" t="s">
        <v>14</v>
      </c>
      <c r="G807" t="s">
        <v>23</v>
      </c>
      <c r="H807">
        <v>2506</v>
      </c>
      <c r="I807">
        <v>276.8</v>
      </c>
      <c r="J807" s="2">
        <v>6.89</v>
      </c>
      <c r="K807">
        <v>6</v>
      </c>
      <c r="L807" s="1">
        <v>88799.37</v>
      </c>
      <c r="M807">
        <f t="shared" si="84"/>
        <v>5</v>
      </c>
      <c r="N807">
        <f t="shared" si="85"/>
        <v>17759.874</v>
      </c>
      <c r="O807">
        <f t="shared" si="86"/>
        <v>24071.4</v>
      </c>
      <c r="P807">
        <f t="shared" si="87"/>
        <v>110.45490822027136</v>
      </c>
      <c r="Q807" t="str">
        <f t="shared" si="88"/>
        <v>Recent (4-7 years)</v>
      </c>
      <c r="R807" t="str">
        <f t="shared" si="89"/>
        <v>Low</v>
      </c>
      <c r="S807" t="str">
        <f t="shared" si="90"/>
        <v>Very High</v>
      </c>
    </row>
    <row r="808" spans="1:19" x14ac:dyDescent="0.3">
      <c r="A808">
        <v>807</v>
      </c>
      <c r="B808" t="s">
        <v>16</v>
      </c>
      <c r="C808">
        <v>2006</v>
      </c>
      <c r="D808">
        <v>124052</v>
      </c>
      <c r="E808" t="s">
        <v>17</v>
      </c>
      <c r="F808" t="s">
        <v>14</v>
      </c>
      <c r="G808" t="s">
        <v>15</v>
      </c>
      <c r="H808">
        <v>2906</v>
      </c>
      <c r="I808">
        <v>485.5</v>
      </c>
      <c r="J808" s="2">
        <v>25.69</v>
      </c>
      <c r="K808">
        <v>5</v>
      </c>
      <c r="L808" s="1">
        <v>3048</v>
      </c>
      <c r="M808">
        <f t="shared" si="84"/>
        <v>18</v>
      </c>
      <c r="N808">
        <f t="shared" si="85"/>
        <v>169.33333333333334</v>
      </c>
      <c r="O808">
        <f t="shared" si="86"/>
        <v>6891.7777777777774</v>
      </c>
      <c r="P808">
        <f t="shared" si="87"/>
        <v>167.06813489332416</v>
      </c>
      <c r="Q808" t="str">
        <f t="shared" si="88"/>
        <v>Old (12+ years)</v>
      </c>
      <c r="R808" t="str">
        <f t="shared" si="89"/>
        <v>Excellent</v>
      </c>
      <c r="S808" t="str">
        <f t="shared" si="90"/>
        <v>Very High</v>
      </c>
    </row>
    <row r="809" spans="1:19" x14ac:dyDescent="0.3">
      <c r="A809">
        <v>808</v>
      </c>
      <c r="B809" t="s">
        <v>30</v>
      </c>
      <c r="C809">
        <v>2005</v>
      </c>
      <c r="D809">
        <v>61481</v>
      </c>
      <c r="E809" t="s">
        <v>26</v>
      </c>
      <c r="F809" t="s">
        <v>18</v>
      </c>
      <c r="G809" t="s">
        <v>20</v>
      </c>
      <c r="H809">
        <v>2367</v>
      </c>
      <c r="I809">
        <v>119.2</v>
      </c>
      <c r="J809" s="2">
        <v>15.69</v>
      </c>
      <c r="K809">
        <v>5</v>
      </c>
      <c r="L809" s="1">
        <v>72753.37</v>
      </c>
      <c r="M809">
        <f t="shared" si="84"/>
        <v>19</v>
      </c>
      <c r="N809">
        <f t="shared" si="85"/>
        <v>3829.124736842105</v>
      </c>
      <c r="O809">
        <f t="shared" si="86"/>
        <v>3235.8421052631579</v>
      </c>
      <c r="P809">
        <f t="shared" si="87"/>
        <v>50.359104351499788</v>
      </c>
      <c r="Q809" t="str">
        <f t="shared" si="88"/>
        <v>Old (12+ years)</v>
      </c>
      <c r="R809" t="str">
        <f t="shared" si="89"/>
        <v>Average</v>
      </c>
      <c r="S809" t="str">
        <f t="shared" si="90"/>
        <v>Medium</v>
      </c>
    </row>
    <row r="810" spans="1:19" x14ac:dyDescent="0.3">
      <c r="A810">
        <v>809</v>
      </c>
      <c r="B810" t="s">
        <v>16</v>
      </c>
      <c r="C810">
        <v>2015</v>
      </c>
      <c r="D810">
        <v>6283</v>
      </c>
      <c r="E810" t="s">
        <v>13</v>
      </c>
      <c r="F810" t="s">
        <v>18</v>
      </c>
      <c r="G810" t="s">
        <v>23</v>
      </c>
      <c r="H810">
        <v>3008</v>
      </c>
      <c r="I810">
        <v>113</v>
      </c>
      <c r="J810" s="2">
        <v>19.899999999999999</v>
      </c>
      <c r="K810">
        <v>4</v>
      </c>
      <c r="L810" s="1">
        <v>110165.33</v>
      </c>
      <c r="M810">
        <f t="shared" si="84"/>
        <v>9</v>
      </c>
      <c r="N810">
        <f t="shared" si="85"/>
        <v>12240.592222222222</v>
      </c>
      <c r="O810">
        <f t="shared" si="86"/>
        <v>698.11111111111109</v>
      </c>
      <c r="P810">
        <f t="shared" si="87"/>
        <v>37.566489361702125</v>
      </c>
      <c r="Q810" t="str">
        <f t="shared" si="88"/>
        <v>Mature (8-12 years)</v>
      </c>
      <c r="R810" t="str">
        <f t="shared" si="89"/>
        <v>Average</v>
      </c>
      <c r="S810" t="str">
        <f t="shared" si="90"/>
        <v>Medium</v>
      </c>
    </row>
    <row r="811" spans="1:19" x14ac:dyDescent="0.3">
      <c r="A811">
        <v>810</v>
      </c>
      <c r="B811" t="s">
        <v>24</v>
      </c>
      <c r="C811">
        <v>2014</v>
      </c>
      <c r="D811">
        <v>38691</v>
      </c>
      <c r="E811" t="s">
        <v>17</v>
      </c>
      <c r="F811" t="s">
        <v>18</v>
      </c>
      <c r="G811" t="s">
        <v>20</v>
      </c>
      <c r="H811">
        <v>3131</v>
      </c>
      <c r="I811">
        <v>400.3</v>
      </c>
      <c r="J811" s="2">
        <v>7.24</v>
      </c>
      <c r="K811">
        <v>4</v>
      </c>
      <c r="L811" s="1">
        <v>36688.29</v>
      </c>
      <c r="M811">
        <f t="shared" si="84"/>
        <v>10</v>
      </c>
      <c r="N811">
        <f t="shared" si="85"/>
        <v>3668.8290000000002</v>
      </c>
      <c r="O811">
        <f t="shared" si="86"/>
        <v>3869.1</v>
      </c>
      <c r="P811">
        <f t="shared" si="87"/>
        <v>127.85052698818271</v>
      </c>
      <c r="Q811" t="str">
        <f t="shared" si="88"/>
        <v>Mature (8-12 years)</v>
      </c>
      <c r="R811" t="str">
        <f t="shared" si="89"/>
        <v>Low</v>
      </c>
      <c r="S811" t="str">
        <f t="shared" si="90"/>
        <v>Very High</v>
      </c>
    </row>
    <row r="812" spans="1:19" x14ac:dyDescent="0.3">
      <c r="A812">
        <v>811</v>
      </c>
      <c r="B812" t="s">
        <v>25</v>
      </c>
      <c r="C812">
        <v>2022</v>
      </c>
      <c r="D812">
        <v>137197</v>
      </c>
      <c r="E812" t="s">
        <v>22</v>
      </c>
      <c r="F812" t="s">
        <v>14</v>
      </c>
      <c r="G812" t="s">
        <v>20</v>
      </c>
      <c r="H812">
        <v>2953</v>
      </c>
      <c r="I812">
        <v>150.4</v>
      </c>
      <c r="J812" s="2">
        <v>13.43</v>
      </c>
      <c r="K812">
        <v>6</v>
      </c>
      <c r="L812" s="1">
        <v>24706.54</v>
      </c>
      <c r="M812">
        <f t="shared" si="84"/>
        <v>2</v>
      </c>
      <c r="N812">
        <f t="shared" si="85"/>
        <v>12353.27</v>
      </c>
      <c r="O812">
        <f t="shared" si="86"/>
        <v>68598.5</v>
      </c>
      <c r="P812">
        <f t="shared" si="87"/>
        <v>50.931256349475113</v>
      </c>
      <c r="Q812" t="str">
        <f t="shared" si="88"/>
        <v>New (0-3 years)</v>
      </c>
      <c r="R812" t="str">
        <f t="shared" si="89"/>
        <v>Low</v>
      </c>
      <c r="S812" t="str">
        <f t="shared" si="90"/>
        <v>High</v>
      </c>
    </row>
    <row r="813" spans="1:19" x14ac:dyDescent="0.3">
      <c r="A813">
        <v>812</v>
      </c>
      <c r="B813" t="s">
        <v>30</v>
      </c>
      <c r="C813">
        <v>2022</v>
      </c>
      <c r="D813">
        <v>31170</v>
      </c>
      <c r="E813" t="s">
        <v>22</v>
      </c>
      <c r="F813" t="s">
        <v>18</v>
      </c>
      <c r="G813" t="s">
        <v>15</v>
      </c>
      <c r="H813">
        <v>1928</v>
      </c>
      <c r="I813">
        <v>94.7</v>
      </c>
      <c r="J813" s="2">
        <v>7.24</v>
      </c>
      <c r="K813">
        <v>2</v>
      </c>
      <c r="L813" s="1">
        <v>79246.539999999994</v>
      </c>
      <c r="M813">
        <f t="shared" si="84"/>
        <v>2</v>
      </c>
      <c r="N813">
        <f t="shared" si="85"/>
        <v>39623.269999999997</v>
      </c>
      <c r="O813">
        <f t="shared" si="86"/>
        <v>15585</v>
      </c>
      <c r="P813">
        <f t="shared" si="87"/>
        <v>49.11825726141079</v>
      </c>
      <c r="Q813" t="str">
        <f t="shared" si="88"/>
        <v>New (0-3 years)</v>
      </c>
      <c r="R813" t="str">
        <f t="shared" si="89"/>
        <v>Low</v>
      </c>
      <c r="S813" t="str">
        <f t="shared" si="90"/>
        <v>Low</v>
      </c>
    </row>
    <row r="814" spans="1:19" x14ac:dyDescent="0.3">
      <c r="A814">
        <v>813</v>
      </c>
      <c r="B814" t="s">
        <v>28</v>
      </c>
      <c r="C814">
        <v>2021</v>
      </c>
      <c r="D814">
        <v>13438</v>
      </c>
      <c r="E814" t="s">
        <v>13</v>
      </c>
      <c r="F814" t="s">
        <v>18</v>
      </c>
      <c r="G814" t="s">
        <v>15</v>
      </c>
      <c r="H814">
        <v>4310</v>
      </c>
      <c r="I814">
        <v>133.4</v>
      </c>
      <c r="J814" s="2">
        <v>29.04</v>
      </c>
      <c r="K814">
        <v>7</v>
      </c>
      <c r="L814" s="1">
        <v>86374.36</v>
      </c>
      <c r="M814">
        <f t="shared" si="84"/>
        <v>3</v>
      </c>
      <c r="N814">
        <f t="shared" si="85"/>
        <v>28791.453333333335</v>
      </c>
      <c r="O814">
        <f t="shared" si="86"/>
        <v>4479.333333333333</v>
      </c>
      <c r="P814">
        <f t="shared" si="87"/>
        <v>30.951276102088173</v>
      </c>
      <c r="Q814" t="str">
        <f t="shared" si="88"/>
        <v>New (0-3 years)</v>
      </c>
      <c r="R814" t="str">
        <f t="shared" si="89"/>
        <v>Excellent</v>
      </c>
      <c r="S814" t="str">
        <f t="shared" si="90"/>
        <v>Medium</v>
      </c>
    </row>
    <row r="815" spans="1:19" x14ac:dyDescent="0.3">
      <c r="A815">
        <v>814</v>
      </c>
      <c r="B815" t="s">
        <v>16</v>
      </c>
      <c r="C815">
        <v>2012</v>
      </c>
      <c r="D815">
        <v>25095</v>
      </c>
      <c r="E815" t="s">
        <v>26</v>
      </c>
      <c r="F815" t="s">
        <v>14</v>
      </c>
      <c r="G815" t="s">
        <v>20</v>
      </c>
      <c r="H815">
        <v>4453</v>
      </c>
      <c r="I815">
        <v>557.29999999999995</v>
      </c>
      <c r="J815" s="2">
        <v>25.18</v>
      </c>
      <c r="K815">
        <v>7</v>
      </c>
      <c r="L815" s="1">
        <v>83499.570000000007</v>
      </c>
      <c r="M815">
        <f t="shared" si="84"/>
        <v>12</v>
      </c>
      <c r="N815">
        <f t="shared" si="85"/>
        <v>6958.2975000000006</v>
      </c>
      <c r="O815">
        <f t="shared" si="86"/>
        <v>2091.25</v>
      </c>
      <c r="P815">
        <f t="shared" si="87"/>
        <v>125.15158320233549</v>
      </c>
      <c r="Q815" t="str">
        <f t="shared" si="88"/>
        <v>Mature (8-12 years)</v>
      </c>
      <c r="R815" t="str">
        <f t="shared" si="89"/>
        <v>Excellent</v>
      </c>
      <c r="S815" t="str">
        <f t="shared" si="90"/>
        <v>Very High</v>
      </c>
    </row>
    <row r="816" spans="1:19" x14ac:dyDescent="0.3">
      <c r="A816">
        <v>815</v>
      </c>
      <c r="B816" t="s">
        <v>27</v>
      </c>
      <c r="C816">
        <v>2019</v>
      </c>
      <c r="D816">
        <v>152226</v>
      </c>
      <c r="E816" t="s">
        <v>13</v>
      </c>
      <c r="F816" t="s">
        <v>18</v>
      </c>
      <c r="G816" t="s">
        <v>23</v>
      </c>
      <c r="H816">
        <v>3165</v>
      </c>
      <c r="I816">
        <v>500</v>
      </c>
      <c r="J816" s="2">
        <v>16.489999999999998</v>
      </c>
      <c r="K816">
        <v>2</v>
      </c>
      <c r="L816" s="1">
        <v>40360.07</v>
      </c>
      <c r="M816">
        <f t="shared" si="84"/>
        <v>5</v>
      </c>
      <c r="N816">
        <f t="shared" si="85"/>
        <v>8072.0140000000001</v>
      </c>
      <c r="O816">
        <f t="shared" si="86"/>
        <v>30445.200000000001</v>
      </c>
      <c r="P816">
        <f t="shared" si="87"/>
        <v>157.9778830963665</v>
      </c>
      <c r="Q816" t="str">
        <f t="shared" si="88"/>
        <v>Recent (4-7 years)</v>
      </c>
      <c r="R816" t="str">
        <f t="shared" si="89"/>
        <v>Average</v>
      </c>
      <c r="S816" t="str">
        <f t="shared" si="90"/>
        <v>Very High</v>
      </c>
    </row>
    <row r="817" spans="1:19" x14ac:dyDescent="0.3">
      <c r="A817">
        <v>816</v>
      </c>
      <c r="B817" t="s">
        <v>28</v>
      </c>
      <c r="C817">
        <v>2012</v>
      </c>
      <c r="D817">
        <v>144076</v>
      </c>
      <c r="E817" t="s">
        <v>17</v>
      </c>
      <c r="F817" t="s">
        <v>14</v>
      </c>
      <c r="G817" t="s">
        <v>15</v>
      </c>
      <c r="H817">
        <v>3721</v>
      </c>
      <c r="I817">
        <v>238.3</v>
      </c>
      <c r="J817" s="2">
        <v>10.59</v>
      </c>
      <c r="K817">
        <v>2</v>
      </c>
      <c r="L817" s="1">
        <v>32507.68</v>
      </c>
      <c r="M817">
        <f t="shared" si="84"/>
        <v>12</v>
      </c>
      <c r="N817">
        <f t="shared" si="85"/>
        <v>2708.9733333333334</v>
      </c>
      <c r="O817">
        <f t="shared" si="86"/>
        <v>12006.333333333334</v>
      </c>
      <c r="P817">
        <f t="shared" si="87"/>
        <v>64.041924213920993</v>
      </c>
      <c r="Q817" t="str">
        <f t="shared" si="88"/>
        <v>Mature (8-12 years)</v>
      </c>
      <c r="R817" t="str">
        <f t="shared" si="89"/>
        <v>Low</v>
      </c>
      <c r="S817" t="str">
        <f t="shared" si="90"/>
        <v>Very High</v>
      </c>
    </row>
    <row r="818" spans="1:19" x14ac:dyDescent="0.3">
      <c r="A818">
        <v>817</v>
      </c>
      <c r="B818" t="s">
        <v>19</v>
      </c>
      <c r="C818">
        <v>2021</v>
      </c>
      <c r="D818">
        <v>14752</v>
      </c>
      <c r="E818" t="s">
        <v>13</v>
      </c>
      <c r="F818" t="s">
        <v>14</v>
      </c>
      <c r="G818" t="s">
        <v>20</v>
      </c>
      <c r="H818">
        <v>1879</v>
      </c>
      <c r="I818">
        <v>407.3</v>
      </c>
      <c r="J818" s="2">
        <v>28.34</v>
      </c>
      <c r="K818">
        <v>5</v>
      </c>
      <c r="L818" s="1">
        <v>114842.5</v>
      </c>
      <c r="M818">
        <f t="shared" si="84"/>
        <v>3</v>
      </c>
      <c r="N818">
        <f t="shared" si="85"/>
        <v>38280.833333333336</v>
      </c>
      <c r="O818">
        <f t="shared" si="86"/>
        <v>4917.333333333333</v>
      </c>
      <c r="P818">
        <f t="shared" si="87"/>
        <v>216.76423629590209</v>
      </c>
      <c r="Q818" t="str">
        <f t="shared" si="88"/>
        <v>New (0-3 years)</v>
      </c>
      <c r="R818" t="str">
        <f t="shared" si="89"/>
        <v>Excellent</v>
      </c>
      <c r="S818" t="str">
        <f t="shared" si="90"/>
        <v>Very High</v>
      </c>
    </row>
    <row r="819" spans="1:19" x14ac:dyDescent="0.3">
      <c r="A819">
        <v>818</v>
      </c>
      <c r="B819" t="s">
        <v>19</v>
      </c>
      <c r="C819">
        <v>2016</v>
      </c>
      <c r="D819">
        <v>60426</v>
      </c>
      <c r="E819" t="s">
        <v>22</v>
      </c>
      <c r="F819" t="s">
        <v>18</v>
      </c>
      <c r="G819" t="s">
        <v>15</v>
      </c>
      <c r="H819">
        <v>4311</v>
      </c>
      <c r="I819">
        <v>340.9</v>
      </c>
      <c r="J819" s="2">
        <v>13.61</v>
      </c>
      <c r="K819">
        <v>7</v>
      </c>
      <c r="L819" s="1">
        <v>111026.04</v>
      </c>
      <c r="M819">
        <f t="shared" si="84"/>
        <v>8</v>
      </c>
      <c r="N819">
        <f t="shared" si="85"/>
        <v>13878.254999999999</v>
      </c>
      <c r="O819">
        <f t="shared" si="86"/>
        <v>7553.25</v>
      </c>
      <c r="P819">
        <f t="shared" si="87"/>
        <v>79.076780329389933</v>
      </c>
      <c r="Q819" t="str">
        <f t="shared" si="88"/>
        <v>Mature (8-12 years)</v>
      </c>
      <c r="R819" t="str">
        <f t="shared" si="89"/>
        <v>Low</v>
      </c>
      <c r="S819" t="str">
        <f t="shared" si="90"/>
        <v>Very High</v>
      </c>
    </row>
    <row r="820" spans="1:19" x14ac:dyDescent="0.3">
      <c r="A820">
        <v>819</v>
      </c>
      <c r="B820" t="s">
        <v>29</v>
      </c>
      <c r="C820">
        <v>2012</v>
      </c>
      <c r="D820">
        <v>31819</v>
      </c>
      <c r="E820" t="s">
        <v>17</v>
      </c>
      <c r="F820" t="s">
        <v>18</v>
      </c>
      <c r="G820" t="s">
        <v>15</v>
      </c>
      <c r="H820">
        <v>3541</v>
      </c>
      <c r="I820">
        <v>419.2</v>
      </c>
      <c r="J820" s="2">
        <v>9.02</v>
      </c>
      <c r="K820">
        <v>6</v>
      </c>
      <c r="L820" s="1">
        <v>56506.04</v>
      </c>
      <c r="M820">
        <f t="shared" si="84"/>
        <v>12</v>
      </c>
      <c r="N820">
        <f t="shared" si="85"/>
        <v>4708.836666666667</v>
      </c>
      <c r="O820">
        <f t="shared" si="86"/>
        <v>2651.5833333333335</v>
      </c>
      <c r="P820">
        <f t="shared" si="87"/>
        <v>118.38463710816154</v>
      </c>
      <c r="Q820" t="str">
        <f t="shared" si="88"/>
        <v>Mature (8-12 years)</v>
      </c>
      <c r="R820" t="str">
        <f t="shared" si="89"/>
        <v>Low</v>
      </c>
      <c r="S820" t="str">
        <f t="shared" si="90"/>
        <v>Very High</v>
      </c>
    </row>
    <row r="821" spans="1:19" x14ac:dyDescent="0.3">
      <c r="A821">
        <v>820</v>
      </c>
      <c r="B821" t="s">
        <v>25</v>
      </c>
      <c r="C821">
        <v>2018</v>
      </c>
      <c r="D821">
        <v>97051</v>
      </c>
      <c r="E821" t="s">
        <v>22</v>
      </c>
      <c r="F821" t="s">
        <v>18</v>
      </c>
      <c r="G821" t="s">
        <v>15</v>
      </c>
      <c r="H821">
        <v>3820</v>
      </c>
      <c r="I821">
        <v>422.3</v>
      </c>
      <c r="J821" s="2">
        <v>19.079999999999998</v>
      </c>
      <c r="K821">
        <v>4</v>
      </c>
      <c r="L821" s="1">
        <v>102004.68</v>
      </c>
      <c r="M821">
        <f t="shared" si="84"/>
        <v>6</v>
      </c>
      <c r="N821">
        <f t="shared" si="85"/>
        <v>17000.78</v>
      </c>
      <c r="O821">
        <f t="shared" si="86"/>
        <v>16175.166666666666</v>
      </c>
      <c r="P821">
        <f t="shared" si="87"/>
        <v>110.54973821989529</v>
      </c>
      <c r="Q821" t="str">
        <f t="shared" si="88"/>
        <v>Recent (4-7 years)</v>
      </c>
      <c r="R821" t="str">
        <f t="shared" si="89"/>
        <v>Average</v>
      </c>
      <c r="S821" t="str">
        <f t="shared" si="90"/>
        <v>Very High</v>
      </c>
    </row>
    <row r="822" spans="1:19" x14ac:dyDescent="0.3">
      <c r="A822">
        <v>821</v>
      </c>
      <c r="B822" t="s">
        <v>24</v>
      </c>
      <c r="C822">
        <v>2008</v>
      </c>
      <c r="D822">
        <v>160289</v>
      </c>
      <c r="E822" t="s">
        <v>26</v>
      </c>
      <c r="F822" t="s">
        <v>14</v>
      </c>
      <c r="G822" t="s">
        <v>20</v>
      </c>
      <c r="H822">
        <v>1028</v>
      </c>
      <c r="I822">
        <v>392.1</v>
      </c>
      <c r="J822" s="2">
        <v>28.59</v>
      </c>
      <c r="K822">
        <v>5</v>
      </c>
      <c r="L822" s="1">
        <v>55921.85</v>
      </c>
      <c r="M822">
        <f t="shared" si="84"/>
        <v>16</v>
      </c>
      <c r="N822">
        <f t="shared" si="85"/>
        <v>3495.1156249999999</v>
      </c>
      <c r="O822">
        <f t="shared" si="86"/>
        <v>10018.0625</v>
      </c>
      <c r="P822">
        <f t="shared" si="87"/>
        <v>381.42023346303506</v>
      </c>
      <c r="Q822" t="str">
        <f t="shared" si="88"/>
        <v>Old (12+ years)</v>
      </c>
      <c r="R822" t="str">
        <f t="shared" si="89"/>
        <v>Excellent</v>
      </c>
      <c r="S822" t="str">
        <f t="shared" si="90"/>
        <v>Very High</v>
      </c>
    </row>
    <row r="823" spans="1:19" x14ac:dyDescent="0.3">
      <c r="A823">
        <v>822</v>
      </c>
      <c r="B823" t="s">
        <v>30</v>
      </c>
      <c r="C823">
        <v>2005</v>
      </c>
      <c r="D823">
        <v>37994</v>
      </c>
      <c r="E823" t="s">
        <v>22</v>
      </c>
      <c r="F823" t="s">
        <v>14</v>
      </c>
      <c r="G823" t="s">
        <v>23</v>
      </c>
      <c r="H823">
        <v>970</v>
      </c>
      <c r="I823">
        <v>189</v>
      </c>
      <c r="J823" s="2">
        <v>5.0999999999999996</v>
      </c>
      <c r="K823">
        <v>7</v>
      </c>
      <c r="L823" s="1">
        <v>52653.52</v>
      </c>
      <c r="M823">
        <f t="shared" si="84"/>
        <v>19</v>
      </c>
      <c r="N823">
        <f t="shared" si="85"/>
        <v>2771.237894736842</v>
      </c>
      <c r="O823">
        <f t="shared" si="86"/>
        <v>1999.6842105263158</v>
      </c>
      <c r="P823">
        <f t="shared" si="87"/>
        <v>194.84536082474227</v>
      </c>
      <c r="Q823" t="str">
        <f t="shared" si="88"/>
        <v>Old (12+ years)</v>
      </c>
      <c r="R823" t="str">
        <f t="shared" si="89"/>
        <v>Low</v>
      </c>
      <c r="S823" t="str">
        <f t="shared" si="90"/>
        <v>High</v>
      </c>
    </row>
    <row r="824" spans="1:19" x14ac:dyDescent="0.3">
      <c r="A824">
        <v>823</v>
      </c>
      <c r="B824" t="s">
        <v>21</v>
      </c>
      <c r="C824">
        <v>2005</v>
      </c>
      <c r="D824">
        <v>151108</v>
      </c>
      <c r="E824" t="s">
        <v>22</v>
      </c>
      <c r="F824" t="s">
        <v>14</v>
      </c>
      <c r="G824" t="s">
        <v>23</v>
      </c>
      <c r="H824">
        <v>1094</v>
      </c>
      <c r="I824">
        <v>61.8</v>
      </c>
      <c r="J824" s="2">
        <v>10.95</v>
      </c>
      <c r="K824">
        <v>2</v>
      </c>
      <c r="L824" s="1">
        <v>21341.26</v>
      </c>
      <c r="M824">
        <f t="shared" si="84"/>
        <v>19</v>
      </c>
      <c r="N824">
        <f t="shared" si="85"/>
        <v>1123.2242105263158</v>
      </c>
      <c r="O824">
        <f t="shared" si="86"/>
        <v>7953.0526315789475</v>
      </c>
      <c r="P824">
        <f t="shared" si="87"/>
        <v>56.489945155393045</v>
      </c>
      <c r="Q824" t="str">
        <f t="shared" si="88"/>
        <v>Old (12+ years)</v>
      </c>
      <c r="R824" t="str">
        <f t="shared" si="89"/>
        <v>Low</v>
      </c>
      <c r="S824" t="str">
        <f t="shared" si="90"/>
        <v>Low</v>
      </c>
    </row>
    <row r="825" spans="1:19" x14ac:dyDescent="0.3">
      <c r="A825">
        <v>824</v>
      </c>
      <c r="B825" t="s">
        <v>27</v>
      </c>
      <c r="C825">
        <v>2023</v>
      </c>
      <c r="D825">
        <v>102756</v>
      </c>
      <c r="E825" t="s">
        <v>13</v>
      </c>
      <c r="F825" t="s">
        <v>18</v>
      </c>
      <c r="G825" t="s">
        <v>23</v>
      </c>
      <c r="H825">
        <v>1225</v>
      </c>
      <c r="I825">
        <v>295.10000000000002</v>
      </c>
      <c r="J825" s="2">
        <v>28.46</v>
      </c>
      <c r="K825">
        <v>7</v>
      </c>
      <c r="L825" s="1">
        <v>52889.51</v>
      </c>
      <c r="M825">
        <f t="shared" si="84"/>
        <v>1</v>
      </c>
      <c r="N825">
        <f t="shared" si="85"/>
        <v>52889.51</v>
      </c>
      <c r="O825">
        <f t="shared" si="86"/>
        <v>102756</v>
      </c>
      <c r="P825">
        <f t="shared" si="87"/>
        <v>240.89795918367346</v>
      </c>
      <c r="Q825" t="str">
        <f t="shared" si="88"/>
        <v>New (0-3 years)</v>
      </c>
      <c r="R825" t="str">
        <f t="shared" si="89"/>
        <v>Excellent</v>
      </c>
      <c r="S825" t="str">
        <f t="shared" si="90"/>
        <v>Very High</v>
      </c>
    </row>
    <row r="826" spans="1:19" x14ac:dyDescent="0.3">
      <c r="A826">
        <v>825</v>
      </c>
      <c r="B826" t="s">
        <v>16</v>
      </c>
      <c r="C826">
        <v>2020</v>
      </c>
      <c r="D826">
        <v>185488</v>
      </c>
      <c r="E826" t="s">
        <v>22</v>
      </c>
      <c r="F826" t="s">
        <v>18</v>
      </c>
      <c r="G826" t="s">
        <v>15</v>
      </c>
      <c r="H826">
        <v>1718</v>
      </c>
      <c r="I826">
        <v>538.9</v>
      </c>
      <c r="J826" s="2">
        <v>9.2799999999999994</v>
      </c>
      <c r="K826">
        <v>6</v>
      </c>
      <c r="L826" s="1">
        <v>65877.78</v>
      </c>
      <c r="M826">
        <f t="shared" si="84"/>
        <v>4</v>
      </c>
      <c r="N826">
        <f t="shared" si="85"/>
        <v>16469.445</v>
      </c>
      <c r="O826">
        <f t="shared" si="86"/>
        <v>46372</v>
      </c>
      <c r="P826">
        <f t="shared" si="87"/>
        <v>313.67869615832365</v>
      </c>
      <c r="Q826" t="str">
        <f t="shared" si="88"/>
        <v>Recent (4-7 years)</v>
      </c>
      <c r="R826" t="str">
        <f t="shared" si="89"/>
        <v>Low</v>
      </c>
      <c r="S826" t="str">
        <f t="shared" si="90"/>
        <v>Very High</v>
      </c>
    </row>
    <row r="827" spans="1:19" x14ac:dyDescent="0.3">
      <c r="A827">
        <v>826</v>
      </c>
      <c r="B827" t="s">
        <v>24</v>
      </c>
      <c r="C827">
        <v>2018</v>
      </c>
      <c r="D827">
        <v>145659</v>
      </c>
      <c r="E827" t="s">
        <v>17</v>
      </c>
      <c r="F827" t="s">
        <v>18</v>
      </c>
      <c r="G827" t="s">
        <v>20</v>
      </c>
      <c r="H827">
        <v>4053</v>
      </c>
      <c r="I827">
        <v>358.9</v>
      </c>
      <c r="J827" s="2">
        <v>7.83</v>
      </c>
      <c r="K827">
        <v>5</v>
      </c>
      <c r="L827" s="1">
        <v>5633.01</v>
      </c>
      <c r="M827">
        <f t="shared" si="84"/>
        <v>6</v>
      </c>
      <c r="N827">
        <f t="shared" si="85"/>
        <v>938.83500000000004</v>
      </c>
      <c r="O827">
        <f t="shared" si="86"/>
        <v>24276.5</v>
      </c>
      <c r="P827">
        <f t="shared" si="87"/>
        <v>88.551690106094242</v>
      </c>
      <c r="Q827" t="str">
        <f t="shared" si="88"/>
        <v>Recent (4-7 years)</v>
      </c>
      <c r="R827" t="str">
        <f t="shared" si="89"/>
        <v>Low</v>
      </c>
      <c r="S827" t="str">
        <f t="shared" si="90"/>
        <v>Very High</v>
      </c>
    </row>
    <row r="828" spans="1:19" x14ac:dyDescent="0.3">
      <c r="A828">
        <v>827</v>
      </c>
      <c r="B828" t="s">
        <v>28</v>
      </c>
      <c r="C828">
        <v>2020</v>
      </c>
      <c r="D828">
        <v>100665</v>
      </c>
      <c r="E828" t="s">
        <v>17</v>
      </c>
      <c r="F828" t="s">
        <v>18</v>
      </c>
      <c r="G828" t="s">
        <v>15</v>
      </c>
      <c r="H828">
        <v>1298</v>
      </c>
      <c r="I828">
        <v>506.1</v>
      </c>
      <c r="J828" s="2">
        <v>19.25</v>
      </c>
      <c r="K828">
        <v>2</v>
      </c>
      <c r="L828" s="1">
        <v>54961.22</v>
      </c>
      <c r="M828">
        <f t="shared" si="84"/>
        <v>4</v>
      </c>
      <c r="N828">
        <f t="shared" si="85"/>
        <v>13740.305</v>
      </c>
      <c r="O828">
        <f t="shared" si="86"/>
        <v>25166.25</v>
      </c>
      <c r="P828">
        <f t="shared" si="87"/>
        <v>389.90755007704161</v>
      </c>
      <c r="Q828" t="str">
        <f t="shared" si="88"/>
        <v>Recent (4-7 years)</v>
      </c>
      <c r="R828" t="str">
        <f t="shared" si="89"/>
        <v>Average</v>
      </c>
      <c r="S828" t="str">
        <f t="shared" si="90"/>
        <v>Very High</v>
      </c>
    </row>
    <row r="829" spans="1:19" x14ac:dyDescent="0.3">
      <c r="A829">
        <v>828</v>
      </c>
      <c r="B829" t="s">
        <v>19</v>
      </c>
      <c r="C829">
        <v>2009</v>
      </c>
      <c r="D829">
        <v>136717</v>
      </c>
      <c r="E829" t="s">
        <v>26</v>
      </c>
      <c r="F829" t="s">
        <v>14</v>
      </c>
      <c r="G829" t="s">
        <v>23</v>
      </c>
      <c r="H829">
        <v>3609</v>
      </c>
      <c r="I829">
        <v>595.29999999999995</v>
      </c>
      <c r="J829" s="2">
        <v>26.55</v>
      </c>
      <c r="K829">
        <v>6</v>
      </c>
      <c r="L829" s="1">
        <v>94418.68</v>
      </c>
      <c r="M829">
        <f t="shared" si="84"/>
        <v>15</v>
      </c>
      <c r="N829">
        <f t="shared" si="85"/>
        <v>6294.5786666666663</v>
      </c>
      <c r="O829">
        <f t="shared" si="86"/>
        <v>9114.4666666666672</v>
      </c>
      <c r="P829">
        <f t="shared" si="87"/>
        <v>164.94873926295372</v>
      </c>
      <c r="Q829" t="str">
        <f t="shared" si="88"/>
        <v>Old (12+ years)</v>
      </c>
      <c r="R829" t="str">
        <f t="shared" si="89"/>
        <v>Excellent</v>
      </c>
      <c r="S829" t="str">
        <f t="shared" si="90"/>
        <v>Very High</v>
      </c>
    </row>
    <row r="830" spans="1:19" x14ac:dyDescent="0.3">
      <c r="A830">
        <v>829</v>
      </c>
      <c r="B830" t="s">
        <v>27</v>
      </c>
      <c r="C830">
        <v>2013</v>
      </c>
      <c r="D830">
        <v>167002</v>
      </c>
      <c r="E830" t="s">
        <v>17</v>
      </c>
      <c r="F830" t="s">
        <v>14</v>
      </c>
      <c r="G830" t="s">
        <v>23</v>
      </c>
      <c r="H830">
        <v>1625</v>
      </c>
      <c r="I830">
        <v>131.6</v>
      </c>
      <c r="J830" s="2">
        <v>16.93</v>
      </c>
      <c r="K830">
        <v>4</v>
      </c>
      <c r="L830" s="1">
        <v>82565.39</v>
      </c>
      <c r="M830">
        <f t="shared" si="84"/>
        <v>11</v>
      </c>
      <c r="N830">
        <f t="shared" si="85"/>
        <v>7505.9445454545457</v>
      </c>
      <c r="O830">
        <f t="shared" si="86"/>
        <v>15182</v>
      </c>
      <c r="P830">
        <f t="shared" si="87"/>
        <v>80.984615384615381</v>
      </c>
      <c r="Q830" t="str">
        <f t="shared" si="88"/>
        <v>Mature (8-12 years)</v>
      </c>
      <c r="R830" t="str">
        <f t="shared" si="89"/>
        <v>Average</v>
      </c>
      <c r="S830" t="str">
        <f t="shared" si="90"/>
        <v>Medium</v>
      </c>
    </row>
    <row r="831" spans="1:19" x14ac:dyDescent="0.3">
      <c r="A831">
        <v>830</v>
      </c>
      <c r="B831" t="s">
        <v>21</v>
      </c>
      <c r="C831">
        <v>2006</v>
      </c>
      <c r="D831">
        <v>86835</v>
      </c>
      <c r="E831" t="s">
        <v>13</v>
      </c>
      <c r="F831" t="s">
        <v>14</v>
      </c>
      <c r="G831" t="s">
        <v>20</v>
      </c>
      <c r="H831">
        <v>4579</v>
      </c>
      <c r="I831">
        <v>427.4</v>
      </c>
      <c r="J831" s="2">
        <v>29.86</v>
      </c>
      <c r="K831">
        <v>5</v>
      </c>
      <c r="L831" s="1">
        <v>77313.37</v>
      </c>
      <c r="M831">
        <f t="shared" si="84"/>
        <v>18</v>
      </c>
      <c r="N831">
        <f t="shared" si="85"/>
        <v>4295.1872222222219</v>
      </c>
      <c r="O831">
        <f t="shared" si="86"/>
        <v>4824.166666666667</v>
      </c>
      <c r="P831">
        <f t="shared" si="87"/>
        <v>93.339157021183667</v>
      </c>
      <c r="Q831" t="str">
        <f t="shared" si="88"/>
        <v>Old (12+ years)</v>
      </c>
      <c r="R831" t="str">
        <f t="shared" si="89"/>
        <v>Excellent</v>
      </c>
      <c r="S831" t="str">
        <f t="shared" si="90"/>
        <v>Very High</v>
      </c>
    </row>
    <row r="832" spans="1:19" x14ac:dyDescent="0.3">
      <c r="A832">
        <v>831</v>
      </c>
      <c r="B832" t="s">
        <v>30</v>
      </c>
      <c r="C832">
        <v>2022</v>
      </c>
      <c r="D832">
        <v>127232</v>
      </c>
      <c r="E832" t="s">
        <v>26</v>
      </c>
      <c r="F832" t="s">
        <v>14</v>
      </c>
      <c r="G832" t="s">
        <v>15</v>
      </c>
      <c r="H832">
        <v>2658</v>
      </c>
      <c r="I832">
        <v>417.6</v>
      </c>
      <c r="J832" s="2">
        <v>21.98</v>
      </c>
      <c r="K832">
        <v>6</v>
      </c>
      <c r="L832" s="1">
        <v>109417.99</v>
      </c>
      <c r="M832">
        <f t="shared" si="84"/>
        <v>2</v>
      </c>
      <c r="N832">
        <f t="shared" si="85"/>
        <v>54708.995000000003</v>
      </c>
      <c r="O832">
        <f t="shared" si="86"/>
        <v>63616</v>
      </c>
      <c r="P832">
        <f t="shared" si="87"/>
        <v>157.11060948081266</v>
      </c>
      <c r="Q832" t="str">
        <f t="shared" si="88"/>
        <v>New (0-3 years)</v>
      </c>
      <c r="R832" t="str">
        <f t="shared" si="89"/>
        <v>Good</v>
      </c>
      <c r="S832" t="str">
        <f t="shared" si="90"/>
        <v>Very High</v>
      </c>
    </row>
    <row r="833" spans="1:19" x14ac:dyDescent="0.3">
      <c r="A833">
        <v>832</v>
      </c>
      <c r="B833" t="s">
        <v>29</v>
      </c>
      <c r="C833">
        <v>2010</v>
      </c>
      <c r="D833">
        <v>166162</v>
      </c>
      <c r="E833" t="s">
        <v>17</v>
      </c>
      <c r="F833" t="s">
        <v>18</v>
      </c>
      <c r="G833" t="s">
        <v>23</v>
      </c>
      <c r="H833">
        <v>2918</v>
      </c>
      <c r="I833">
        <v>588.79999999999995</v>
      </c>
      <c r="J833" s="2">
        <v>6.85</v>
      </c>
      <c r="K833">
        <v>6</v>
      </c>
      <c r="L833" s="1">
        <v>5109.75</v>
      </c>
      <c r="M833">
        <f t="shared" si="84"/>
        <v>14</v>
      </c>
      <c r="N833">
        <f t="shared" si="85"/>
        <v>364.98214285714283</v>
      </c>
      <c r="O833">
        <f t="shared" si="86"/>
        <v>11868.714285714286</v>
      </c>
      <c r="P833">
        <f t="shared" si="87"/>
        <v>201.78204249485947</v>
      </c>
      <c r="Q833" t="str">
        <f t="shared" si="88"/>
        <v>Old (12+ years)</v>
      </c>
      <c r="R833" t="str">
        <f t="shared" si="89"/>
        <v>Low</v>
      </c>
      <c r="S833" t="str">
        <f t="shared" si="90"/>
        <v>Very High</v>
      </c>
    </row>
    <row r="834" spans="1:19" x14ac:dyDescent="0.3">
      <c r="A834">
        <v>833</v>
      </c>
      <c r="B834" t="s">
        <v>21</v>
      </c>
      <c r="C834">
        <v>2013</v>
      </c>
      <c r="D834">
        <v>188214</v>
      </c>
      <c r="E834" t="s">
        <v>13</v>
      </c>
      <c r="F834" t="s">
        <v>18</v>
      </c>
      <c r="G834" t="s">
        <v>20</v>
      </c>
      <c r="H834">
        <v>945</v>
      </c>
      <c r="I834">
        <v>591.9</v>
      </c>
      <c r="J834" s="2">
        <v>29.82</v>
      </c>
      <c r="K834">
        <v>2</v>
      </c>
      <c r="L834" s="1">
        <v>68174.570000000007</v>
      </c>
      <c r="M834">
        <f t="shared" si="84"/>
        <v>11</v>
      </c>
      <c r="N834">
        <f t="shared" si="85"/>
        <v>6197.6881818181828</v>
      </c>
      <c r="O834">
        <f t="shared" si="86"/>
        <v>17110.363636363636</v>
      </c>
      <c r="P834">
        <f t="shared" si="87"/>
        <v>626.34920634920638</v>
      </c>
      <c r="Q834" t="str">
        <f t="shared" si="88"/>
        <v>Mature (8-12 years)</v>
      </c>
      <c r="R834" t="str">
        <f t="shared" si="89"/>
        <v>Excellent</v>
      </c>
      <c r="S834" t="str">
        <f t="shared" si="90"/>
        <v>Very High</v>
      </c>
    </row>
    <row r="835" spans="1:19" x14ac:dyDescent="0.3">
      <c r="A835">
        <v>834</v>
      </c>
      <c r="B835" t="s">
        <v>27</v>
      </c>
      <c r="C835">
        <v>2005</v>
      </c>
      <c r="D835">
        <v>162547</v>
      </c>
      <c r="E835" t="s">
        <v>17</v>
      </c>
      <c r="F835" t="s">
        <v>18</v>
      </c>
      <c r="G835" t="s">
        <v>15</v>
      </c>
      <c r="H835">
        <v>4377</v>
      </c>
      <c r="I835">
        <v>424.5</v>
      </c>
      <c r="J835" s="2">
        <v>15.2</v>
      </c>
      <c r="K835">
        <v>4</v>
      </c>
      <c r="L835" s="1">
        <v>95119.82</v>
      </c>
      <c r="M835">
        <f t="shared" ref="M835:M898" si="91">2024-C835</f>
        <v>19</v>
      </c>
      <c r="N835">
        <f t="shared" ref="N835:N898" si="92">IF(M835&gt;0, L835/M835, L835)</f>
        <v>5006.306315789474</v>
      </c>
      <c r="O835">
        <f t="shared" ref="O835:O898" si="93">IF(M835&gt;0, D835/M835, D835)</f>
        <v>8555.105263157895</v>
      </c>
      <c r="P835">
        <f t="shared" ref="P835:P898" si="94">IF(H835&gt;0, I835/(H835/1000), 0)</f>
        <v>96.984235777930095</v>
      </c>
      <c r="Q835" t="str">
        <f t="shared" ref="Q835:Q898" si="95">IF(M835&lt;=3, "New (0-3 years)",
   IF(M835&lt;=7, "Recent (4-7 years)",
   IF(M835&lt;=12, "Mature (8-12 years)",
   "Old (12+ years)")))</f>
        <v>Old (12+ years)</v>
      </c>
      <c r="R835" t="str">
        <f t="shared" ref="R835:R898" si="96">IF(J835&gt;=25, "Excellent",
   IF(J835&gt;=20, "Good",
   IF(J835&gt;=15, "Average",
   "Low")))</f>
        <v>Average</v>
      </c>
      <c r="S835" t="str">
        <f t="shared" ref="S835:S898" si="97">IF(I835&gt;=200, "Very High",
   IF(I835&gt;=150, "High",
   IF(I835&gt;=100, "Medium",
   "Low")))</f>
        <v>Very High</v>
      </c>
    </row>
    <row r="836" spans="1:19" x14ac:dyDescent="0.3">
      <c r="A836">
        <v>835</v>
      </c>
      <c r="B836" t="s">
        <v>21</v>
      </c>
      <c r="C836">
        <v>2013</v>
      </c>
      <c r="D836">
        <v>154960</v>
      </c>
      <c r="E836" t="s">
        <v>17</v>
      </c>
      <c r="F836" t="s">
        <v>14</v>
      </c>
      <c r="G836" t="s">
        <v>15</v>
      </c>
      <c r="H836">
        <v>992</v>
      </c>
      <c r="I836">
        <v>176.4</v>
      </c>
      <c r="J836" s="2">
        <v>12.19</v>
      </c>
      <c r="K836">
        <v>6</v>
      </c>
      <c r="L836" s="1">
        <v>66336.240000000005</v>
      </c>
      <c r="M836">
        <f t="shared" si="91"/>
        <v>11</v>
      </c>
      <c r="N836">
        <f t="shared" si="92"/>
        <v>6030.5672727272731</v>
      </c>
      <c r="O836">
        <f t="shared" si="93"/>
        <v>14087.272727272728</v>
      </c>
      <c r="P836">
        <f t="shared" si="94"/>
        <v>177.82258064516131</v>
      </c>
      <c r="Q836" t="str">
        <f t="shared" si="95"/>
        <v>Mature (8-12 years)</v>
      </c>
      <c r="R836" t="str">
        <f t="shared" si="96"/>
        <v>Low</v>
      </c>
      <c r="S836" t="str">
        <f t="shared" si="97"/>
        <v>High</v>
      </c>
    </row>
    <row r="837" spans="1:19" x14ac:dyDescent="0.3">
      <c r="A837">
        <v>836</v>
      </c>
      <c r="B837" t="s">
        <v>27</v>
      </c>
      <c r="C837">
        <v>2020</v>
      </c>
      <c r="D837">
        <v>48732</v>
      </c>
      <c r="E837" t="s">
        <v>22</v>
      </c>
      <c r="F837" t="s">
        <v>14</v>
      </c>
      <c r="G837" t="s">
        <v>23</v>
      </c>
      <c r="H837">
        <v>4688</v>
      </c>
      <c r="I837">
        <v>487.2</v>
      </c>
      <c r="J837" s="2">
        <v>18.95</v>
      </c>
      <c r="K837">
        <v>5</v>
      </c>
      <c r="L837" s="1">
        <v>40895.78</v>
      </c>
      <c r="M837">
        <f t="shared" si="91"/>
        <v>4</v>
      </c>
      <c r="N837">
        <f t="shared" si="92"/>
        <v>10223.945</v>
      </c>
      <c r="O837">
        <f t="shared" si="93"/>
        <v>12183</v>
      </c>
      <c r="P837">
        <f t="shared" si="94"/>
        <v>103.92491467576792</v>
      </c>
      <c r="Q837" t="str">
        <f t="shared" si="95"/>
        <v>Recent (4-7 years)</v>
      </c>
      <c r="R837" t="str">
        <f t="shared" si="96"/>
        <v>Average</v>
      </c>
      <c r="S837" t="str">
        <f t="shared" si="97"/>
        <v>Very High</v>
      </c>
    </row>
    <row r="838" spans="1:19" x14ac:dyDescent="0.3">
      <c r="A838">
        <v>837</v>
      </c>
      <c r="B838" t="s">
        <v>27</v>
      </c>
      <c r="C838">
        <v>2017</v>
      </c>
      <c r="D838">
        <v>51305</v>
      </c>
      <c r="E838" t="s">
        <v>17</v>
      </c>
      <c r="F838" t="s">
        <v>18</v>
      </c>
      <c r="G838" t="s">
        <v>23</v>
      </c>
      <c r="H838">
        <v>851</v>
      </c>
      <c r="I838">
        <v>99.9</v>
      </c>
      <c r="J838" s="2">
        <v>12.61</v>
      </c>
      <c r="K838">
        <v>6</v>
      </c>
      <c r="L838" s="1">
        <v>18941.32</v>
      </c>
      <c r="M838">
        <f t="shared" si="91"/>
        <v>7</v>
      </c>
      <c r="N838">
        <f t="shared" si="92"/>
        <v>2705.9028571428571</v>
      </c>
      <c r="O838">
        <f t="shared" si="93"/>
        <v>7329.2857142857147</v>
      </c>
      <c r="P838">
        <f t="shared" si="94"/>
        <v>117.39130434782609</v>
      </c>
      <c r="Q838" t="str">
        <f t="shared" si="95"/>
        <v>Recent (4-7 years)</v>
      </c>
      <c r="R838" t="str">
        <f t="shared" si="96"/>
        <v>Low</v>
      </c>
      <c r="S838" t="str">
        <f t="shared" si="97"/>
        <v>Low</v>
      </c>
    </row>
    <row r="839" spans="1:19" x14ac:dyDescent="0.3">
      <c r="A839">
        <v>838</v>
      </c>
      <c r="B839" t="s">
        <v>12</v>
      </c>
      <c r="C839">
        <v>2013</v>
      </c>
      <c r="D839">
        <v>182109</v>
      </c>
      <c r="E839" t="s">
        <v>17</v>
      </c>
      <c r="F839" t="s">
        <v>18</v>
      </c>
      <c r="G839" t="s">
        <v>15</v>
      </c>
      <c r="H839">
        <v>3210</v>
      </c>
      <c r="I839">
        <v>477.2</v>
      </c>
      <c r="J839" s="2">
        <v>7.16</v>
      </c>
      <c r="K839">
        <v>7</v>
      </c>
      <c r="L839" s="1">
        <v>106844.88</v>
      </c>
      <c r="M839">
        <f t="shared" si="91"/>
        <v>11</v>
      </c>
      <c r="N839">
        <f t="shared" si="92"/>
        <v>9713.1709090909098</v>
      </c>
      <c r="O839">
        <f t="shared" si="93"/>
        <v>16555.363636363636</v>
      </c>
      <c r="P839">
        <f t="shared" si="94"/>
        <v>148.66043613707166</v>
      </c>
      <c r="Q839" t="str">
        <f t="shared" si="95"/>
        <v>Mature (8-12 years)</v>
      </c>
      <c r="R839" t="str">
        <f t="shared" si="96"/>
        <v>Low</v>
      </c>
      <c r="S839" t="str">
        <f t="shared" si="97"/>
        <v>Very High</v>
      </c>
    </row>
    <row r="840" spans="1:19" x14ac:dyDescent="0.3">
      <c r="A840">
        <v>839</v>
      </c>
      <c r="B840" t="s">
        <v>16</v>
      </c>
      <c r="C840">
        <v>2017</v>
      </c>
      <c r="D840">
        <v>14346</v>
      </c>
      <c r="E840" t="s">
        <v>13</v>
      </c>
      <c r="F840" t="s">
        <v>14</v>
      </c>
      <c r="G840" t="s">
        <v>15</v>
      </c>
      <c r="H840">
        <v>2620</v>
      </c>
      <c r="I840">
        <v>549.70000000000005</v>
      </c>
      <c r="J840" s="2">
        <v>5.04</v>
      </c>
      <c r="K840">
        <v>5</v>
      </c>
      <c r="L840" s="1">
        <v>58079.199999999997</v>
      </c>
      <c r="M840">
        <f t="shared" si="91"/>
        <v>7</v>
      </c>
      <c r="N840">
        <f t="shared" si="92"/>
        <v>8297.028571428571</v>
      </c>
      <c r="O840">
        <f t="shared" si="93"/>
        <v>2049.4285714285716</v>
      </c>
      <c r="P840">
        <f t="shared" si="94"/>
        <v>209.80916030534351</v>
      </c>
      <c r="Q840" t="str">
        <f t="shared" si="95"/>
        <v>Recent (4-7 years)</v>
      </c>
      <c r="R840" t="str">
        <f t="shared" si="96"/>
        <v>Low</v>
      </c>
      <c r="S840" t="str">
        <f t="shared" si="97"/>
        <v>Very High</v>
      </c>
    </row>
    <row r="841" spans="1:19" x14ac:dyDescent="0.3">
      <c r="A841">
        <v>840</v>
      </c>
      <c r="B841" t="s">
        <v>19</v>
      </c>
      <c r="C841">
        <v>2013</v>
      </c>
      <c r="D841">
        <v>5587</v>
      </c>
      <c r="E841" t="s">
        <v>13</v>
      </c>
      <c r="F841" t="s">
        <v>18</v>
      </c>
      <c r="G841" t="s">
        <v>23</v>
      </c>
      <c r="H841">
        <v>3764</v>
      </c>
      <c r="I841">
        <v>254.4</v>
      </c>
      <c r="J841" s="2">
        <v>16.239999999999998</v>
      </c>
      <c r="K841">
        <v>5</v>
      </c>
      <c r="L841" s="1">
        <v>105739.48</v>
      </c>
      <c r="M841">
        <f t="shared" si="91"/>
        <v>11</v>
      </c>
      <c r="N841">
        <f t="shared" si="92"/>
        <v>9612.68</v>
      </c>
      <c r="O841">
        <f t="shared" si="93"/>
        <v>507.90909090909093</v>
      </c>
      <c r="P841">
        <f t="shared" si="94"/>
        <v>67.587672688629127</v>
      </c>
      <c r="Q841" t="str">
        <f t="shared" si="95"/>
        <v>Mature (8-12 years)</v>
      </c>
      <c r="R841" t="str">
        <f t="shared" si="96"/>
        <v>Average</v>
      </c>
      <c r="S841" t="str">
        <f t="shared" si="97"/>
        <v>Very High</v>
      </c>
    </row>
    <row r="842" spans="1:19" x14ac:dyDescent="0.3">
      <c r="A842">
        <v>841</v>
      </c>
      <c r="B842" t="s">
        <v>12</v>
      </c>
      <c r="C842">
        <v>2015</v>
      </c>
      <c r="D842">
        <v>17763</v>
      </c>
      <c r="E842" t="s">
        <v>22</v>
      </c>
      <c r="F842" t="s">
        <v>14</v>
      </c>
      <c r="G842" t="s">
        <v>15</v>
      </c>
      <c r="H842">
        <v>3321</v>
      </c>
      <c r="I842">
        <v>393.2</v>
      </c>
      <c r="J842" s="2">
        <v>25.92</v>
      </c>
      <c r="K842">
        <v>6</v>
      </c>
      <c r="L842" s="1">
        <v>71544.7</v>
      </c>
      <c r="M842">
        <f t="shared" si="91"/>
        <v>9</v>
      </c>
      <c r="N842">
        <f t="shared" si="92"/>
        <v>7949.4111111111106</v>
      </c>
      <c r="O842">
        <f t="shared" si="93"/>
        <v>1973.6666666666667</v>
      </c>
      <c r="P842">
        <f t="shared" si="94"/>
        <v>118.39807286961758</v>
      </c>
      <c r="Q842" t="str">
        <f t="shared" si="95"/>
        <v>Mature (8-12 years)</v>
      </c>
      <c r="R842" t="str">
        <f t="shared" si="96"/>
        <v>Excellent</v>
      </c>
      <c r="S842" t="str">
        <f t="shared" si="97"/>
        <v>Very High</v>
      </c>
    </row>
    <row r="843" spans="1:19" x14ac:dyDescent="0.3">
      <c r="A843">
        <v>842</v>
      </c>
      <c r="B843" t="s">
        <v>30</v>
      </c>
      <c r="C843">
        <v>2008</v>
      </c>
      <c r="D843">
        <v>195237</v>
      </c>
      <c r="E843" t="s">
        <v>17</v>
      </c>
      <c r="F843" t="s">
        <v>14</v>
      </c>
      <c r="G843" t="s">
        <v>23</v>
      </c>
      <c r="H843">
        <v>2669</v>
      </c>
      <c r="I843">
        <v>280.89999999999998</v>
      </c>
      <c r="J843" s="2">
        <v>19.309999999999999</v>
      </c>
      <c r="K843">
        <v>2</v>
      </c>
      <c r="L843" s="1">
        <v>81880.479999999996</v>
      </c>
      <c r="M843">
        <f t="shared" si="91"/>
        <v>16</v>
      </c>
      <c r="N843">
        <f t="shared" si="92"/>
        <v>5117.53</v>
      </c>
      <c r="O843">
        <f t="shared" si="93"/>
        <v>12202.3125</v>
      </c>
      <c r="P843">
        <f t="shared" si="94"/>
        <v>105.24541026601723</v>
      </c>
      <c r="Q843" t="str">
        <f t="shared" si="95"/>
        <v>Old (12+ years)</v>
      </c>
      <c r="R843" t="str">
        <f t="shared" si="96"/>
        <v>Average</v>
      </c>
      <c r="S843" t="str">
        <f t="shared" si="97"/>
        <v>Very High</v>
      </c>
    </row>
    <row r="844" spans="1:19" x14ac:dyDescent="0.3">
      <c r="A844">
        <v>843</v>
      </c>
      <c r="B844" t="s">
        <v>12</v>
      </c>
      <c r="C844">
        <v>2006</v>
      </c>
      <c r="D844">
        <v>74615</v>
      </c>
      <c r="E844" t="s">
        <v>22</v>
      </c>
      <c r="F844" t="s">
        <v>14</v>
      </c>
      <c r="G844" t="s">
        <v>15</v>
      </c>
      <c r="H844">
        <v>3368</v>
      </c>
      <c r="I844">
        <v>285.10000000000002</v>
      </c>
      <c r="J844" s="2">
        <v>29.98</v>
      </c>
      <c r="K844">
        <v>5</v>
      </c>
      <c r="L844" s="1">
        <v>97098.559999999998</v>
      </c>
      <c r="M844">
        <f t="shared" si="91"/>
        <v>18</v>
      </c>
      <c r="N844">
        <f t="shared" si="92"/>
        <v>5394.3644444444444</v>
      </c>
      <c r="O844">
        <f t="shared" si="93"/>
        <v>4145.2777777777774</v>
      </c>
      <c r="P844">
        <f t="shared" si="94"/>
        <v>84.649643705463191</v>
      </c>
      <c r="Q844" t="str">
        <f t="shared" si="95"/>
        <v>Old (12+ years)</v>
      </c>
      <c r="R844" t="str">
        <f t="shared" si="96"/>
        <v>Excellent</v>
      </c>
      <c r="S844" t="str">
        <f t="shared" si="97"/>
        <v>Very High</v>
      </c>
    </row>
    <row r="845" spans="1:19" x14ac:dyDescent="0.3">
      <c r="A845">
        <v>844</v>
      </c>
      <c r="B845" t="s">
        <v>25</v>
      </c>
      <c r="C845">
        <v>2010</v>
      </c>
      <c r="D845">
        <v>172188</v>
      </c>
      <c r="E845" t="s">
        <v>17</v>
      </c>
      <c r="F845" t="s">
        <v>18</v>
      </c>
      <c r="G845" t="s">
        <v>23</v>
      </c>
      <c r="H845">
        <v>2667</v>
      </c>
      <c r="I845">
        <v>213.8</v>
      </c>
      <c r="J845" s="2">
        <v>12.17</v>
      </c>
      <c r="K845">
        <v>7</v>
      </c>
      <c r="L845" s="1">
        <v>80121.2</v>
      </c>
      <c r="M845">
        <f t="shared" si="91"/>
        <v>14</v>
      </c>
      <c r="N845">
        <f t="shared" si="92"/>
        <v>5722.9428571428571</v>
      </c>
      <c r="O845">
        <f t="shared" si="93"/>
        <v>12299.142857142857</v>
      </c>
      <c r="P845">
        <f t="shared" si="94"/>
        <v>80.164979377577808</v>
      </c>
      <c r="Q845" t="str">
        <f t="shared" si="95"/>
        <v>Old (12+ years)</v>
      </c>
      <c r="R845" t="str">
        <f t="shared" si="96"/>
        <v>Low</v>
      </c>
      <c r="S845" t="str">
        <f t="shared" si="97"/>
        <v>Very High</v>
      </c>
    </row>
    <row r="846" spans="1:19" x14ac:dyDescent="0.3">
      <c r="A846">
        <v>845</v>
      </c>
      <c r="B846" t="s">
        <v>25</v>
      </c>
      <c r="C846">
        <v>2018</v>
      </c>
      <c r="D846">
        <v>125987</v>
      </c>
      <c r="E846" t="s">
        <v>26</v>
      </c>
      <c r="F846" t="s">
        <v>18</v>
      </c>
      <c r="G846" t="s">
        <v>20</v>
      </c>
      <c r="H846">
        <v>3538</v>
      </c>
      <c r="I846">
        <v>466.8</v>
      </c>
      <c r="J846" s="2">
        <v>12.01</v>
      </c>
      <c r="K846">
        <v>2</v>
      </c>
      <c r="L846" s="1">
        <v>49572.42</v>
      </c>
      <c r="M846">
        <f t="shared" si="91"/>
        <v>6</v>
      </c>
      <c r="N846">
        <f t="shared" si="92"/>
        <v>8262.07</v>
      </c>
      <c r="O846">
        <f t="shared" si="93"/>
        <v>20997.833333333332</v>
      </c>
      <c r="P846">
        <f t="shared" si="94"/>
        <v>131.93894855850763</v>
      </c>
      <c r="Q846" t="str">
        <f t="shared" si="95"/>
        <v>Recent (4-7 years)</v>
      </c>
      <c r="R846" t="str">
        <f t="shared" si="96"/>
        <v>Low</v>
      </c>
      <c r="S846" t="str">
        <f t="shared" si="97"/>
        <v>Very High</v>
      </c>
    </row>
    <row r="847" spans="1:19" x14ac:dyDescent="0.3">
      <c r="A847">
        <v>846</v>
      </c>
      <c r="B847" t="s">
        <v>19</v>
      </c>
      <c r="C847">
        <v>2008</v>
      </c>
      <c r="D847">
        <v>96353</v>
      </c>
      <c r="E847" t="s">
        <v>26</v>
      </c>
      <c r="F847" t="s">
        <v>14</v>
      </c>
      <c r="G847" t="s">
        <v>23</v>
      </c>
      <c r="H847">
        <v>4069</v>
      </c>
      <c r="I847">
        <v>564.29999999999995</v>
      </c>
      <c r="J847" s="2">
        <v>8.99</v>
      </c>
      <c r="K847">
        <v>2</v>
      </c>
      <c r="L847" s="1">
        <v>63095.11</v>
      </c>
      <c r="M847">
        <f t="shared" si="91"/>
        <v>16</v>
      </c>
      <c r="N847">
        <f t="shared" si="92"/>
        <v>3943.444375</v>
      </c>
      <c r="O847">
        <f t="shared" si="93"/>
        <v>6022.0625</v>
      </c>
      <c r="P847">
        <f t="shared" si="94"/>
        <v>138.68272302777095</v>
      </c>
      <c r="Q847" t="str">
        <f t="shared" si="95"/>
        <v>Old (12+ years)</v>
      </c>
      <c r="R847" t="str">
        <f t="shared" si="96"/>
        <v>Low</v>
      </c>
      <c r="S847" t="str">
        <f t="shared" si="97"/>
        <v>Very High</v>
      </c>
    </row>
    <row r="848" spans="1:19" x14ac:dyDescent="0.3">
      <c r="A848">
        <v>847</v>
      </c>
      <c r="B848" t="s">
        <v>21</v>
      </c>
      <c r="C848">
        <v>2010</v>
      </c>
      <c r="D848">
        <v>100648</v>
      </c>
      <c r="E848" t="s">
        <v>22</v>
      </c>
      <c r="F848" t="s">
        <v>18</v>
      </c>
      <c r="G848" t="s">
        <v>23</v>
      </c>
      <c r="H848">
        <v>3999</v>
      </c>
      <c r="I848">
        <v>566.79999999999995</v>
      </c>
      <c r="J848" s="2">
        <v>9.1</v>
      </c>
      <c r="K848">
        <v>2</v>
      </c>
      <c r="L848" s="1">
        <v>96956.33</v>
      </c>
      <c r="M848">
        <f t="shared" si="91"/>
        <v>14</v>
      </c>
      <c r="N848">
        <f t="shared" si="92"/>
        <v>6925.4521428571434</v>
      </c>
      <c r="O848">
        <f t="shared" si="93"/>
        <v>7189.1428571428569</v>
      </c>
      <c r="P848">
        <f t="shared" si="94"/>
        <v>141.7354338584646</v>
      </c>
      <c r="Q848" t="str">
        <f t="shared" si="95"/>
        <v>Old (12+ years)</v>
      </c>
      <c r="R848" t="str">
        <f t="shared" si="96"/>
        <v>Low</v>
      </c>
      <c r="S848" t="str">
        <f t="shared" si="97"/>
        <v>Very High</v>
      </c>
    </row>
    <row r="849" spans="1:19" x14ac:dyDescent="0.3">
      <c r="A849">
        <v>848</v>
      </c>
      <c r="B849" t="s">
        <v>16</v>
      </c>
      <c r="C849">
        <v>2023</v>
      </c>
      <c r="D849">
        <v>30556</v>
      </c>
      <c r="E849" t="s">
        <v>22</v>
      </c>
      <c r="F849" t="s">
        <v>14</v>
      </c>
      <c r="G849" t="s">
        <v>20</v>
      </c>
      <c r="H849">
        <v>3379</v>
      </c>
      <c r="I849">
        <v>137.9</v>
      </c>
      <c r="J849" s="2">
        <v>12.13</v>
      </c>
      <c r="K849">
        <v>5</v>
      </c>
      <c r="L849" s="1">
        <v>46717.08</v>
      </c>
      <c r="M849">
        <f t="shared" si="91"/>
        <v>1</v>
      </c>
      <c r="N849">
        <f t="shared" si="92"/>
        <v>46717.08</v>
      </c>
      <c r="O849">
        <f t="shared" si="93"/>
        <v>30556</v>
      </c>
      <c r="P849">
        <f t="shared" si="94"/>
        <v>40.810890796093517</v>
      </c>
      <c r="Q849" t="str">
        <f t="shared" si="95"/>
        <v>New (0-3 years)</v>
      </c>
      <c r="R849" t="str">
        <f t="shared" si="96"/>
        <v>Low</v>
      </c>
      <c r="S849" t="str">
        <f t="shared" si="97"/>
        <v>Medium</v>
      </c>
    </row>
    <row r="850" spans="1:19" x14ac:dyDescent="0.3">
      <c r="A850">
        <v>849</v>
      </c>
      <c r="B850" t="s">
        <v>19</v>
      </c>
      <c r="C850">
        <v>2010</v>
      </c>
      <c r="D850">
        <v>64042</v>
      </c>
      <c r="E850" t="s">
        <v>22</v>
      </c>
      <c r="F850" t="s">
        <v>14</v>
      </c>
      <c r="G850" t="s">
        <v>15</v>
      </c>
      <c r="H850">
        <v>4805</v>
      </c>
      <c r="I850">
        <v>529.9</v>
      </c>
      <c r="J850" s="2">
        <v>24.82</v>
      </c>
      <c r="K850">
        <v>2</v>
      </c>
      <c r="L850" s="1">
        <v>48410.21</v>
      </c>
      <c r="M850">
        <f t="shared" si="91"/>
        <v>14</v>
      </c>
      <c r="N850">
        <f t="shared" si="92"/>
        <v>3457.872142857143</v>
      </c>
      <c r="O850">
        <f t="shared" si="93"/>
        <v>4574.4285714285716</v>
      </c>
      <c r="P850">
        <f t="shared" si="94"/>
        <v>110.28095733610822</v>
      </c>
      <c r="Q850" t="str">
        <f t="shared" si="95"/>
        <v>Old (12+ years)</v>
      </c>
      <c r="R850" t="str">
        <f t="shared" si="96"/>
        <v>Good</v>
      </c>
      <c r="S850" t="str">
        <f t="shared" si="97"/>
        <v>Very High</v>
      </c>
    </row>
    <row r="851" spans="1:19" x14ac:dyDescent="0.3">
      <c r="A851">
        <v>850</v>
      </c>
      <c r="B851" t="s">
        <v>27</v>
      </c>
      <c r="C851">
        <v>2006</v>
      </c>
      <c r="D851">
        <v>23099</v>
      </c>
      <c r="E851" t="s">
        <v>13</v>
      </c>
      <c r="F851" t="s">
        <v>14</v>
      </c>
      <c r="G851" t="s">
        <v>20</v>
      </c>
      <c r="H851">
        <v>1040</v>
      </c>
      <c r="I851">
        <v>453</v>
      </c>
      <c r="J851" s="2">
        <v>27.64</v>
      </c>
      <c r="K851">
        <v>6</v>
      </c>
      <c r="L851" s="1">
        <v>14195.74</v>
      </c>
      <c r="M851">
        <f t="shared" si="91"/>
        <v>18</v>
      </c>
      <c r="N851">
        <f t="shared" si="92"/>
        <v>788.65222222222224</v>
      </c>
      <c r="O851">
        <f t="shared" si="93"/>
        <v>1283.2777777777778</v>
      </c>
      <c r="P851">
        <f t="shared" si="94"/>
        <v>435.57692307692304</v>
      </c>
      <c r="Q851" t="str">
        <f t="shared" si="95"/>
        <v>Old (12+ years)</v>
      </c>
      <c r="R851" t="str">
        <f t="shared" si="96"/>
        <v>Excellent</v>
      </c>
      <c r="S851" t="str">
        <f t="shared" si="97"/>
        <v>Very High</v>
      </c>
    </row>
    <row r="852" spans="1:19" x14ac:dyDescent="0.3">
      <c r="A852">
        <v>851</v>
      </c>
      <c r="B852" t="s">
        <v>28</v>
      </c>
      <c r="C852">
        <v>2022</v>
      </c>
      <c r="D852">
        <v>114089</v>
      </c>
      <c r="E852" t="s">
        <v>13</v>
      </c>
      <c r="F852" t="s">
        <v>14</v>
      </c>
      <c r="G852" t="s">
        <v>23</v>
      </c>
      <c r="H852">
        <v>4240</v>
      </c>
      <c r="I852">
        <v>181.6</v>
      </c>
      <c r="J852" s="2">
        <v>29.38</v>
      </c>
      <c r="K852">
        <v>2</v>
      </c>
      <c r="L852" s="1">
        <v>110006.38</v>
      </c>
      <c r="M852">
        <f t="shared" si="91"/>
        <v>2</v>
      </c>
      <c r="N852">
        <f t="shared" si="92"/>
        <v>55003.19</v>
      </c>
      <c r="O852">
        <f t="shared" si="93"/>
        <v>57044.5</v>
      </c>
      <c r="P852">
        <f t="shared" si="94"/>
        <v>42.830188679245282</v>
      </c>
      <c r="Q852" t="str">
        <f t="shared" si="95"/>
        <v>New (0-3 years)</v>
      </c>
      <c r="R852" t="str">
        <f t="shared" si="96"/>
        <v>Excellent</v>
      </c>
      <c r="S852" t="str">
        <f t="shared" si="97"/>
        <v>High</v>
      </c>
    </row>
    <row r="853" spans="1:19" x14ac:dyDescent="0.3">
      <c r="A853">
        <v>852</v>
      </c>
      <c r="B853" t="s">
        <v>16</v>
      </c>
      <c r="C853">
        <v>2017</v>
      </c>
      <c r="D853">
        <v>181168</v>
      </c>
      <c r="E853" t="s">
        <v>13</v>
      </c>
      <c r="F853" t="s">
        <v>18</v>
      </c>
      <c r="G853" t="s">
        <v>15</v>
      </c>
      <c r="H853">
        <v>2207</v>
      </c>
      <c r="I853">
        <v>77.7</v>
      </c>
      <c r="J853" s="2">
        <v>10.81</v>
      </c>
      <c r="K853">
        <v>7</v>
      </c>
      <c r="L853" s="1">
        <v>13651.25</v>
      </c>
      <c r="M853">
        <f t="shared" si="91"/>
        <v>7</v>
      </c>
      <c r="N853">
        <f t="shared" si="92"/>
        <v>1950.1785714285713</v>
      </c>
      <c r="O853">
        <f t="shared" si="93"/>
        <v>25881.142857142859</v>
      </c>
      <c r="P853">
        <f t="shared" si="94"/>
        <v>35.206162211146356</v>
      </c>
      <c r="Q853" t="str">
        <f t="shared" si="95"/>
        <v>Recent (4-7 years)</v>
      </c>
      <c r="R853" t="str">
        <f t="shared" si="96"/>
        <v>Low</v>
      </c>
      <c r="S853" t="str">
        <f t="shared" si="97"/>
        <v>Low</v>
      </c>
    </row>
    <row r="854" spans="1:19" x14ac:dyDescent="0.3">
      <c r="A854">
        <v>853</v>
      </c>
      <c r="B854" t="s">
        <v>16</v>
      </c>
      <c r="C854">
        <v>2013</v>
      </c>
      <c r="D854">
        <v>149302</v>
      </c>
      <c r="E854" t="s">
        <v>22</v>
      </c>
      <c r="F854" t="s">
        <v>14</v>
      </c>
      <c r="G854" t="s">
        <v>20</v>
      </c>
      <c r="H854">
        <v>4302</v>
      </c>
      <c r="I854">
        <v>190.1</v>
      </c>
      <c r="J854" s="2">
        <v>27.03</v>
      </c>
      <c r="K854">
        <v>4</v>
      </c>
      <c r="L854" s="1">
        <v>78840.47</v>
      </c>
      <c r="M854">
        <f t="shared" si="91"/>
        <v>11</v>
      </c>
      <c r="N854">
        <f t="shared" si="92"/>
        <v>7167.3154545454545</v>
      </c>
      <c r="O854">
        <f t="shared" si="93"/>
        <v>13572.90909090909</v>
      </c>
      <c r="P854">
        <f t="shared" si="94"/>
        <v>44.188749418874941</v>
      </c>
      <c r="Q854" t="str">
        <f t="shared" si="95"/>
        <v>Mature (8-12 years)</v>
      </c>
      <c r="R854" t="str">
        <f t="shared" si="96"/>
        <v>Excellent</v>
      </c>
      <c r="S854" t="str">
        <f t="shared" si="97"/>
        <v>High</v>
      </c>
    </row>
    <row r="855" spans="1:19" x14ac:dyDescent="0.3">
      <c r="A855">
        <v>854</v>
      </c>
      <c r="B855" t="s">
        <v>27</v>
      </c>
      <c r="C855">
        <v>2023</v>
      </c>
      <c r="D855">
        <v>165081</v>
      </c>
      <c r="E855" t="s">
        <v>17</v>
      </c>
      <c r="F855" t="s">
        <v>14</v>
      </c>
      <c r="G855" t="s">
        <v>15</v>
      </c>
      <c r="H855">
        <v>4838</v>
      </c>
      <c r="I855">
        <v>550.79999999999995</v>
      </c>
      <c r="J855" s="2">
        <v>13.21</v>
      </c>
      <c r="K855">
        <v>7</v>
      </c>
      <c r="L855" s="1">
        <v>51343.75</v>
      </c>
      <c r="M855">
        <f t="shared" si="91"/>
        <v>1</v>
      </c>
      <c r="N855">
        <f t="shared" si="92"/>
        <v>51343.75</v>
      </c>
      <c r="O855">
        <f t="shared" si="93"/>
        <v>165081</v>
      </c>
      <c r="P855">
        <f t="shared" si="94"/>
        <v>113.84869780901198</v>
      </c>
      <c r="Q855" t="str">
        <f t="shared" si="95"/>
        <v>New (0-3 years)</v>
      </c>
      <c r="R855" t="str">
        <f t="shared" si="96"/>
        <v>Low</v>
      </c>
      <c r="S855" t="str">
        <f t="shared" si="97"/>
        <v>Very High</v>
      </c>
    </row>
    <row r="856" spans="1:19" x14ac:dyDescent="0.3">
      <c r="A856">
        <v>855</v>
      </c>
      <c r="B856" t="s">
        <v>27</v>
      </c>
      <c r="C856">
        <v>2017</v>
      </c>
      <c r="D856">
        <v>38866</v>
      </c>
      <c r="E856" t="s">
        <v>26</v>
      </c>
      <c r="F856" t="s">
        <v>18</v>
      </c>
      <c r="G856" t="s">
        <v>15</v>
      </c>
      <c r="H856">
        <v>882</v>
      </c>
      <c r="I856">
        <v>394.6</v>
      </c>
      <c r="J856" s="2">
        <v>7.82</v>
      </c>
      <c r="K856">
        <v>5</v>
      </c>
      <c r="L856" s="1">
        <v>50457.47</v>
      </c>
      <c r="M856">
        <f t="shared" si="91"/>
        <v>7</v>
      </c>
      <c r="N856">
        <f t="shared" si="92"/>
        <v>7208.21</v>
      </c>
      <c r="O856">
        <f t="shared" si="93"/>
        <v>5552.2857142857147</v>
      </c>
      <c r="P856">
        <f t="shared" si="94"/>
        <v>447.39229024943313</v>
      </c>
      <c r="Q856" t="str">
        <f t="shared" si="95"/>
        <v>Recent (4-7 years)</v>
      </c>
      <c r="R856" t="str">
        <f t="shared" si="96"/>
        <v>Low</v>
      </c>
      <c r="S856" t="str">
        <f t="shared" si="97"/>
        <v>Very High</v>
      </c>
    </row>
    <row r="857" spans="1:19" x14ac:dyDescent="0.3">
      <c r="A857">
        <v>856</v>
      </c>
      <c r="B857" t="s">
        <v>29</v>
      </c>
      <c r="C857">
        <v>2015</v>
      </c>
      <c r="D857">
        <v>110400</v>
      </c>
      <c r="E857" t="s">
        <v>22</v>
      </c>
      <c r="F857" t="s">
        <v>14</v>
      </c>
      <c r="G857" t="s">
        <v>20</v>
      </c>
      <c r="H857">
        <v>4568</v>
      </c>
      <c r="I857">
        <v>443.8</v>
      </c>
      <c r="J857" s="2">
        <v>26.75</v>
      </c>
      <c r="K857">
        <v>2</v>
      </c>
      <c r="L857" s="1">
        <v>82507.56</v>
      </c>
      <c r="M857">
        <f t="shared" si="91"/>
        <v>9</v>
      </c>
      <c r="N857">
        <f t="shared" si="92"/>
        <v>9167.5066666666662</v>
      </c>
      <c r="O857">
        <f t="shared" si="93"/>
        <v>12266.666666666666</v>
      </c>
      <c r="P857">
        <f t="shared" si="94"/>
        <v>97.154115586690025</v>
      </c>
      <c r="Q857" t="str">
        <f t="shared" si="95"/>
        <v>Mature (8-12 years)</v>
      </c>
      <c r="R857" t="str">
        <f t="shared" si="96"/>
        <v>Excellent</v>
      </c>
      <c r="S857" t="str">
        <f t="shared" si="97"/>
        <v>Very High</v>
      </c>
    </row>
    <row r="858" spans="1:19" x14ac:dyDescent="0.3">
      <c r="A858">
        <v>857</v>
      </c>
      <c r="B858" t="s">
        <v>19</v>
      </c>
      <c r="C858">
        <v>2005</v>
      </c>
      <c r="D858">
        <v>89246</v>
      </c>
      <c r="E858" t="s">
        <v>13</v>
      </c>
      <c r="F858" t="s">
        <v>14</v>
      </c>
      <c r="G858" t="s">
        <v>15</v>
      </c>
      <c r="H858">
        <v>1750</v>
      </c>
      <c r="I858">
        <v>184</v>
      </c>
      <c r="J858" s="2">
        <v>20.9</v>
      </c>
      <c r="K858">
        <v>2</v>
      </c>
      <c r="L858" s="1">
        <v>10849.97</v>
      </c>
      <c r="M858">
        <f t="shared" si="91"/>
        <v>19</v>
      </c>
      <c r="N858">
        <f t="shared" si="92"/>
        <v>571.05105263157895</v>
      </c>
      <c r="O858">
        <f t="shared" si="93"/>
        <v>4697.1578947368425</v>
      </c>
      <c r="P858">
        <f t="shared" si="94"/>
        <v>105.14285714285714</v>
      </c>
      <c r="Q858" t="str">
        <f t="shared" si="95"/>
        <v>Old (12+ years)</v>
      </c>
      <c r="R858" t="str">
        <f t="shared" si="96"/>
        <v>Good</v>
      </c>
      <c r="S858" t="str">
        <f t="shared" si="97"/>
        <v>High</v>
      </c>
    </row>
    <row r="859" spans="1:19" x14ac:dyDescent="0.3">
      <c r="A859">
        <v>858</v>
      </c>
      <c r="B859" t="s">
        <v>27</v>
      </c>
      <c r="C859">
        <v>2011</v>
      </c>
      <c r="D859">
        <v>81975</v>
      </c>
      <c r="E859" t="s">
        <v>13</v>
      </c>
      <c r="F859" t="s">
        <v>18</v>
      </c>
      <c r="G859" t="s">
        <v>20</v>
      </c>
      <c r="H859">
        <v>1410</v>
      </c>
      <c r="I859">
        <v>442.9</v>
      </c>
      <c r="J859" s="2">
        <v>9.1199999999999992</v>
      </c>
      <c r="K859">
        <v>6</v>
      </c>
      <c r="L859" s="1">
        <v>72463.58</v>
      </c>
      <c r="M859">
        <f t="shared" si="91"/>
        <v>13</v>
      </c>
      <c r="N859">
        <f t="shared" si="92"/>
        <v>5574.1215384615389</v>
      </c>
      <c r="O859">
        <f t="shared" si="93"/>
        <v>6305.7692307692305</v>
      </c>
      <c r="P859">
        <f t="shared" si="94"/>
        <v>314.11347517730496</v>
      </c>
      <c r="Q859" t="str">
        <f t="shared" si="95"/>
        <v>Old (12+ years)</v>
      </c>
      <c r="R859" t="str">
        <f t="shared" si="96"/>
        <v>Low</v>
      </c>
      <c r="S859" t="str">
        <f t="shared" si="97"/>
        <v>Very High</v>
      </c>
    </row>
    <row r="860" spans="1:19" x14ac:dyDescent="0.3">
      <c r="A860">
        <v>859</v>
      </c>
      <c r="B860" t="s">
        <v>25</v>
      </c>
      <c r="C860">
        <v>2019</v>
      </c>
      <c r="D860">
        <v>177927</v>
      </c>
      <c r="E860" t="s">
        <v>22</v>
      </c>
      <c r="F860" t="s">
        <v>18</v>
      </c>
      <c r="G860" t="s">
        <v>23</v>
      </c>
      <c r="H860">
        <v>4405</v>
      </c>
      <c r="I860">
        <v>55.7</v>
      </c>
      <c r="J860" s="2">
        <v>15.75</v>
      </c>
      <c r="K860">
        <v>2</v>
      </c>
      <c r="L860" s="1">
        <v>93327.72</v>
      </c>
      <c r="M860">
        <f t="shared" si="91"/>
        <v>5</v>
      </c>
      <c r="N860">
        <f t="shared" si="92"/>
        <v>18665.544000000002</v>
      </c>
      <c r="O860">
        <f t="shared" si="93"/>
        <v>35585.4</v>
      </c>
      <c r="P860">
        <f t="shared" si="94"/>
        <v>12.64472190692395</v>
      </c>
      <c r="Q860" t="str">
        <f t="shared" si="95"/>
        <v>Recent (4-7 years)</v>
      </c>
      <c r="R860" t="str">
        <f t="shared" si="96"/>
        <v>Average</v>
      </c>
      <c r="S860" t="str">
        <f t="shared" si="97"/>
        <v>Low</v>
      </c>
    </row>
    <row r="861" spans="1:19" x14ac:dyDescent="0.3">
      <c r="A861">
        <v>860</v>
      </c>
      <c r="B861" t="s">
        <v>30</v>
      </c>
      <c r="C861">
        <v>2005</v>
      </c>
      <c r="D861">
        <v>86557</v>
      </c>
      <c r="E861" t="s">
        <v>22</v>
      </c>
      <c r="F861" t="s">
        <v>18</v>
      </c>
      <c r="G861" t="s">
        <v>15</v>
      </c>
      <c r="H861">
        <v>4083</v>
      </c>
      <c r="I861">
        <v>250.2</v>
      </c>
      <c r="J861" s="2">
        <v>12.18</v>
      </c>
      <c r="K861">
        <v>7</v>
      </c>
      <c r="L861" s="1">
        <v>99900.89</v>
      </c>
      <c r="M861">
        <f t="shared" si="91"/>
        <v>19</v>
      </c>
      <c r="N861">
        <f t="shared" si="92"/>
        <v>5257.9415789473687</v>
      </c>
      <c r="O861">
        <f t="shared" si="93"/>
        <v>4555.6315789473683</v>
      </c>
      <c r="P861">
        <f t="shared" si="94"/>
        <v>61.278471711976479</v>
      </c>
      <c r="Q861" t="str">
        <f t="shared" si="95"/>
        <v>Old (12+ years)</v>
      </c>
      <c r="R861" t="str">
        <f t="shared" si="96"/>
        <v>Low</v>
      </c>
      <c r="S861" t="str">
        <f t="shared" si="97"/>
        <v>Very High</v>
      </c>
    </row>
    <row r="862" spans="1:19" x14ac:dyDescent="0.3">
      <c r="A862">
        <v>861</v>
      </c>
      <c r="B862" t="s">
        <v>28</v>
      </c>
      <c r="C862">
        <v>2016</v>
      </c>
      <c r="D862">
        <v>142488</v>
      </c>
      <c r="E862" t="s">
        <v>13</v>
      </c>
      <c r="F862" t="s">
        <v>14</v>
      </c>
      <c r="G862" t="s">
        <v>23</v>
      </c>
      <c r="H862">
        <v>2973</v>
      </c>
      <c r="I862">
        <v>391</v>
      </c>
      <c r="J862" s="2">
        <v>23.42</v>
      </c>
      <c r="K862">
        <v>5</v>
      </c>
      <c r="L862" s="1">
        <v>22952.06</v>
      </c>
      <c r="M862">
        <f t="shared" si="91"/>
        <v>8</v>
      </c>
      <c r="N862">
        <f t="shared" si="92"/>
        <v>2869.0075000000002</v>
      </c>
      <c r="O862">
        <f t="shared" si="93"/>
        <v>17811</v>
      </c>
      <c r="P862">
        <f t="shared" si="94"/>
        <v>131.5169862092163</v>
      </c>
      <c r="Q862" t="str">
        <f t="shared" si="95"/>
        <v>Mature (8-12 years)</v>
      </c>
      <c r="R862" t="str">
        <f t="shared" si="96"/>
        <v>Good</v>
      </c>
      <c r="S862" t="str">
        <f t="shared" si="97"/>
        <v>Very High</v>
      </c>
    </row>
    <row r="863" spans="1:19" x14ac:dyDescent="0.3">
      <c r="A863">
        <v>862</v>
      </c>
      <c r="B863" t="s">
        <v>19</v>
      </c>
      <c r="C863">
        <v>2011</v>
      </c>
      <c r="D863">
        <v>77516</v>
      </c>
      <c r="E863" t="s">
        <v>17</v>
      </c>
      <c r="F863" t="s">
        <v>18</v>
      </c>
      <c r="G863" t="s">
        <v>23</v>
      </c>
      <c r="H863">
        <v>4284</v>
      </c>
      <c r="I863">
        <v>121.8</v>
      </c>
      <c r="J863" s="2">
        <v>16.34</v>
      </c>
      <c r="K863">
        <v>4</v>
      </c>
      <c r="L863" s="1">
        <v>107998.03</v>
      </c>
      <c r="M863">
        <f t="shared" si="91"/>
        <v>13</v>
      </c>
      <c r="N863">
        <f t="shared" si="92"/>
        <v>8307.540769230769</v>
      </c>
      <c r="O863">
        <f t="shared" si="93"/>
        <v>5962.7692307692305</v>
      </c>
      <c r="P863">
        <f t="shared" si="94"/>
        <v>28.43137254901961</v>
      </c>
      <c r="Q863" t="str">
        <f t="shared" si="95"/>
        <v>Old (12+ years)</v>
      </c>
      <c r="R863" t="str">
        <f t="shared" si="96"/>
        <v>Average</v>
      </c>
      <c r="S863" t="str">
        <f t="shared" si="97"/>
        <v>Medium</v>
      </c>
    </row>
    <row r="864" spans="1:19" x14ac:dyDescent="0.3">
      <c r="A864">
        <v>863</v>
      </c>
      <c r="B864" t="s">
        <v>24</v>
      </c>
      <c r="C864">
        <v>2019</v>
      </c>
      <c r="D864">
        <v>191987</v>
      </c>
      <c r="E864" t="s">
        <v>13</v>
      </c>
      <c r="F864" t="s">
        <v>18</v>
      </c>
      <c r="G864" t="s">
        <v>15</v>
      </c>
      <c r="H864">
        <v>2322</v>
      </c>
      <c r="I864">
        <v>500.9</v>
      </c>
      <c r="J864" s="2">
        <v>29.73</v>
      </c>
      <c r="K864">
        <v>2</v>
      </c>
      <c r="L864" s="1">
        <v>79769.09</v>
      </c>
      <c r="M864">
        <f t="shared" si="91"/>
        <v>5</v>
      </c>
      <c r="N864">
        <f t="shared" si="92"/>
        <v>15953.817999999999</v>
      </c>
      <c r="O864">
        <f t="shared" si="93"/>
        <v>38397.4</v>
      </c>
      <c r="P864">
        <f t="shared" si="94"/>
        <v>215.71920757967268</v>
      </c>
      <c r="Q864" t="str">
        <f t="shared" si="95"/>
        <v>Recent (4-7 years)</v>
      </c>
      <c r="R864" t="str">
        <f t="shared" si="96"/>
        <v>Excellent</v>
      </c>
      <c r="S864" t="str">
        <f t="shared" si="97"/>
        <v>Very High</v>
      </c>
    </row>
    <row r="865" spans="1:19" x14ac:dyDescent="0.3">
      <c r="A865">
        <v>864</v>
      </c>
      <c r="B865" t="s">
        <v>25</v>
      </c>
      <c r="C865">
        <v>2023</v>
      </c>
      <c r="D865">
        <v>154130</v>
      </c>
      <c r="E865" t="s">
        <v>13</v>
      </c>
      <c r="F865" t="s">
        <v>14</v>
      </c>
      <c r="G865" t="s">
        <v>20</v>
      </c>
      <c r="H865">
        <v>3401</v>
      </c>
      <c r="I865">
        <v>171.6</v>
      </c>
      <c r="J865" s="2">
        <v>6.37</v>
      </c>
      <c r="K865">
        <v>4</v>
      </c>
      <c r="L865" s="1">
        <v>106177.01</v>
      </c>
      <c r="M865">
        <f t="shared" si="91"/>
        <v>1</v>
      </c>
      <c r="N865">
        <f t="shared" si="92"/>
        <v>106177.01</v>
      </c>
      <c r="O865">
        <f t="shared" si="93"/>
        <v>154130</v>
      </c>
      <c r="P865">
        <f t="shared" si="94"/>
        <v>50.455748309320789</v>
      </c>
      <c r="Q865" t="str">
        <f t="shared" si="95"/>
        <v>New (0-3 years)</v>
      </c>
      <c r="R865" t="str">
        <f t="shared" si="96"/>
        <v>Low</v>
      </c>
      <c r="S865" t="str">
        <f t="shared" si="97"/>
        <v>High</v>
      </c>
    </row>
    <row r="866" spans="1:19" x14ac:dyDescent="0.3">
      <c r="A866">
        <v>865</v>
      </c>
      <c r="B866" t="s">
        <v>21</v>
      </c>
      <c r="C866">
        <v>2005</v>
      </c>
      <c r="D866">
        <v>176790</v>
      </c>
      <c r="E866" t="s">
        <v>22</v>
      </c>
      <c r="F866" t="s">
        <v>14</v>
      </c>
      <c r="G866" t="s">
        <v>15</v>
      </c>
      <c r="H866">
        <v>3457</v>
      </c>
      <c r="I866">
        <v>405.3</v>
      </c>
      <c r="J866" s="2">
        <v>13.88</v>
      </c>
      <c r="K866">
        <v>2</v>
      </c>
      <c r="L866" s="1">
        <v>59777.84</v>
      </c>
      <c r="M866">
        <f t="shared" si="91"/>
        <v>19</v>
      </c>
      <c r="N866">
        <f t="shared" si="92"/>
        <v>3146.2021052631576</v>
      </c>
      <c r="O866">
        <f t="shared" si="93"/>
        <v>9304.7368421052633</v>
      </c>
      <c r="P866">
        <f t="shared" si="94"/>
        <v>117.24038183396009</v>
      </c>
      <c r="Q866" t="str">
        <f t="shared" si="95"/>
        <v>Old (12+ years)</v>
      </c>
      <c r="R866" t="str">
        <f t="shared" si="96"/>
        <v>Low</v>
      </c>
      <c r="S866" t="str">
        <f t="shared" si="97"/>
        <v>Very High</v>
      </c>
    </row>
    <row r="867" spans="1:19" x14ac:dyDescent="0.3">
      <c r="A867">
        <v>866</v>
      </c>
      <c r="B867" t="s">
        <v>27</v>
      </c>
      <c r="C867">
        <v>2021</v>
      </c>
      <c r="D867">
        <v>37602</v>
      </c>
      <c r="E867" t="s">
        <v>17</v>
      </c>
      <c r="F867" t="s">
        <v>14</v>
      </c>
      <c r="G867" t="s">
        <v>23</v>
      </c>
      <c r="H867">
        <v>2959</v>
      </c>
      <c r="I867">
        <v>266.89999999999998</v>
      </c>
      <c r="J867" s="2">
        <v>17.05</v>
      </c>
      <c r="K867">
        <v>5</v>
      </c>
      <c r="L867" s="1">
        <v>66417.899999999994</v>
      </c>
      <c r="M867">
        <f t="shared" si="91"/>
        <v>3</v>
      </c>
      <c r="N867">
        <f t="shared" si="92"/>
        <v>22139.3</v>
      </c>
      <c r="O867">
        <f t="shared" si="93"/>
        <v>12534</v>
      </c>
      <c r="P867">
        <f t="shared" si="94"/>
        <v>90.199391686380523</v>
      </c>
      <c r="Q867" t="str">
        <f t="shared" si="95"/>
        <v>New (0-3 years)</v>
      </c>
      <c r="R867" t="str">
        <f t="shared" si="96"/>
        <v>Average</v>
      </c>
      <c r="S867" t="str">
        <f t="shared" si="97"/>
        <v>Very High</v>
      </c>
    </row>
    <row r="868" spans="1:19" x14ac:dyDescent="0.3">
      <c r="A868">
        <v>867</v>
      </c>
      <c r="B868" t="s">
        <v>24</v>
      </c>
      <c r="C868">
        <v>2021</v>
      </c>
      <c r="D868">
        <v>194139</v>
      </c>
      <c r="E868" t="s">
        <v>13</v>
      </c>
      <c r="F868" t="s">
        <v>14</v>
      </c>
      <c r="G868" t="s">
        <v>23</v>
      </c>
      <c r="H868">
        <v>3249</v>
      </c>
      <c r="I868">
        <v>373.8</v>
      </c>
      <c r="J868" s="2">
        <v>17.579999999999998</v>
      </c>
      <c r="K868">
        <v>7</v>
      </c>
      <c r="L868" s="1">
        <v>110527.48</v>
      </c>
      <c r="M868">
        <f t="shared" si="91"/>
        <v>3</v>
      </c>
      <c r="N868">
        <f t="shared" si="92"/>
        <v>36842.493333333332</v>
      </c>
      <c r="O868">
        <f t="shared" si="93"/>
        <v>64713</v>
      </c>
      <c r="P868">
        <f t="shared" si="94"/>
        <v>115.05078485687903</v>
      </c>
      <c r="Q868" t="str">
        <f t="shared" si="95"/>
        <v>New (0-3 years)</v>
      </c>
      <c r="R868" t="str">
        <f t="shared" si="96"/>
        <v>Average</v>
      </c>
      <c r="S868" t="str">
        <f t="shared" si="97"/>
        <v>Very High</v>
      </c>
    </row>
    <row r="869" spans="1:19" x14ac:dyDescent="0.3">
      <c r="A869">
        <v>868</v>
      </c>
      <c r="B869" t="s">
        <v>27</v>
      </c>
      <c r="C869">
        <v>2007</v>
      </c>
      <c r="D869">
        <v>163588</v>
      </c>
      <c r="E869" t="s">
        <v>13</v>
      </c>
      <c r="F869" t="s">
        <v>14</v>
      </c>
      <c r="G869" t="s">
        <v>20</v>
      </c>
      <c r="H869">
        <v>4630</v>
      </c>
      <c r="I869">
        <v>100.2</v>
      </c>
      <c r="J869" s="2">
        <v>12.9</v>
      </c>
      <c r="K869">
        <v>5</v>
      </c>
      <c r="L869" s="1">
        <v>108289.42</v>
      </c>
      <c r="M869">
        <f t="shared" si="91"/>
        <v>17</v>
      </c>
      <c r="N869">
        <f t="shared" si="92"/>
        <v>6369.9658823529408</v>
      </c>
      <c r="O869">
        <f t="shared" si="93"/>
        <v>9622.823529411764</v>
      </c>
      <c r="P869">
        <f t="shared" si="94"/>
        <v>21.641468682505401</v>
      </c>
      <c r="Q869" t="str">
        <f t="shared" si="95"/>
        <v>Old (12+ years)</v>
      </c>
      <c r="R869" t="str">
        <f t="shared" si="96"/>
        <v>Low</v>
      </c>
      <c r="S869" t="str">
        <f t="shared" si="97"/>
        <v>Medium</v>
      </c>
    </row>
    <row r="870" spans="1:19" x14ac:dyDescent="0.3">
      <c r="A870">
        <v>869</v>
      </c>
      <c r="B870" t="s">
        <v>16</v>
      </c>
      <c r="C870">
        <v>2016</v>
      </c>
      <c r="D870">
        <v>134295</v>
      </c>
      <c r="E870" t="s">
        <v>26</v>
      </c>
      <c r="F870" t="s">
        <v>18</v>
      </c>
      <c r="G870" t="s">
        <v>15</v>
      </c>
      <c r="H870">
        <v>921</v>
      </c>
      <c r="I870">
        <v>49.5</v>
      </c>
      <c r="J870" s="2">
        <v>23.23</v>
      </c>
      <c r="K870">
        <v>4</v>
      </c>
      <c r="L870" s="1">
        <v>55434.82</v>
      </c>
      <c r="M870">
        <f t="shared" si="91"/>
        <v>8</v>
      </c>
      <c r="N870">
        <f t="shared" si="92"/>
        <v>6929.3525</v>
      </c>
      <c r="O870">
        <f t="shared" si="93"/>
        <v>16786.875</v>
      </c>
      <c r="P870">
        <f t="shared" si="94"/>
        <v>53.745928338762212</v>
      </c>
      <c r="Q870" t="str">
        <f t="shared" si="95"/>
        <v>Mature (8-12 years)</v>
      </c>
      <c r="R870" t="str">
        <f t="shared" si="96"/>
        <v>Good</v>
      </c>
      <c r="S870" t="str">
        <f t="shared" si="97"/>
        <v>Low</v>
      </c>
    </row>
    <row r="871" spans="1:19" x14ac:dyDescent="0.3">
      <c r="A871">
        <v>870</v>
      </c>
      <c r="B871" t="s">
        <v>25</v>
      </c>
      <c r="C871">
        <v>2010</v>
      </c>
      <c r="D871">
        <v>92969</v>
      </c>
      <c r="E871" t="s">
        <v>22</v>
      </c>
      <c r="F871" t="s">
        <v>18</v>
      </c>
      <c r="G871" t="s">
        <v>23</v>
      </c>
      <c r="H871">
        <v>2117</v>
      </c>
      <c r="I871">
        <v>549.4</v>
      </c>
      <c r="J871" s="2">
        <v>26.87</v>
      </c>
      <c r="K871">
        <v>2</v>
      </c>
      <c r="L871" s="1">
        <v>35106.28</v>
      </c>
      <c r="M871">
        <f t="shared" si="91"/>
        <v>14</v>
      </c>
      <c r="N871">
        <f t="shared" si="92"/>
        <v>2507.5914285714284</v>
      </c>
      <c r="O871">
        <f t="shared" si="93"/>
        <v>6640.6428571428569</v>
      </c>
      <c r="P871">
        <f t="shared" si="94"/>
        <v>259.51818611242322</v>
      </c>
      <c r="Q871" t="str">
        <f t="shared" si="95"/>
        <v>Old (12+ years)</v>
      </c>
      <c r="R871" t="str">
        <f t="shared" si="96"/>
        <v>Excellent</v>
      </c>
      <c r="S871" t="str">
        <f t="shared" si="97"/>
        <v>Very High</v>
      </c>
    </row>
    <row r="872" spans="1:19" x14ac:dyDescent="0.3">
      <c r="A872">
        <v>871</v>
      </c>
      <c r="B872" t="s">
        <v>16</v>
      </c>
      <c r="C872">
        <v>2015</v>
      </c>
      <c r="D872">
        <v>137161</v>
      </c>
      <c r="E872" t="s">
        <v>26</v>
      </c>
      <c r="F872" t="s">
        <v>18</v>
      </c>
      <c r="G872" t="s">
        <v>23</v>
      </c>
      <c r="H872">
        <v>3318</v>
      </c>
      <c r="I872">
        <v>191</v>
      </c>
      <c r="J872" s="2">
        <v>28.47</v>
      </c>
      <c r="K872">
        <v>4</v>
      </c>
      <c r="L872" s="1">
        <v>49000.94</v>
      </c>
      <c r="M872">
        <f t="shared" si="91"/>
        <v>9</v>
      </c>
      <c r="N872">
        <f t="shared" si="92"/>
        <v>5444.5488888888895</v>
      </c>
      <c r="O872">
        <f t="shared" si="93"/>
        <v>15240.111111111111</v>
      </c>
      <c r="P872">
        <f t="shared" si="94"/>
        <v>57.564798071127186</v>
      </c>
      <c r="Q872" t="str">
        <f t="shared" si="95"/>
        <v>Mature (8-12 years)</v>
      </c>
      <c r="R872" t="str">
        <f t="shared" si="96"/>
        <v>Excellent</v>
      </c>
      <c r="S872" t="str">
        <f t="shared" si="97"/>
        <v>High</v>
      </c>
    </row>
    <row r="873" spans="1:19" x14ac:dyDescent="0.3">
      <c r="A873">
        <v>872</v>
      </c>
      <c r="B873" t="s">
        <v>29</v>
      </c>
      <c r="C873">
        <v>2007</v>
      </c>
      <c r="D873">
        <v>173418</v>
      </c>
      <c r="E873" t="s">
        <v>26</v>
      </c>
      <c r="F873" t="s">
        <v>14</v>
      </c>
      <c r="G873" t="s">
        <v>23</v>
      </c>
      <c r="H873">
        <v>2030</v>
      </c>
      <c r="I873">
        <v>499</v>
      </c>
      <c r="J873" s="2">
        <v>25.13</v>
      </c>
      <c r="K873">
        <v>7</v>
      </c>
      <c r="L873" s="1">
        <v>48368.43</v>
      </c>
      <c r="M873">
        <f t="shared" si="91"/>
        <v>17</v>
      </c>
      <c r="N873">
        <f t="shared" si="92"/>
        <v>2845.2017647058824</v>
      </c>
      <c r="O873">
        <f t="shared" si="93"/>
        <v>10201.058823529413</v>
      </c>
      <c r="P873">
        <f t="shared" si="94"/>
        <v>245.81280788177341</v>
      </c>
      <c r="Q873" t="str">
        <f t="shared" si="95"/>
        <v>Old (12+ years)</v>
      </c>
      <c r="R873" t="str">
        <f t="shared" si="96"/>
        <v>Excellent</v>
      </c>
      <c r="S873" t="str">
        <f t="shared" si="97"/>
        <v>Very High</v>
      </c>
    </row>
    <row r="874" spans="1:19" x14ac:dyDescent="0.3">
      <c r="A874">
        <v>873</v>
      </c>
      <c r="B874" t="s">
        <v>16</v>
      </c>
      <c r="C874">
        <v>2012</v>
      </c>
      <c r="D874">
        <v>146559</v>
      </c>
      <c r="E874" t="s">
        <v>13</v>
      </c>
      <c r="F874" t="s">
        <v>14</v>
      </c>
      <c r="G874" t="s">
        <v>20</v>
      </c>
      <c r="H874">
        <v>1933</v>
      </c>
      <c r="I874">
        <v>599.6</v>
      </c>
      <c r="J874" s="2">
        <v>26.26</v>
      </c>
      <c r="K874">
        <v>5</v>
      </c>
      <c r="L874" s="1">
        <v>36563.42</v>
      </c>
      <c r="M874">
        <f t="shared" si="91"/>
        <v>12</v>
      </c>
      <c r="N874">
        <f t="shared" si="92"/>
        <v>3046.9516666666664</v>
      </c>
      <c r="O874">
        <f t="shared" si="93"/>
        <v>12213.25</v>
      </c>
      <c r="P874">
        <f t="shared" si="94"/>
        <v>310.19141231246766</v>
      </c>
      <c r="Q874" t="str">
        <f t="shared" si="95"/>
        <v>Mature (8-12 years)</v>
      </c>
      <c r="R874" t="str">
        <f t="shared" si="96"/>
        <v>Excellent</v>
      </c>
      <c r="S874" t="str">
        <f t="shared" si="97"/>
        <v>Very High</v>
      </c>
    </row>
    <row r="875" spans="1:19" x14ac:dyDescent="0.3">
      <c r="A875">
        <v>874</v>
      </c>
      <c r="B875" t="s">
        <v>29</v>
      </c>
      <c r="C875">
        <v>2018</v>
      </c>
      <c r="D875">
        <v>5155</v>
      </c>
      <c r="E875" t="s">
        <v>22</v>
      </c>
      <c r="F875" t="s">
        <v>14</v>
      </c>
      <c r="G875" t="s">
        <v>23</v>
      </c>
      <c r="H875">
        <v>2101</v>
      </c>
      <c r="I875">
        <v>158.4</v>
      </c>
      <c r="J875" s="2">
        <v>18.760000000000002</v>
      </c>
      <c r="K875">
        <v>4</v>
      </c>
      <c r="L875" s="1">
        <v>34423.81</v>
      </c>
      <c r="M875">
        <f t="shared" si="91"/>
        <v>6</v>
      </c>
      <c r="N875">
        <f t="shared" si="92"/>
        <v>5737.3016666666663</v>
      </c>
      <c r="O875">
        <f t="shared" si="93"/>
        <v>859.16666666666663</v>
      </c>
      <c r="P875">
        <f t="shared" si="94"/>
        <v>75.392670157068068</v>
      </c>
      <c r="Q875" t="str">
        <f t="shared" si="95"/>
        <v>Recent (4-7 years)</v>
      </c>
      <c r="R875" t="str">
        <f t="shared" si="96"/>
        <v>Average</v>
      </c>
      <c r="S875" t="str">
        <f t="shared" si="97"/>
        <v>High</v>
      </c>
    </row>
    <row r="876" spans="1:19" x14ac:dyDescent="0.3">
      <c r="A876">
        <v>875</v>
      </c>
      <c r="B876" t="s">
        <v>29</v>
      </c>
      <c r="C876">
        <v>2018</v>
      </c>
      <c r="D876">
        <v>128950</v>
      </c>
      <c r="E876" t="s">
        <v>17</v>
      </c>
      <c r="F876" t="s">
        <v>18</v>
      </c>
      <c r="G876" t="s">
        <v>23</v>
      </c>
      <c r="H876">
        <v>4834</v>
      </c>
      <c r="I876">
        <v>188.5</v>
      </c>
      <c r="J876" s="2">
        <v>25.65</v>
      </c>
      <c r="K876">
        <v>4</v>
      </c>
      <c r="L876" s="1">
        <v>103744.36</v>
      </c>
      <c r="M876">
        <f t="shared" si="91"/>
        <v>6</v>
      </c>
      <c r="N876">
        <f t="shared" si="92"/>
        <v>17290.726666666666</v>
      </c>
      <c r="O876">
        <f t="shared" si="93"/>
        <v>21491.666666666668</v>
      </c>
      <c r="P876">
        <f t="shared" si="94"/>
        <v>38.994621431526689</v>
      </c>
      <c r="Q876" t="str">
        <f t="shared" si="95"/>
        <v>Recent (4-7 years)</v>
      </c>
      <c r="R876" t="str">
        <f t="shared" si="96"/>
        <v>Excellent</v>
      </c>
      <c r="S876" t="str">
        <f t="shared" si="97"/>
        <v>High</v>
      </c>
    </row>
    <row r="877" spans="1:19" x14ac:dyDescent="0.3">
      <c r="A877">
        <v>876</v>
      </c>
      <c r="B877" t="s">
        <v>24</v>
      </c>
      <c r="C877">
        <v>2014</v>
      </c>
      <c r="D877">
        <v>72494</v>
      </c>
      <c r="E877" t="s">
        <v>13</v>
      </c>
      <c r="F877" t="s">
        <v>18</v>
      </c>
      <c r="G877" t="s">
        <v>15</v>
      </c>
      <c r="H877">
        <v>2710</v>
      </c>
      <c r="I877">
        <v>411.2</v>
      </c>
      <c r="J877" s="2">
        <v>12.59</v>
      </c>
      <c r="K877">
        <v>7</v>
      </c>
      <c r="L877" s="1">
        <v>11173.84</v>
      </c>
      <c r="M877">
        <f t="shared" si="91"/>
        <v>10</v>
      </c>
      <c r="N877">
        <f t="shared" si="92"/>
        <v>1117.384</v>
      </c>
      <c r="O877">
        <f t="shared" si="93"/>
        <v>7249.4</v>
      </c>
      <c r="P877">
        <f t="shared" si="94"/>
        <v>151.73431734317342</v>
      </c>
      <c r="Q877" t="str">
        <f t="shared" si="95"/>
        <v>Mature (8-12 years)</v>
      </c>
      <c r="R877" t="str">
        <f t="shared" si="96"/>
        <v>Low</v>
      </c>
      <c r="S877" t="str">
        <f t="shared" si="97"/>
        <v>Very High</v>
      </c>
    </row>
    <row r="878" spans="1:19" x14ac:dyDescent="0.3">
      <c r="A878">
        <v>877</v>
      </c>
      <c r="B878" t="s">
        <v>27</v>
      </c>
      <c r="C878">
        <v>2006</v>
      </c>
      <c r="D878">
        <v>81229</v>
      </c>
      <c r="E878" t="s">
        <v>17</v>
      </c>
      <c r="F878" t="s">
        <v>14</v>
      </c>
      <c r="G878" t="s">
        <v>15</v>
      </c>
      <c r="H878">
        <v>2305</v>
      </c>
      <c r="I878">
        <v>580.70000000000005</v>
      </c>
      <c r="J878" s="2">
        <v>14.96</v>
      </c>
      <c r="K878">
        <v>2</v>
      </c>
      <c r="L878" s="1">
        <v>82280.509999999995</v>
      </c>
      <c r="M878">
        <f t="shared" si="91"/>
        <v>18</v>
      </c>
      <c r="N878">
        <f t="shared" si="92"/>
        <v>4571.1394444444441</v>
      </c>
      <c r="O878">
        <f t="shared" si="93"/>
        <v>4512.7222222222226</v>
      </c>
      <c r="P878">
        <f t="shared" si="94"/>
        <v>251.93058568329718</v>
      </c>
      <c r="Q878" t="str">
        <f t="shared" si="95"/>
        <v>Old (12+ years)</v>
      </c>
      <c r="R878" t="str">
        <f t="shared" si="96"/>
        <v>Low</v>
      </c>
      <c r="S878" t="str">
        <f t="shared" si="97"/>
        <v>Very High</v>
      </c>
    </row>
    <row r="879" spans="1:19" x14ac:dyDescent="0.3">
      <c r="A879">
        <v>878</v>
      </c>
      <c r="B879" t="s">
        <v>21</v>
      </c>
      <c r="C879">
        <v>2018</v>
      </c>
      <c r="D879">
        <v>109648</v>
      </c>
      <c r="E879" t="s">
        <v>17</v>
      </c>
      <c r="F879" t="s">
        <v>18</v>
      </c>
      <c r="G879" t="s">
        <v>23</v>
      </c>
      <c r="H879">
        <v>3985</v>
      </c>
      <c r="I879">
        <v>552.9</v>
      </c>
      <c r="J879" s="2">
        <v>12.92</v>
      </c>
      <c r="K879">
        <v>4</v>
      </c>
      <c r="L879" s="1">
        <v>23219.95</v>
      </c>
      <c r="M879">
        <f t="shared" si="91"/>
        <v>6</v>
      </c>
      <c r="N879">
        <f t="shared" si="92"/>
        <v>3869.9916666666668</v>
      </c>
      <c r="O879">
        <f t="shared" si="93"/>
        <v>18274.666666666668</v>
      </c>
      <c r="P879">
        <f t="shared" si="94"/>
        <v>138.74529485570892</v>
      </c>
      <c r="Q879" t="str">
        <f t="shared" si="95"/>
        <v>Recent (4-7 years)</v>
      </c>
      <c r="R879" t="str">
        <f t="shared" si="96"/>
        <v>Low</v>
      </c>
      <c r="S879" t="str">
        <f t="shared" si="97"/>
        <v>Very High</v>
      </c>
    </row>
    <row r="880" spans="1:19" x14ac:dyDescent="0.3">
      <c r="A880">
        <v>879</v>
      </c>
      <c r="B880" t="s">
        <v>16</v>
      </c>
      <c r="C880">
        <v>2013</v>
      </c>
      <c r="D880">
        <v>43547</v>
      </c>
      <c r="E880" t="s">
        <v>22</v>
      </c>
      <c r="F880" t="s">
        <v>14</v>
      </c>
      <c r="G880" t="s">
        <v>23</v>
      </c>
      <c r="H880">
        <v>2716</v>
      </c>
      <c r="I880">
        <v>321.60000000000002</v>
      </c>
      <c r="J880" s="2">
        <v>16.68</v>
      </c>
      <c r="K880">
        <v>7</v>
      </c>
      <c r="L880" s="1">
        <v>43307.19</v>
      </c>
      <c r="M880">
        <f t="shared" si="91"/>
        <v>11</v>
      </c>
      <c r="N880">
        <f t="shared" si="92"/>
        <v>3937.0172727272729</v>
      </c>
      <c r="O880">
        <f t="shared" si="93"/>
        <v>3958.818181818182</v>
      </c>
      <c r="P880">
        <f t="shared" si="94"/>
        <v>118.40942562592048</v>
      </c>
      <c r="Q880" t="str">
        <f t="shared" si="95"/>
        <v>Mature (8-12 years)</v>
      </c>
      <c r="R880" t="str">
        <f t="shared" si="96"/>
        <v>Average</v>
      </c>
      <c r="S880" t="str">
        <f t="shared" si="97"/>
        <v>Very High</v>
      </c>
    </row>
    <row r="881" spans="1:19" x14ac:dyDescent="0.3">
      <c r="A881">
        <v>880</v>
      </c>
      <c r="B881" t="s">
        <v>25</v>
      </c>
      <c r="C881">
        <v>2007</v>
      </c>
      <c r="D881">
        <v>33795</v>
      </c>
      <c r="E881" t="s">
        <v>26</v>
      </c>
      <c r="F881" t="s">
        <v>18</v>
      </c>
      <c r="G881" t="s">
        <v>15</v>
      </c>
      <c r="H881">
        <v>4348</v>
      </c>
      <c r="I881">
        <v>485.3</v>
      </c>
      <c r="J881" s="2">
        <v>12.14</v>
      </c>
      <c r="K881">
        <v>2</v>
      </c>
      <c r="L881" s="1">
        <v>10200.530000000001</v>
      </c>
      <c r="M881">
        <f t="shared" si="91"/>
        <v>17</v>
      </c>
      <c r="N881">
        <f t="shared" si="92"/>
        <v>600.03117647058832</v>
      </c>
      <c r="O881">
        <f t="shared" si="93"/>
        <v>1987.9411764705883</v>
      </c>
      <c r="P881">
        <f t="shared" si="94"/>
        <v>111.61453541858326</v>
      </c>
      <c r="Q881" t="str">
        <f t="shared" si="95"/>
        <v>Old (12+ years)</v>
      </c>
      <c r="R881" t="str">
        <f t="shared" si="96"/>
        <v>Low</v>
      </c>
      <c r="S881" t="str">
        <f t="shared" si="97"/>
        <v>Very High</v>
      </c>
    </row>
    <row r="882" spans="1:19" x14ac:dyDescent="0.3">
      <c r="A882">
        <v>881</v>
      </c>
      <c r="B882" t="s">
        <v>29</v>
      </c>
      <c r="C882">
        <v>2012</v>
      </c>
      <c r="D882">
        <v>191368</v>
      </c>
      <c r="E882" t="s">
        <v>22</v>
      </c>
      <c r="F882" t="s">
        <v>18</v>
      </c>
      <c r="G882" t="s">
        <v>20</v>
      </c>
      <c r="H882">
        <v>3557</v>
      </c>
      <c r="I882">
        <v>116</v>
      </c>
      <c r="J882" s="2">
        <v>29.04</v>
      </c>
      <c r="K882">
        <v>2</v>
      </c>
      <c r="L882" s="1">
        <v>34586.92</v>
      </c>
      <c r="M882">
        <f t="shared" si="91"/>
        <v>12</v>
      </c>
      <c r="N882">
        <f t="shared" si="92"/>
        <v>2882.2433333333333</v>
      </c>
      <c r="O882">
        <f t="shared" si="93"/>
        <v>15947.333333333334</v>
      </c>
      <c r="P882">
        <f t="shared" si="94"/>
        <v>32.61175147596289</v>
      </c>
      <c r="Q882" t="str">
        <f t="shared" si="95"/>
        <v>Mature (8-12 years)</v>
      </c>
      <c r="R882" t="str">
        <f t="shared" si="96"/>
        <v>Excellent</v>
      </c>
      <c r="S882" t="str">
        <f t="shared" si="97"/>
        <v>Medium</v>
      </c>
    </row>
    <row r="883" spans="1:19" x14ac:dyDescent="0.3">
      <c r="A883">
        <v>882</v>
      </c>
      <c r="B883" t="s">
        <v>27</v>
      </c>
      <c r="C883">
        <v>2020</v>
      </c>
      <c r="D883">
        <v>26447</v>
      </c>
      <c r="E883" t="s">
        <v>17</v>
      </c>
      <c r="F883" t="s">
        <v>18</v>
      </c>
      <c r="G883" t="s">
        <v>20</v>
      </c>
      <c r="H883">
        <v>2756</v>
      </c>
      <c r="I883">
        <v>587.4</v>
      </c>
      <c r="J883" s="2">
        <v>12.82</v>
      </c>
      <c r="K883">
        <v>5</v>
      </c>
      <c r="L883" s="1">
        <v>92905.27</v>
      </c>
      <c r="M883">
        <f t="shared" si="91"/>
        <v>4</v>
      </c>
      <c r="N883">
        <f t="shared" si="92"/>
        <v>23226.317500000001</v>
      </c>
      <c r="O883">
        <f t="shared" si="93"/>
        <v>6611.75</v>
      </c>
      <c r="P883">
        <f t="shared" si="94"/>
        <v>213.13497822931785</v>
      </c>
      <c r="Q883" t="str">
        <f t="shared" si="95"/>
        <v>Recent (4-7 years)</v>
      </c>
      <c r="R883" t="str">
        <f t="shared" si="96"/>
        <v>Low</v>
      </c>
      <c r="S883" t="str">
        <f t="shared" si="97"/>
        <v>Very High</v>
      </c>
    </row>
    <row r="884" spans="1:19" x14ac:dyDescent="0.3">
      <c r="A884">
        <v>883</v>
      </c>
      <c r="B884" t="s">
        <v>28</v>
      </c>
      <c r="C884">
        <v>2006</v>
      </c>
      <c r="D884">
        <v>172670</v>
      </c>
      <c r="E884" t="s">
        <v>13</v>
      </c>
      <c r="F884" t="s">
        <v>14</v>
      </c>
      <c r="G884" t="s">
        <v>20</v>
      </c>
      <c r="H884">
        <v>978</v>
      </c>
      <c r="I884">
        <v>580</v>
      </c>
      <c r="J884" s="2">
        <v>7.45</v>
      </c>
      <c r="K884">
        <v>7</v>
      </c>
      <c r="L884" s="1">
        <v>106546.79</v>
      </c>
      <c r="M884">
        <f t="shared" si="91"/>
        <v>18</v>
      </c>
      <c r="N884">
        <f t="shared" si="92"/>
        <v>5919.2661111111111</v>
      </c>
      <c r="O884">
        <f t="shared" si="93"/>
        <v>9592.7777777777774</v>
      </c>
      <c r="P884">
        <f t="shared" si="94"/>
        <v>593.04703476482621</v>
      </c>
      <c r="Q884" t="str">
        <f t="shared" si="95"/>
        <v>Old (12+ years)</v>
      </c>
      <c r="R884" t="str">
        <f t="shared" si="96"/>
        <v>Low</v>
      </c>
      <c r="S884" t="str">
        <f t="shared" si="97"/>
        <v>Very High</v>
      </c>
    </row>
    <row r="885" spans="1:19" x14ac:dyDescent="0.3">
      <c r="A885">
        <v>884</v>
      </c>
      <c r="B885" t="s">
        <v>19</v>
      </c>
      <c r="C885">
        <v>2010</v>
      </c>
      <c r="D885">
        <v>177886</v>
      </c>
      <c r="E885" t="s">
        <v>17</v>
      </c>
      <c r="F885" t="s">
        <v>18</v>
      </c>
      <c r="G885" t="s">
        <v>20</v>
      </c>
      <c r="H885">
        <v>1696</v>
      </c>
      <c r="I885">
        <v>131.69999999999999</v>
      </c>
      <c r="J885" s="2">
        <v>18.170000000000002</v>
      </c>
      <c r="K885">
        <v>2</v>
      </c>
      <c r="L885" s="1">
        <v>28918.68</v>
      </c>
      <c r="M885">
        <f t="shared" si="91"/>
        <v>14</v>
      </c>
      <c r="N885">
        <f t="shared" si="92"/>
        <v>2065.62</v>
      </c>
      <c r="O885">
        <f t="shared" si="93"/>
        <v>12706.142857142857</v>
      </c>
      <c r="P885">
        <f t="shared" si="94"/>
        <v>77.653301886792448</v>
      </c>
      <c r="Q885" t="str">
        <f t="shared" si="95"/>
        <v>Old (12+ years)</v>
      </c>
      <c r="R885" t="str">
        <f t="shared" si="96"/>
        <v>Average</v>
      </c>
      <c r="S885" t="str">
        <f t="shared" si="97"/>
        <v>Medium</v>
      </c>
    </row>
    <row r="886" spans="1:19" x14ac:dyDescent="0.3">
      <c r="A886">
        <v>885</v>
      </c>
      <c r="B886" t="s">
        <v>24</v>
      </c>
      <c r="C886">
        <v>2016</v>
      </c>
      <c r="D886">
        <v>92960</v>
      </c>
      <c r="E886" t="s">
        <v>13</v>
      </c>
      <c r="F886" t="s">
        <v>18</v>
      </c>
      <c r="G886" t="s">
        <v>20</v>
      </c>
      <c r="H886">
        <v>2351</v>
      </c>
      <c r="I886">
        <v>207.7</v>
      </c>
      <c r="J886" s="2">
        <v>6.43</v>
      </c>
      <c r="K886">
        <v>5</v>
      </c>
      <c r="L886" s="1">
        <v>57235.1</v>
      </c>
      <c r="M886">
        <f t="shared" si="91"/>
        <v>8</v>
      </c>
      <c r="N886">
        <f t="shared" si="92"/>
        <v>7154.3874999999998</v>
      </c>
      <c r="O886">
        <f t="shared" si="93"/>
        <v>11620</v>
      </c>
      <c r="P886">
        <f t="shared" si="94"/>
        <v>88.345384942577624</v>
      </c>
      <c r="Q886" t="str">
        <f t="shared" si="95"/>
        <v>Mature (8-12 years)</v>
      </c>
      <c r="R886" t="str">
        <f t="shared" si="96"/>
        <v>Low</v>
      </c>
      <c r="S886" t="str">
        <f t="shared" si="97"/>
        <v>Very High</v>
      </c>
    </row>
    <row r="887" spans="1:19" x14ac:dyDescent="0.3">
      <c r="A887">
        <v>886</v>
      </c>
      <c r="B887" t="s">
        <v>21</v>
      </c>
      <c r="C887">
        <v>2009</v>
      </c>
      <c r="D887">
        <v>68278</v>
      </c>
      <c r="E887" t="s">
        <v>13</v>
      </c>
      <c r="F887" t="s">
        <v>14</v>
      </c>
      <c r="G887" t="s">
        <v>20</v>
      </c>
      <c r="H887">
        <v>1291</v>
      </c>
      <c r="I887">
        <v>96.1</v>
      </c>
      <c r="J887" s="2">
        <v>7.76</v>
      </c>
      <c r="K887">
        <v>6</v>
      </c>
      <c r="L887" s="1">
        <v>58027.91</v>
      </c>
      <c r="M887">
        <f t="shared" si="91"/>
        <v>15</v>
      </c>
      <c r="N887">
        <f t="shared" si="92"/>
        <v>3868.5273333333334</v>
      </c>
      <c r="O887">
        <f t="shared" si="93"/>
        <v>4551.8666666666668</v>
      </c>
      <c r="P887">
        <f t="shared" si="94"/>
        <v>74.438419829589463</v>
      </c>
      <c r="Q887" t="str">
        <f t="shared" si="95"/>
        <v>Old (12+ years)</v>
      </c>
      <c r="R887" t="str">
        <f t="shared" si="96"/>
        <v>Low</v>
      </c>
      <c r="S887" t="str">
        <f t="shared" si="97"/>
        <v>Low</v>
      </c>
    </row>
    <row r="888" spans="1:19" x14ac:dyDescent="0.3">
      <c r="A888">
        <v>887</v>
      </c>
      <c r="B888" t="s">
        <v>12</v>
      </c>
      <c r="C888">
        <v>2006</v>
      </c>
      <c r="D888">
        <v>60077</v>
      </c>
      <c r="E888" t="s">
        <v>22</v>
      </c>
      <c r="F888" t="s">
        <v>18</v>
      </c>
      <c r="G888" t="s">
        <v>20</v>
      </c>
      <c r="H888">
        <v>860</v>
      </c>
      <c r="I888">
        <v>192.2</v>
      </c>
      <c r="J888" s="2">
        <v>10.48</v>
      </c>
      <c r="K888">
        <v>7</v>
      </c>
      <c r="L888" s="1">
        <v>105208.31</v>
      </c>
      <c r="M888">
        <f t="shared" si="91"/>
        <v>18</v>
      </c>
      <c r="N888">
        <f t="shared" si="92"/>
        <v>5844.9061111111114</v>
      </c>
      <c r="O888">
        <f t="shared" si="93"/>
        <v>3337.6111111111113</v>
      </c>
      <c r="P888">
        <f t="shared" si="94"/>
        <v>223.48837209302326</v>
      </c>
      <c r="Q888" t="str">
        <f t="shared" si="95"/>
        <v>Old (12+ years)</v>
      </c>
      <c r="R888" t="str">
        <f t="shared" si="96"/>
        <v>Low</v>
      </c>
      <c r="S888" t="str">
        <f t="shared" si="97"/>
        <v>High</v>
      </c>
    </row>
    <row r="889" spans="1:19" x14ac:dyDescent="0.3">
      <c r="A889">
        <v>888</v>
      </c>
      <c r="B889" t="s">
        <v>24</v>
      </c>
      <c r="C889">
        <v>2020</v>
      </c>
      <c r="D889">
        <v>117782</v>
      </c>
      <c r="E889" t="s">
        <v>17</v>
      </c>
      <c r="F889" t="s">
        <v>14</v>
      </c>
      <c r="G889" t="s">
        <v>20</v>
      </c>
      <c r="H889">
        <v>1877</v>
      </c>
      <c r="I889">
        <v>496.9</v>
      </c>
      <c r="J889" s="2">
        <v>16.61</v>
      </c>
      <c r="K889">
        <v>6</v>
      </c>
      <c r="L889" s="1">
        <v>92247.49</v>
      </c>
      <c r="M889">
        <f t="shared" si="91"/>
        <v>4</v>
      </c>
      <c r="N889">
        <f t="shared" si="92"/>
        <v>23061.872500000001</v>
      </c>
      <c r="O889">
        <f t="shared" si="93"/>
        <v>29445.5</v>
      </c>
      <c r="P889">
        <f t="shared" si="94"/>
        <v>264.73095364944061</v>
      </c>
      <c r="Q889" t="str">
        <f t="shared" si="95"/>
        <v>Recent (4-7 years)</v>
      </c>
      <c r="R889" t="str">
        <f t="shared" si="96"/>
        <v>Average</v>
      </c>
      <c r="S889" t="str">
        <f t="shared" si="97"/>
        <v>Very High</v>
      </c>
    </row>
    <row r="890" spans="1:19" x14ac:dyDescent="0.3">
      <c r="A890">
        <v>889</v>
      </c>
      <c r="B890" t="s">
        <v>28</v>
      </c>
      <c r="C890">
        <v>2009</v>
      </c>
      <c r="D890">
        <v>107932</v>
      </c>
      <c r="E890" t="s">
        <v>26</v>
      </c>
      <c r="F890" t="s">
        <v>14</v>
      </c>
      <c r="G890" t="s">
        <v>15</v>
      </c>
      <c r="H890">
        <v>3695</v>
      </c>
      <c r="I890">
        <v>251.9</v>
      </c>
      <c r="J890" s="2">
        <v>15.83</v>
      </c>
      <c r="K890">
        <v>2</v>
      </c>
      <c r="L890" s="1">
        <v>63030.03</v>
      </c>
      <c r="M890">
        <f t="shared" si="91"/>
        <v>15</v>
      </c>
      <c r="N890">
        <f t="shared" si="92"/>
        <v>4202.0019999999995</v>
      </c>
      <c r="O890">
        <f t="shared" si="93"/>
        <v>7195.4666666666662</v>
      </c>
      <c r="P890">
        <f t="shared" si="94"/>
        <v>68.173207036535857</v>
      </c>
      <c r="Q890" t="str">
        <f t="shared" si="95"/>
        <v>Old (12+ years)</v>
      </c>
      <c r="R890" t="str">
        <f t="shared" si="96"/>
        <v>Average</v>
      </c>
      <c r="S890" t="str">
        <f t="shared" si="97"/>
        <v>Very High</v>
      </c>
    </row>
    <row r="891" spans="1:19" x14ac:dyDescent="0.3">
      <c r="A891">
        <v>890</v>
      </c>
      <c r="B891" t="s">
        <v>19</v>
      </c>
      <c r="C891">
        <v>2019</v>
      </c>
      <c r="D891">
        <v>145600</v>
      </c>
      <c r="E891" t="s">
        <v>17</v>
      </c>
      <c r="F891" t="s">
        <v>14</v>
      </c>
      <c r="G891" t="s">
        <v>20</v>
      </c>
      <c r="H891">
        <v>4960</v>
      </c>
      <c r="I891">
        <v>89.5</v>
      </c>
      <c r="J891" s="2">
        <v>24.99</v>
      </c>
      <c r="K891">
        <v>7</v>
      </c>
      <c r="L891" s="1">
        <v>81477.42</v>
      </c>
      <c r="M891">
        <f t="shared" si="91"/>
        <v>5</v>
      </c>
      <c r="N891">
        <f t="shared" si="92"/>
        <v>16295.484</v>
      </c>
      <c r="O891">
        <f t="shared" si="93"/>
        <v>29120</v>
      </c>
      <c r="P891">
        <f t="shared" si="94"/>
        <v>18.044354838709676</v>
      </c>
      <c r="Q891" t="str">
        <f t="shared" si="95"/>
        <v>Recent (4-7 years)</v>
      </c>
      <c r="R891" t="str">
        <f t="shared" si="96"/>
        <v>Good</v>
      </c>
      <c r="S891" t="str">
        <f t="shared" si="97"/>
        <v>Low</v>
      </c>
    </row>
    <row r="892" spans="1:19" x14ac:dyDescent="0.3">
      <c r="A892">
        <v>891</v>
      </c>
      <c r="B892" t="s">
        <v>28</v>
      </c>
      <c r="C892">
        <v>2016</v>
      </c>
      <c r="D892">
        <v>186172</v>
      </c>
      <c r="E892" t="s">
        <v>17</v>
      </c>
      <c r="F892" t="s">
        <v>14</v>
      </c>
      <c r="G892" t="s">
        <v>20</v>
      </c>
      <c r="H892">
        <v>4483</v>
      </c>
      <c r="I892">
        <v>231.6</v>
      </c>
      <c r="J892" s="2">
        <v>23.49</v>
      </c>
      <c r="K892">
        <v>5</v>
      </c>
      <c r="L892" s="1">
        <v>102140.54</v>
      </c>
      <c r="M892">
        <f t="shared" si="91"/>
        <v>8</v>
      </c>
      <c r="N892">
        <f t="shared" si="92"/>
        <v>12767.567499999999</v>
      </c>
      <c r="O892">
        <f t="shared" si="93"/>
        <v>23271.5</v>
      </c>
      <c r="P892">
        <f t="shared" si="94"/>
        <v>51.661833593575736</v>
      </c>
      <c r="Q892" t="str">
        <f t="shared" si="95"/>
        <v>Mature (8-12 years)</v>
      </c>
      <c r="R892" t="str">
        <f t="shared" si="96"/>
        <v>Good</v>
      </c>
      <c r="S892" t="str">
        <f t="shared" si="97"/>
        <v>Very High</v>
      </c>
    </row>
    <row r="893" spans="1:19" x14ac:dyDescent="0.3">
      <c r="A893">
        <v>892</v>
      </c>
      <c r="B893" t="s">
        <v>16</v>
      </c>
      <c r="C893">
        <v>2008</v>
      </c>
      <c r="D893">
        <v>114869</v>
      </c>
      <c r="E893" t="s">
        <v>26</v>
      </c>
      <c r="F893" t="s">
        <v>14</v>
      </c>
      <c r="G893" t="s">
        <v>20</v>
      </c>
      <c r="H893">
        <v>1385</v>
      </c>
      <c r="I893">
        <v>589.6</v>
      </c>
      <c r="J893" s="2">
        <v>15.66</v>
      </c>
      <c r="K893">
        <v>2</v>
      </c>
      <c r="L893" s="1">
        <v>4116.0600000000004</v>
      </c>
      <c r="M893">
        <f t="shared" si="91"/>
        <v>16</v>
      </c>
      <c r="N893">
        <f t="shared" si="92"/>
        <v>257.25375000000003</v>
      </c>
      <c r="O893">
        <f t="shared" si="93"/>
        <v>7179.3125</v>
      </c>
      <c r="P893">
        <f t="shared" si="94"/>
        <v>425.7039711191336</v>
      </c>
      <c r="Q893" t="str">
        <f t="shared" si="95"/>
        <v>Old (12+ years)</v>
      </c>
      <c r="R893" t="str">
        <f t="shared" si="96"/>
        <v>Average</v>
      </c>
      <c r="S893" t="str">
        <f t="shared" si="97"/>
        <v>Very High</v>
      </c>
    </row>
    <row r="894" spans="1:19" x14ac:dyDescent="0.3">
      <c r="A894">
        <v>893</v>
      </c>
      <c r="B894" t="s">
        <v>29</v>
      </c>
      <c r="C894">
        <v>2019</v>
      </c>
      <c r="D894">
        <v>144251</v>
      </c>
      <c r="E894" t="s">
        <v>22</v>
      </c>
      <c r="F894" t="s">
        <v>18</v>
      </c>
      <c r="G894" t="s">
        <v>23</v>
      </c>
      <c r="H894">
        <v>4760</v>
      </c>
      <c r="I894">
        <v>392.6</v>
      </c>
      <c r="J894" s="2">
        <v>13.34</v>
      </c>
      <c r="K894">
        <v>7</v>
      </c>
      <c r="L894" s="1">
        <v>50138.13</v>
      </c>
      <c r="M894">
        <f t="shared" si="91"/>
        <v>5</v>
      </c>
      <c r="N894">
        <f t="shared" si="92"/>
        <v>10027.626</v>
      </c>
      <c r="O894">
        <f t="shared" si="93"/>
        <v>28850.2</v>
      </c>
      <c r="P894">
        <f t="shared" si="94"/>
        <v>82.478991596638664</v>
      </c>
      <c r="Q894" t="str">
        <f t="shared" si="95"/>
        <v>Recent (4-7 years)</v>
      </c>
      <c r="R894" t="str">
        <f t="shared" si="96"/>
        <v>Low</v>
      </c>
      <c r="S894" t="str">
        <f t="shared" si="97"/>
        <v>Very High</v>
      </c>
    </row>
    <row r="895" spans="1:19" x14ac:dyDescent="0.3">
      <c r="A895">
        <v>894</v>
      </c>
      <c r="B895" t="s">
        <v>21</v>
      </c>
      <c r="C895">
        <v>2015</v>
      </c>
      <c r="D895">
        <v>53781</v>
      </c>
      <c r="E895" t="s">
        <v>17</v>
      </c>
      <c r="F895" t="s">
        <v>14</v>
      </c>
      <c r="G895" t="s">
        <v>15</v>
      </c>
      <c r="H895">
        <v>4570</v>
      </c>
      <c r="I895">
        <v>273.10000000000002</v>
      </c>
      <c r="J895" s="2">
        <v>12.91</v>
      </c>
      <c r="K895">
        <v>7</v>
      </c>
      <c r="L895" s="1">
        <v>109147.45</v>
      </c>
      <c r="M895">
        <f t="shared" si="91"/>
        <v>9</v>
      </c>
      <c r="N895">
        <f t="shared" si="92"/>
        <v>12127.494444444445</v>
      </c>
      <c r="O895">
        <f t="shared" si="93"/>
        <v>5975.666666666667</v>
      </c>
      <c r="P895">
        <f t="shared" si="94"/>
        <v>59.759299781181618</v>
      </c>
      <c r="Q895" t="str">
        <f t="shared" si="95"/>
        <v>Mature (8-12 years)</v>
      </c>
      <c r="R895" t="str">
        <f t="shared" si="96"/>
        <v>Low</v>
      </c>
      <c r="S895" t="str">
        <f t="shared" si="97"/>
        <v>Very High</v>
      </c>
    </row>
    <row r="896" spans="1:19" x14ac:dyDescent="0.3">
      <c r="A896">
        <v>895</v>
      </c>
      <c r="B896" t="s">
        <v>30</v>
      </c>
      <c r="C896">
        <v>2020</v>
      </c>
      <c r="D896">
        <v>191339</v>
      </c>
      <c r="E896" t="s">
        <v>17</v>
      </c>
      <c r="F896" t="s">
        <v>14</v>
      </c>
      <c r="G896" t="s">
        <v>15</v>
      </c>
      <c r="H896">
        <v>1334</v>
      </c>
      <c r="I896">
        <v>133.30000000000001</v>
      </c>
      <c r="J896" s="2">
        <v>24.35</v>
      </c>
      <c r="K896">
        <v>6</v>
      </c>
      <c r="L896" s="1">
        <v>89616.62</v>
      </c>
      <c r="M896">
        <f t="shared" si="91"/>
        <v>4</v>
      </c>
      <c r="N896">
        <f t="shared" si="92"/>
        <v>22404.154999999999</v>
      </c>
      <c r="O896">
        <f t="shared" si="93"/>
        <v>47834.75</v>
      </c>
      <c r="P896">
        <f t="shared" si="94"/>
        <v>99.925037481259366</v>
      </c>
      <c r="Q896" t="str">
        <f t="shared" si="95"/>
        <v>Recent (4-7 years)</v>
      </c>
      <c r="R896" t="str">
        <f t="shared" si="96"/>
        <v>Good</v>
      </c>
      <c r="S896" t="str">
        <f t="shared" si="97"/>
        <v>Medium</v>
      </c>
    </row>
    <row r="897" spans="1:19" x14ac:dyDescent="0.3">
      <c r="A897">
        <v>896</v>
      </c>
      <c r="B897" t="s">
        <v>29</v>
      </c>
      <c r="C897">
        <v>2010</v>
      </c>
      <c r="D897">
        <v>160024</v>
      </c>
      <c r="E897" t="s">
        <v>13</v>
      </c>
      <c r="F897" t="s">
        <v>14</v>
      </c>
      <c r="G897" t="s">
        <v>15</v>
      </c>
      <c r="H897">
        <v>4262</v>
      </c>
      <c r="I897">
        <v>592.29999999999995</v>
      </c>
      <c r="J897" s="2">
        <v>6.3</v>
      </c>
      <c r="K897">
        <v>2</v>
      </c>
      <c r="L897" s="1">
        <v>66512.44</v>
      </c>
      <c r="M897">
        <f t="shared" si="91"/>
        <v>14</v>
      </c>
      <c r="N897">
        <f t="shared" si="92"/>
        <v>4750.8885714285716</v>
      </c>
      <c r="O897">
        <f t="shared" si="93"/>
        <v>11430.285714285714</v>
      </c>
      <c r="P897">
        <f t="shared" si="94"/>
        <v>138.97231346785546</v>
      </c>
      <c r="Q897" t="str">
        <f t="shared" si="95"/>
        <v>Old (12+ years)</v>
      </c>
      <c r="R897" t="str">
        <f t="shared" si="96"/>
        <v>Low</v>
      </c>
      <c r="S897" t="str">
        <f t="shared" si="97"/>
        <v>Very High</v>
      </c>
    </row>
    <row r="898" spans="1:19" x14ac:dyDescent="0.3">
      <c r="A898">
        <v>897</v>
      </c>
      <c r="B898" t="s">
        <v>30</v>
      </c>
      <c r="C898">
        <v>2018</v>
      </c>
      <c r="D898">
        <v>58798</v>
      </c>
      <c r="E898" t="s">
        <v>17</v>
      </c>
      <c r="F898" t="s">
        <v>14</v>
      </c>
      <c r="G898" t="s">
        <v>20</v>
      </c>
      <c r="H898">
        <v>4811</v>
      </c>
      <c r="I898">
        <v>499.7</v>
      </c>
      <c r="J898" s="2">
        <v>5.32</v>
      </c>
      <c r="K898">
        <v>5</v>
      </c>
      <c r="L898" s="1">
        <v>64968.41</v>
      </c>
      <c r="M898">
        <f t="shared" si="91"/>
        <v>6</v>
      </c>
      <c r="N898">
        <f t="shared" si="92"/>
        <v>10828.068333333335</v>
      </c>
      <c r="O898">
        <f t="shared" si="93"/>
        <v>9799.6666666666661</v>
      </c>
      <c r="P898">
        <f t="shared" si="94"/>
        <v>103.86614009561421</v>
      </c>
      <c r="Q898" t="str">
        <f t="shared" si="95"/>
        <v>Recent (4-7 years)</v>
      </c>
      <c r="R898" t="str">
        <f t="shared" si="96"/>
        <v>Low</v>
      </c>
      <c r="S898" t="str">
        <f t="shared" si="97"/>
        <v>Very High</v>
      </c>
    </row>
    <row r="899" spans="1:19" x14ac:dyDescent="0.3">
      <c r="A899">
        <v>898</v>
      </c>
      <c r="B899" t="s">
        <v>19</v>
      </c>
      <c r="C899">
        <v>2022</v>
      </c>
      <c r="D899">
        <v>103696</v>
      </c>
      <c r="E899" t="s">
        <v>26</v>
      </c>
      <c r="F899" t="s">
        <v>18</v>
      </c>
      <c r="G899" t="s">
        <v>20</v>
      </c>
      <c r="H899">
        <v>4198</v>
      </c>
      <c r="I899">
        <v>197.6</v>
      </c>
      <c r="J899" s="2">
        <v>24.89</v>
      </c>
      <c r="K899">
        <v>5</v>
      </c>
      <c r="L899" s="1">
        <v>43689.1</v>
      </c>
      <c r="M899">
        <f t="shared" ref="M899:M962" si="98">2024-C899</f>
        <v>2</v>
      </c>
      <c r="N899">
        <f t="shared" ref="N899:N962" si="99">IF(M899&gt;0, L899/M899, L899)</f>
        <v>21844.55</v>
      </c>
      <c r="O899">
        <f t="shared" ref="O899:O962" si="100">IF(M899&gt;0, D899/M899, D899)</f>
        <v>51848</v>
      </c>
      <c r="P899">
        <f t="shared" ref="P899:P962" si="101">IF(H899&gt;0, I899/(H899/1000), 0)</f>
        <v>47.070033349213908</v>
      </c>
      <c r="Q899" t="str">
        <f t="shared" ref="Q899:Q962" si="102">IF(M899&lt;=3, "New (0-3 years)",
   IF(M899&lt;=7, "Recent (4-7 years)",
   IF(M899&lt;=12, "Mature (8-12 years)",
   "Old (12+ years)")))</f>
        <v>New (0-3 years)</v>
      </c>
      <c r="R899" t="str">
        <f t="shared" ref="R899:R962" si="103">IF(J899&gt;=25, "Excellent",
   IF(J899&gt;=20, "Good",
   IF(J899&gt;=15, "Average",
   "Low")))</f>
        <v>Good</v>
      </c>
      <c r="S899" t="str">
        <f t="shared" ref="S899:S962" si="104">IF(I899&gt;=200, "Very High",
   IF(I899&gt;=150, "High",
   IF(I899&gt;=100, "Medium",
   "Low")))</f>
        <v>High</v>
      </c>
    </row>
    <row r="900" spans="1:19" x14ac:dyDescent="0.3">
      <c r="A900">
        <v>899</v>
      </c>
      <c r="B900" t="s">
        <v>27</v>
      </c>
      <c r="C900">
        <v>2016</v>
      </c>
      <c r="D900">
        <v>55939</v>
      </c>
      <c r="E900" t="s">
        <v>13</v>
      </c>
      <c r="F900" t="s">
        <v>14</v>
      </c>
      <c r="G900" t="s">
        <v>23</v>
      </c>
      <c r="H900">
        <v>2955</v>
      </c>
      <c r="I900">
        <v>79.2</v>
      </c>
      <c r="J900" s="2">
        <v>16.93</v>
      </c>
      <c r="K900">
        <v>2</v>
      </c>
      <c r="L900" s="1">
        <v>63900.9</v>
      </c>
      <c r="M900">
        <f t="shared" si="98"/>
        <v>8</v>
      </c>
      <c r="N900">
        <f t="shared" si="99"/>
        <v>7987.6125000000002</v>
      </c>
      <c r="O900">
        <f t="shared" si="100"/>
        <v>6992.375</v>
      </c>
      <c r="P900">
        <f t="shared" si="101"/>
        <v>26.802030456852791</v>
      </c>
      <c r="Q900" t="str">
        <f t="shared" si="102"/>
        <v>Mature (8-12 years)</v>
      </c>
      <c r="R900" t="str">
        <f t="shared" si="103"/>
        <v>Average</v>
      </c>
      <c r="S900" t="str">
        <f t="shared" si="104"/>
        <v>Low</v>
      </c>
    </row>
    <row r="901" spans="1:19" x14ac:dyDescent="0.3">
      <c r="A901">
        <v>900</v>
      </c>
      <c r="B901" t="s">
        <v>12</v>
      </c>
      <c r="C901">
        <v>2015</v>
      </c>
      <c r="D901">
        <v>34516</v>
      </c>
      <c r="E901" t="s">
        <v>22</v>
      </c>
      <c r="F901" t="s">
        <v>18</v>
      </c>
      <c r="G901" t="s">
        <v>15</v>
      </c>
      <c r="H901">
        <v>1804</v>
      </c>
      <c r="I901">
        <v>71.7</v>
      </c>
      <c r="J901" s="2">
        <v>8.27</v>
      </c>
      <c r="K901">
        <v>2</v>
      </c>
      <c r="L901" s="1">
        <v>79679.83</v>
      </c>
      <c r="M901">
        <f t="shared" si="98"/>
        <v>9</v>
      </c>
      <c r="N901">
        <f t="shared" si="99"/>
        <v>8853.3144444444442</v>
      </c>
      <c r="O901">
        <f t="shared" si="100"/>
        <v>3835.1111111111113</v>
      </c>
      <c r="P901">
        <f t="shared" si="101"/>
        <v>39.745011086474499</v>
      </c>
      <c r="Q901" t="str">
        <f t="shared" si="102"/>
        <v>Mature (8-12 years)</v>
      </c>
      <c r="R901" t="str">
        <f t="shared" si="103"/>
        <v>Low</v>
      </c>
      <c r="S901" t="str">
        <f t="shared" si="104"/>
        <v>Low</v>
      </c>
    </row>
    <row r="902" spans="1:19" x14ac:dyDescent="0.3">
      <c r="A902">
        <v>901</v>
      </c>
      <c r="B902" t="s">
        <v>25</v>
      </c>
      <c r="C902">
        <v>2017</v>
      </c>
      <c r="D902">
        <v>192598</v>
      </c>
      <c r="E902" t="s">
        <v>13</v>
      </c>
      <c r="F902" t="s">
        <v>14</v>
      </c>
      <c r="G902" t="s">
        <v>20</v>
      </c>
      <c r="H902">
        <v>3299</v>
      </c>
      <c r="I902">
        <v>107.4</v>
      </c>
      <c r="J902" s="2">
        <v>10.89</v>
      </c>
      <c r="K902">
        <v>4</v>
      </c>
      <c r="L902" s="1">
        <v>51948.480000000003</v>
      </c>
      <c r="M902">
        <f t="shared" si="98"/>
        <v>7</v>
      </c>
      <c r="N902">
        <f t="shared" si="99"/>
        <v>7421.2114285714288</v>
      </c>
      <c r="O902">
        <f t="shared" si="100"/>
        <v>27514</v>
      </c>
      <c r="P902">
        <f t="shared" si="101"/>
        <v>32.555319793876933</v>
      </c>
      <c r="Q902" t="str">
        <f t="shared" si="102"/>
        <v>Recent (4-7 years)</v>
      </c>
      <c r="R902" t="str">
        <f t="shared" si="103"/>
        <v>Low</v>
      </c>
      <c r="S902" t="str">
        <f t="shared" si="104"/>
        <v>Medium</v>
      </c>
    </row>
    <row r="903" spans="1:19" x14ac:dyDescent="0.3">
      <c r="A903">
        <v>902</v>
      </c>
      <c r="B903" t="s">
        <v>29</v>
      </c>
      <c r="C903">
        <v>2015</v>
      </c>
      <c r="D903">
        <v>146521</v>
      </c>
      <c r="E903" t="s">
        <v>26</v>
      </c>
      <c r="F903" t="s">
        <v>18</v>
      </c>
      <c r="G903" t="s">
        <v>15</v>
      </c>
      <c r="H903">
        <v>1126</v>
      </c>
      <c r="I903">
        <v>365.2</v>
      </c>
      <c r="J903" s="2">
        <v>28.31</v>
      </c>
      <c r="K903">
        <v>6</v>
      </c>
      <c r="L903" s="1">
        <v>86555.92</v>
      </c>
      <c r="M903">
        <f t="shared" si="98"/>
        <v>9</v>
      </c>
      <c r="N903">
        <f t="shared" si="99"/>
        <v>9617.3244444444445</v>
      </c>
      <c r="O903">
        <f t="shared" si="100"/>
        <v>16280.111111111111</v>
      </c>
      <c r="P903">
        <f t="shared" si="101"/>
        <v>324.33392539964478</v>
      </c>
      <c r="Q903" t="str">
        <f t="shared" si="102"/>
        <v>Mature (8-12 years)</v>
      </c>
      <c r="R903" t="str">
        <f t="shared" si="103"/>
        <v>Excellent</v>
      </c>
      <c r="S903" t="str">
        <f t="shared" si="104"/>
        <v>Very High</v>
      </c>
    </row>
    <row r="904" spans="1:19" x14ac:dyDescent="0.3">
      <c r="A904">
        <v>903</v>
      </c>
      <c r="B904" t="s">
        <v>21</v>
      </c>
      <c r="C904">
        <v>2020</v>
      </c>
      <c r="D904">
        <v>55290</v>
      </c>
      <c r="E904" t="s">
        <v>26</v>
      </c>
      <c r="F904" t="s">
        <v>14</v>
      </c>
      <c r="G904" t="s">
        <v>23</v>
      </c>
      <c r="H904">
        <v>3506</v>
      </c>
      <c r="I904">
        <v>560.1</v>
      </c>
      <c r="J904" s="2">
        <v>26.49</v>
      </c>
      <c r="K904">
        <v>2</v>
      </c>
      <c r="L904" s="1">
        <v>103764.17</v>
      </c>
      <c r="M904">
        <f t="shared" si="98"/>
        <v>4</v>
      </c>
      <c r="N904">
        <f t="shared" si="99"/>
        <v>25941.0425</v>
      </c>
      <c r="O904">
        <f t="shared" si="100"/>
        <v>13822.5</v>
      </c>
      <c r="P904">
        <f t="shared" si="101"/>
        <v>159.75470621791217</v>
      </c>
      <c r="Q904" t="str">
        <f t="shared" si="102"/>
        <v>Recent (4-7 years)</v>
      </c>
      <c r="R904" t="str">
        <f t="shared" si="103"/>
        <v>Excellent</v>
      </c>
      <c r="S904" t="str">
        <f t="shared" si="104"/>
        <v>Very High</v>
      </c>
    </row>
    <row r="905" spans="1:19" x14ac:dyDescent="0.3">
      <c r="A905">
        <v>904</v>
      </c>
      <c r="B905" t="s">
        <v>28</v>
      </c>
      <c r="C905">
        <v>2019</v>
      </c>
      <c r="D905">
        <v>131688</v>
      </c>
      <c r="E905" t="s">
        <v>13</v>
      </c>
      <c r="F905" t="s">
        <v>14</v>
      </c>
      <c r="G905" t="s">
        <v>23</v>
      </c>
      <c r="H905">
        <v>801</v>
      </c>
      <c r="I905">
        <v>318.2</v>
      </c>
      <c r="J905" s="2">
        <v>22.74</v>
      </c>
      <c r="K905">
        <v>2</v>
      </c>
      <c r="L905" s="1">
        <v>21098.13</v>
      </c>
      <c r="M905">
        <f t="shared" si="98"/>
        <v>5</v>
      </c>
      <c r="N905">
        <f t="shared" si="99"/>
        <v>4219.6260000000002</v>
      </c>
      <c r="O905">
        <f t="shared" si="100"/>
        <v>26337.599999999999</v>
      </c>
      <c r="P905">
        <f t="shared" si="101"/>
        <v>397.25343320848935</v>
      </c>
      <c r="Q905" t="str">
        <f t="shared" si="102"/>
        <v>Recent (4-7 years)</v>
      </c>
      <c r="R905" t="str">
        <f t="shared" si="103"/>
        <v>Good</v>
      </c>
      <c r="S905" t="str">
        <f t="shared" si="104"/>
        <v>Very High</v>
      </c>
    </row>
    <row r="906" spans="1:19" x14ac:dyDescent="0.3">
      <c r="A906">
        <v>905</v>
      </c>
      <c r="B906" t="s">
        <v>21</v>
      </c>
      <c r="C906">
        <v>2019</v>
      </c>
      <c r="D906">
        <v>91661</v>
      </c>
      <c r="E906" t="s">
        <v>22</v>
      </c>
      <c r="F906" t="s">
        <v>18</v>
      </c>
      <c r="G906" t="s">
        <v>23</v>
      </c>
      <c r="H906">
        <v>1833</v>
      </c>
      <c r="I906">
        <v>512</v>
      </c>
      <c r="J906" s="2">
        <v>17.059999999999999</v>
      </c>
      <c r="K906">
        <v>4</v>
      </c>
      <c r="L906" s="1">
        <v>55831</v>
      </c>
      <c r="M906">
        <f t="shared" si="98"/>
        <v>5</v>
      </c>
      <c r="N906">
        <f t="shared" si="99"/>
        <v>11166.2</v>
      </c>
      <c r="O906">
        <f t="shared" si="100"/>
        <v>18332.2</v>
      </c>
      <c r="P906">
        <f t="shared" si="101"/>
        <v>279.32351336606655</v>
      </c>
      <c r="Q906" t="str">
        <f t="shared" si="102"/>
        <v>Recent (4-7 years)</v>
      </c>
      <c r="R906" t="str">
        <f t="shared" si="103"/>
        <v>Average</v>
      </c>
      <c r="S906" t="str">
        <f t="shared" si="104"/>
        <v>Very High</v>
      </c>
    </row>
    <row r="907" spans="1:19" x14ac:dyDescent="0.3">
      <c r="A907">
        <v>906</v>
      </c>
      <c r="B907" t="s">
        <v>19</v>
      </c>
      <c r="C907">
        <v>2008</v>
      </c>
      <c r="D907">
        <v>77954</v>
      </c>
      <c r="E907" t="s">
        <v>13</v>
      </c>
      <c r="F907" t="s">
        <v>14</v>
      </c>
      <c r="G907" t="s">
        <v>15</v>
      </c>
      <c r="H907">
        <v>3281</v>
      </c>
      <c r="I907">
        <v>289.7</v>
      </c>
      <c r="J907" s="2">
        <v>18.010000000000002</v>
      </c>
      <c r="K907">
        <v>4</v>
      </c>
      <c r="L907" s="1">
        <v>50738.35</v>
      </c>
      <c r="M907">
        <f t="shared" si="98"/>
        <v>16</v>
      </c>
      <c r="N907">
        <f t="shared" si="99"/>
        <v>3171.1468749999999</v>
      </c>
      <c r="O907">
        <f t="shared" si="100"/>
        <v>4872.125</v>
      </c>
      <c r="P907">
        <f t="shared" si="101"/>
        <v>88.296251142944215</v>
      </c>
      <c r="Q907" t="str">
        <f t="shared" si="102"/>
        <v>Old (12+ years)</v>
      </c>
      <c r="R907" t="str">
        <f t="shared" si="103"/>
        <v>Average</v>
      </c>
      <c r="S907" t="str">
        <f t="shared" si="104"/>
        <v>Very High</v>
      </c>
    </row>
    <row r="908" spans="1:19" x14ac:dyDescent="0.3">
      <c r="A908">
        <v>907</v>
      </c>
      <c r="B908" t="s">
        <v>30</v>
      </c>
      <c r="C908">
        <v>2015</v>
      </c>
      <c r="D908">
        <v>27746</v>
      </c>
      <c r="E908" t="s">
        <v>22</v>
      </c>
      <c r="F908" t="s">
        <v>18</v>
      </c>
      <c r="G908" t="s">
        <v>20</v>
      </c>
      <c r="H908">
        <v>924</v>
      </c>
      <c r="I908">
        <v>436.8</v>
      </c>
      <c r="J908" s="2">
        <v>29.38</v>
      </c>
      <c r="K908">
        <v>7</v>
      </c>
      <c r="L908" s="1">
        <v>83433.38</v>
      </c>
      <c r="M908">
        <f t="shared" si="98"/>
        <v>9</v>
      </c>
      <c r="N908">
        <f t="shared" si="99"/>
        <v>9270.3755555555563</v>
      </c>
      <c r="O908">
        <f t="shared" si="100"/>
        <v>3082.8888888888887</v>
      </c>
      <c r="P908">
        <f t="shared" si="101"/>
        <v>472.72727272727269</v>
      </c>
      <c r="Q908" t="str">
        <f t="shared" si="102"/>
        <v>Mature (8-12 years)</v>
      </c>
      <c r="R908" t="str">
        <f t="shared" si="103"/>
        <v>Excellent</v>
      </c>
      <c r="S908" t="str">
        <f t="shared" si="104"/>
        <v>Very High</v>
      </c>
    </row>
    <row r="909" spans="1:19" x14ac:dyDescent="0.3">
      <c r="A909">
        <v>908</v>
      </c>
      <c r="B909" t="s">
        <v>28</v>
      </c>
      <c r="C909">
        <v>2023</v>
      </c>
      <c r="D909">
        <v>72990</v>
      </c>
      <c r="E909" t="s">
        <v>13</v>
      </c>
      <c r="F909" t="s">
        <v>14</v>
      </c>
      <c r="G909" t="s">
        <v>20</v>
      </c>
      <c r="H909">
        <v>1904</v>
      </c>
      <c r="I909">
        <v>449.8</v>
      </c>
      <c r="J909" s="2">
        <v>29.14</v>
      </c>
      <c r="K909">
        <v>5</v>
      </c>
      <c r="L909" s="1">
        <v>32234.49</v>
      </c>
      <c r="M909">
        <f t="shared" si="98"/>
        <v>1</v>
      </c>
      <c r="N909">
        <f t="shared" si="99"/>
        <v>32234.49</v>
      </c>
      <c r="O909">
        <f t="shared" si="100"/>
        <v>72990</v>
      </c>
      <c r="P909">
        <f t="shared" si="101"/>
        <v>236.23949579831935</v>
      </c>
      <c r="Q909" t="str">
        <f t="shared" si="102"/>
        <v>New (0-3 years)</v>
      </c>
      <c r="R909" t="str">
        <f t="shared" si="103"/>
        <v>Excellent</v>
      </c>
      <c r="S909" t="str">
        <f t="shared" si="104"/>
        <v>Very High</v>
      </c>
    </row>
    <row r="910" spans="1:19" x14ac:dyDescent="0.3">
      <c r="A910">
        <v>909</v>
      </c>
      <c r="B910" t="s">
        <v>25</v>
      </c>
      <c r="C910">
        <v>2019</v>
      </c>
      <c r="D910">
        <v>63810</v>
      </c>
      <c r="E910" t="s">
        <v>26</v>
      </c>
      <c r="F910" t="s">
        <v>18</v>
      </c>
      <c r="G910" t="s">
        <v>23</v>
      </c>
      <c r="H910">
        <v>3499</v>
      </c>
      <c r="I910">
        <v>137.4</v>
      </c>
      <c r="J910" s="2">
        <v>10.38</v>
      </c>
      <c r="K910">
        <v>6</v>
      </c>
      <c r="L910" s="1">
        <v>77909.36</v>
      </c>
      <c r="M910">
        <f t="shared" si="98"/>
        <v>5</v>
      </c>
      <c r="N910">
        <f t="shared" si="99"/>
        <v>15581.871999999999</v>
      </c>
      <c r="O910">
        <f t="shared" si="100"/>
        <v>12762</v>
      </c>
      <c r="P910">
        <f t="shared" si="101"/>
        <v>39.268362389254072</v>
      </c>
      <c r="Q910" t="str">
        <f t="shared" si="102"/>
        <v>Recent (4-7 years)</v>
      </c>
      <c r="R910" t="str">
        <f t="shared" si="103"/>
        <v>Low</v>
      </c>
      <c r="S910" t="str">
        <f t="shared" si="104"/>
        <v>Medium</v>
      </c>
    </row>
    <row r="911" spans="1:19" x14ac:dyDescent="0.3">
      <c r="A911">
        <v>910</v>
      </c>
      <c r="B911" t="s">
        <v>25</v>
      </c>
      <c r="C911">
        <v>2008</v>
      </c>
      <c r="D911">
        <v>123362</v>
      </c>
      <c r="E911" t="s">
        <v>17</v>
      </c>
      <c r="F911" t="s">
        <v>14</v>
      </c>
      <c r="G911" t="s">
        <v>20</v>
      </c>
      <c r="H911">
        <v>2661</v>
      </c>
      <c r="I911">
        <v>242.3</v>
      </c>
      <c r="J911" s="2">
        <v>25.28</v>
      </c>
      <c r="K911">
        <v>7</v>
      </c>
      <c r="L911" s="1">
        <v>105666.24000000001</v>
      </c>
      <c r="M911">
        <f t="shared" si="98"/>
        <v>16</v>
      </c>
      <c r="N911">
        <f t="shared" si="99"/>
        <v>6604.14</v>
      </c>
      <c r="O911">
        <f t="shared" si="100"/>
        <v>7710.125</v>
      </c>
      <c r="P911">
        <f t="shared" si="101"/>
        <v>91.055993987222848</v>
      </c>
      <c r="Q911" t="str">
        <f t="shared" si="102"/>
        <v>Old (12+ years)</v>
      </c>
      <c r="R911" t="str">
        <f t="shared" si="103"/>
        <v>Excellent</v>
      </c>
      <c r="S911" t="str">
        <f t="shared" si="104"/>
        <v>Very High</v>
      </c>
    </row>
    <row r="912" spans="1:19" x14ac:dyDescent="0.3">
      <c r="A912">
        <v>911</v>
      </c>
      <c r="B912" t="s">
        <v>29</v>
      </c>
      <c r="C912">
        <v>2017</v>
      </c>
      <c r="D912">
        <v>151295</v>
      </c>
      <c r="E912" t="s">
        <v>17</v>
      </c>
      <c r="F912" t="s">
        <v>14</v>
      </c>
      <c r="G912" t="s">
        <v>23</v>
      </c>
      <c r="H912">
        <v>3720</v>
      </c>
      <c r="I912">
        <v>396.9</v>
      </c>
      <c r="J912" s="2">
        <v>9.93</v>
      </c>
      <c r="K912">
        <v>2</v>
      </c>
      <c r="L912" s="1">
        <v>51921.4</v>
      </c>
      <c r="M912">
        <f t="shared" si="98"/>
        <v>7</v>
      </c>
      <c r="N912">
        <f t="shared" si="99"/>
        <v>7417.3428571428576</v>
      </c>
      <c r="O912">
        <f t="shared" si="100"/>
        <v>21613.571428571428</v>
      </c>
      <c r="P912">
        <f t="shared" si="101"/>
        <v>106.69354838709677</v>
      </c>
      <c r="Q912" t="str">
        <f t="shared" si="102"/>
        <v>Recent (4-7 years)</v>
      </c>
      <c r="R912" t="str">
        <f t="shared" si="103"/>
        <v>Low</v>
      </c>
      <c r="S912" t="str">
        <f t="shared" si="104"/>
        <v>Very High</v>
      </c>
    </row>
    <row r="913" spans="1:19" x14ac:dyDescent="0.3">
      <c r="A913">
        <v>912</v>
      </c>
      <c r="B913" t="s">
        <v>19</v>
      </c>
      <c r="C913">
        <v>2023</v>
      </c>
      <c r="D913">
        <v>138669</v>
      </c>
      <c r="E913" t="s">
        <v>22</v>
      </c>
      <c r="F913" t="s">
        <v>18</v>
      </c>
      <c r="G913" t="s">
        <v>15</v>
      </c>
      <c r="H913">
        <v>928</v>
      </c>
      <c r="I913">
        <v>79.599999999999994</v>
      </c>
      <c r="J913" s="2">
        <v>10.34</v>
      </c>
      <c r="K913">
        <v>4</v>
      </c>
      <c r="L913" s="1">
        <v>109588.84</v>
      </c>
      <c r="M913">
        <f t="shared" si="98"/>
        <v>1</v>
      </c>
      <c r="N913">
        <f t="shared" si="99"/>
        <v>109588.84</v>
      </c>
      <c r="O913">
        <f t="shared" si="100"/>
        <v>138669</v>
      </c>
      <c r="P913">
        <f t="shared" si="101"/>
        <v>85.775862068965509</v>
      </c>
      <c r="Q913" t="str">
        <f t="shared" si="102"/>
        <v>New (0-3 years)</v>
      </c>
      <c r="R913" t="str">
        <f t="shared" si="103"/>
        <v>Low</v>
      </c>
      <c r="S913" t="str">
        <f t="shared" si="104"/>
        <v>Low</v>
      </c>
    </row>
    <row r="914" spans="1:19" x14ac:dyDescent="0.3">
      <c r="A914">
        <v>913</v>
      </c>
      <c r="B914" t="s">
        <v>27</v>
      </c>
      <c r="C914">
        <v>2006</v>
      </c>
      <c r="D914">
        <v>7659</v>
      </c>
      <c r="E914" t="s">
        <v>22</v>
      </c>
      <c r="F914" t="s">
        <v>14</v>
      </c>
      <c r="G914" t="s">
        <v>23</v>
      </c>
      <c r="H914">
        <v>1237</v>
      </c>
      <c r="I914">
        <v>242.5</v>
      </c>
      <c r="J914" s="2">
        <v>21.9</v>
      </c>
      <c r="K914">
        <v>5</v>
      </c>
      <c r="L914" s="1">
        <v>119200.16</v>
      </c>
      <c r="M914">
        <f t="shared" si="98"/>
        <v>18</v>
      </c>
      <c r="N914">
        <f t="shared" si="99"/>
        <v>6622.2311111111112</v>
      </c>
      <c r="O914">
        <f t="shared" si="100"/>
        <v>425.5</v>
      </c>
      <c r="P914">
        <f t="shared" si="101"/>
        <v>196.03880355699272</v>
      </c>
      <c r="Q914" t="str">
        <f t="shared" si="102"/>
        <v>Old (12+ years)</v>
      </c>
      <c r="R914" t="str">
        <f t="shared" si="103"/>
        <v>Good</v>
      </c>
      <c r="S914" t="str">
        <f t="shared" si="104"/>
        <v>Very High</v>
      </c>
    </row>
    <row r="915" spans="1:19" x14ac:dyDescent="0.3">
      <c r="A915">
        <v>914</v>
      </c>
      <c r="B915" t="s">
        <v>19</v>
      </c>
      <c r="C915">
        <v>2018</v>
      </c>
      <c r="D915">
        <v>91516</v>
      </c>
      <c r="E915" t="s">
        <v>22</v>
      </c>
      <c r="F915" t="s">
        <v>14</v>
      </c>
      <c r="G915" t="s">
        <v>15</v>
      </c>
      <c r="H915">
        <v>3348</v>
      </c>
      <c r="I915">
        <v>339.5</v>
      </c>
      <c r="J915" s="2">
        <v>15.13</v>
      </c>
      <c r="K915">
        <v>7</v>
      </c>
      <c r="L915" s="1">
        <v>15412.77</v>
      </c>
      <c r="M915">
        <f t="shared" si="98"/>
        <v>6</v>
      </c>
      <c r="N915">
        <f t="shared" si="99"/>
        <v>2568.7950000000001</v>
      </c>
      <c r="O915">
        <f t="shared" si="100"/>
        <v>15252.666666666666</v>
      </c>
      <c r="P915">
        <f t="shared" si="101"/>
        <v>101.40382317801674</v>
      </c>
      <c r="Q915" t="str">
        <f t="shared" si="102"/>
        <v>Recent (4-7 years)</v>
      </c>
      <c r="R915" t="str">
        <f t="shared" si="103"/>
        <v>Average</v>
      </c>
      <c r="S915" t="str">
        <f t="shared" si="104"/>
        <v>Very High</v>
      </c>
    </row>
    <row r="916" spans="1:19" x14ac:dyDescent="0.3">
      <c r="A916">
        <v>915</v>
      </c>
      <c r="B916" t="s">
        <v>30</v>
      </c>
      <c r="C916">
        <v>2008</v>
      </c>
      <c r="D916">
        <v>79567</v>
      </c>
      <c r="E916" t="s">
        <v>26</v>
      </c>
      <c r="F916" t="s">
        <v>14</v>
      </c>
      <c r="G916" t="s">
        <v>23</v>
      </c>
      <c r="H916">
        <v>3929</v>
      </c>
      <c r="I916">
        <v>597.9</v>
      </c>
      <c r="J916" s="2">
        <v>28.29</v>
      </c>
      <c r="K916">
        <v>5</v>
      </c>
      <c r="L916" s="1">
        <v>30267.22</v>
      </c>
      <c r="M916">
        <f t="shared" si="98"/>
        <v>16</v>
      </c>
      <c r="N916">
        <f t="shared" si="99"/>
        <v>1891.7012500000001</v>
      </c>
      <c r="O916">
        <f t="shared" si="100"/>
        <v>4972.9375</v>
      </c>
      <c r="P916">
        <f t="shared" si="101"/>
        <v>152.17612624077373</v>
      </c>
      <c r="Q916" t="str">
        <f t="shared" si="102"/>
        <v>Old (12+ years)</v>
      </c>
      <c r="R916" t="str">
        <f t="shared" si="103"/>
        <v>Excellent</v>
      </c>
      <c r="S916" t="str">
        <f t="shared" si="104"/>
        <v>Very High</v>
      </c>
    </row>
    <row r="917" spans="1:19" x14ac:dyDescent="0.3">
      <c r="A917">
        <v>916</v>
      </c>
      <c r="B917" t="s">
        <v>21</v>
      </c>
      <c r="C917">
        <v>2020</v>
      </c>
      <c r="D917">
        <v>20037</v>
      </c>
      <c r="E917" t="s">
        <v>13</v>
      </c>
      <c r="F917" t="s">
        <v>14</v>
      </c>
      <c r="G917" t="s">
        <v>20</v>
      </c>
      <c r="H917">
        <v>2021</v>
      </c>
      <c r="I917">
        <v>305.7</v>
      </c>
      <c r="J917" s="2">
        <v>7.23</v>
      </c>
      <c r="K917">
        <v>4</v>
      </c>
      <c r="L917" s="1">
        <v>114194.43</v>
      </c>
      <c r="M917">
        <f t="shared" si="98"/>
        <v>4</v>
      </c>
      <c r="N917">
        <f t="shared" si="99"/>
        <v>28548.607499999998</v>
      </c>
      <c r="O917">
        <f t="shared" si="100"/>
        <v>5009.25</v>
      </c>
      <c r="P917">
        <f t="shared" si="101"/>
        <v>151.26175160811479</v>
      </c>
      <c r="Q917" t="str">
        <f t="shared" si="102"/>
        <v>Recent (4-7 years)</v>
      </c>
      <c r="R917" t="str">
        <f t="shared" si="103"/>
        <v>Low</v>
      </c>
      <c r="S917" t="str">
        <f t="shared" si="104"/>
        <v>Very High</v>
      </c>
    </row>
    <row r="918" spans="1:19" x14ac:dyDescent="0.3">
      <c r="A918">
        <v>917</v>
      </c>
      <c r="B918" t="s">
        <v>25</v>
      </c>
      <c r="C918">
        <v>2024</v>
      </c>
      <c r="D918">
        <v>131498</v>
      </c>
      <c r="E918" t="s">
        <v>26</v>
      </c>
      <c r="F918" t="s">
        <v>14</v>
      </c>
      <c r="G918" t="s">
        <v>20</v>
      </c>
      <c r="H918">
        <v>1701</v>
      </c>
      <c r="I918">
        <v>497</v>
      </c>
      <c r="J918" s="2">
        <v>17.79</v>
      </c>
      <c r="K918">
        <v>7</v>
      </c>
      <c r="L918" s="1">
        <v>115124.34</v>
      </c>
      <c r="M918">
        <f t="shared" si="98"/>
        <v>0</v>
      </c>
      <c r="N918">
        <f t="shared" si="99"/>
        <v>115124.34</v>
      </c>
      <c r="O918">
        <f t="shared" si="100"/>
        <v>131498</v>
      </c>
      <c r="P918">
        <f t="shared" si="101"/>
        <v>292.18106995884773</v>
      </c>
      <c r="Q918" t="str">
        <f t="shared" si="102"/>
        <v>New (0-3 years)</v>
      </c>
      <c r="R918" t="str">
        <f t="shared" si="103"/>
        <v>Average</v>
      </c>
      <c r="S918" t="str">
        <f t="shared" si="104"/>
        <v>Very High</v>
      </c>
    </row>
    <row r="919" spans="1:19" x14ac:dyDescent="0.3">
      <c r="A919">
        <v>918</v>
      </c>
      <c r="B919" t="s">
        <v>21</v>
      </c>
      <c r="C919">
        <v>2018</v>
      </c>
      <c r="D919">
        <v>182810</v>
      </c>
      <c r="E919" t="s">
        <v>17</v>
      </c>
      <c r="F919" t="s">
        <v>14</v>
      </c>
      <c r="G919" t="s">
        <v>23</v>
      </c>
      <c r="H919">
        <v>3968</v>
      </c>
      <c r="I919">
        <v>282</v>
      </c>
      <c r="J919" s="2">
        <v>27.96</v>
      </c>
      <c r="K919">
        <v>7</v>
      </c>
      <c r="L919" s="1">
        <v>14431.75</v>
      </c>
      <c r="M919">
        <f t="shared" si="98"/>
        <v>6</v>
      </c>
      <c r="N919">
        <f t="shared" si="99"/>
        <v>2405.2916666666665</v>
      </c>
      <c r="O919">
        <f t="shared" si="100"/>
        <v>30468.333333333332</v>
      </c>
      <c r="P919">
        <f t="shared" si="101"/>
        <v>71.068548387096769</v>
      </c>
      <c r="Q919" t="str">
        <f t="shared" si="102"/>
        <v>Recent (4-7 years)</v>
      </c>
      <c r="R919" t="str">
        <f t="shared" si="103"/>
        <v>Excellent</v>
      </c>
      <c r="S919" t="str">
        <f t="shared" si="104"/>
        <v>Very High</v>
      </c>
    </row>
    <row r="920" spans="1:19" x14ac:dyDescent="0.3">
      <c r="A920">
        <v>919</v>
      </c>
      <c r="B920" t="s">
        <v>21</v>
      </c>
      <c r="C920">
        <v>2019</v>
      </c>
      <c r="D920">
        <v>17109</v>
      </c>
      <c r="E920" t="s">
        <v>22</v>
      </c>
      <c r="F920" t="s">
        <v>18</v>
      </c>
      <c r="G920" t="s">
        <v>20</v>
      </c>
      <c r="H920">
        <v>4718</v>
      </c>
      <c r="I920">
        <v>486</v>
      </c>
      <c r="J920" s="2">
        <v>27.6</v>
      </c>
      <c r="K920">
        <v>5</v>
      </c>
      <c r="L920" s="1">
        <v>4754.82</v>
      </c>
      <c r="M920">
        <f t="shared" si="98"/>
        <v>5</v>
      </c>
      <c r="N920">
        <f t="shared" si="99"/>
        <v>950.96399999999994</v>
      </c>
      <c r="O920">
        <f t="shared" si="100"/>
        <v>3421.8</v>
      </c>
      <c r="P920">
        <f t="shared" si="101"/>
        <v>103.00974989402289</v>
      </c>
      <c r="Q920" t="str">
        <f t="shared" si="102"/>
        <v>Recent (4-7 years)</v>
      </c>
      <c r="R920" t="str">
        <f t="shared" si="103"/>
        <v>Excellent</v>
      </c>
      <c r="S920" t="str">
        <f t="shared" si="104"/>
        <v>Very High</v>
      </c>
    </row>
    <row r="921" spans="1:19" x14ac:dyDescent="0.3">
      <c r="A921">
        <v>920</v>
      </c>
      <c r="B921" t="s">
        <v>21</v>
      </c>
      <c r="C921">
        <v>2007</v>
      </c>
      <c r="D921">
        <v>27010</v>
      </c>
      <c r="E921" t="s">
        <v>13</v>
      </c>
      <c r="F921" t="s">
        <v>18</v>
      </c>
      <c r="G921" t="s">
        <v>20</v>
      </c>
      <c r="H921">
        <v>1867</v>
      </c>
      <c r="I921">
        <v>373.4</v>
      </c>
      <c r="J921" s="2">
        <v>8.91</v>
      </c>
      <c r="K921">
        <v>4</v>
      </c>
      <c r="L921" s="1">
        <v>21848.7</v>
      </c>
      <c r="M921">
        <f t="shared" si="98"/>
        <v>17</v>
      </c>
      <c r="N921">
        <f t="shared" si="99"/>
        <v>1285.2176470588236</v>
      </c>
      <c r="O921">
        <f t="shared" si="100"/>
        <v>1588.8235294117646</v>
      </c>
      <c r="P921">
        <f t="shared" si="101"/>
        <v>200</v>
      </c>
      <c r="Q921" t="str">
        <f t="shared" si="102"/>
        <v>Old (12+ years)</v>
      </c>
      <c r="R921" t="str">
        <f t="shared" si="103"/>
        <v>Low</v>
      </c>
      <c r="S921" t="str">
        <f t="shared" si="104"/>
        <v>Very High</v>
      </c>
    </row>
    <row r="922" spans="1:19" x14ac:dyDescent="0.3">
      <c r="A922">
        <v>921</v>
      </c>
      <c r="B922" t="s">
        <v>25</v>
      </c>
      <c r="C922">
        <v>2012</v>
      </c>
      <c r="D922">
        <v>13787</v>
      </c>
      <c r="E922" t="s">
        <v>17</v>
      </c>
      <c r="F922" t="s">
        <v>18</v>
      </c>
      <c r="G922" t="s">
        <v>20</v>
      </c>
      <c r="H922">
        <v>826</v>
      </c>
      <c r="I922">
        <v>536.5</v>
      </c>
      <c r="J922" s="2">
        <v>14.17</v>
      </c>
      <c r="K922">
        <v>2</v>
      </c>
      <c r="L922" s="1">
        <v>119533.5</v>
      </c>
      <c r="M922">
        <f t="shared" si="98"/>
        <v>12</v>
      </c>
      <c r="N922">
        <f t="shared" si="99"/>
        <v>9961.125</v>
      </c>
      <c r="O922">
        <f t="shared" si="100"/>
        <v>1148.9166666666667</v>
      </c>
      <c r="P922">
        <f t="shared" si="101"/>
        <v>649.51573849878935</v>
      </c>
      <c r="Q922" t="str">
        <f t="shared" si="102"/>
        <v>Mature (8-12 years)</v>
      </c>
      <c r="R922" t="str">
        <f t="shared" si="103"/>
        <v>Low</v>
      </c>
      <c r="S922" t="str">
        <f t="shared" si="104"/>
        <v>Very High</v>
      </c>
    </row>
    <row r="923" spans="1:19" x14ac:dyDescent="0.3">
      <c r="A923">
        <v>922</v>
      </c>
      <c r="B923" t="s">
        <v>24</v>
      </c>
      <c r="C923">
        <v>2020</v>
      </c>
      <c r="D923">
        <v>144544</v>
      </c>
      <c r="E923" t="s">
        <v>17</v>
      </c>
      <c r="F923" t="s">
        <v>14</v>
      </c>
      <c r="G923" t="s">
        <v>15</v>
      </c>
      <c r="H923">
        <v>1347</v>
      </c>
      <c r="I923">
        <v>270.10000000000002</v>
      </c>
      <c r="J923" s="2">
        <v>20.48</v>
      </c>
      <c r="K923">
        <v>7</v>
      </c>
      <c r="L923" s="1">
        <v>24059.96</v>
      </c>
      <c r="M923">
        <f t="shared" si="98"/>
        <v>4</v>
      </c>
      <c r="N923">
        <f t="shared" si="99"/>
        <v>6014.99</v>
      </c>
      <c r="O923">
        <f t="shared" si="100"/>
        <v>36136</v>
      </c>
      <c r="P923">
        <f t="shared" si="101"/>
        <v>200.51967334818116</v>
      </c>
      <c r="Q923" t="str">
        <f t="shared" si="102"/>
        <v>Recent (4-7 years)</v>
      </c>
      <c r="R923" t="str">
        <f t="shared" si="103"/>
        <v>Good</v>
      </c>
      <c r="S923" t="str">
        <f t="shared" si="104"/>
        <v>Very High</v>
      </c>
    </row>
    <row r="924" spans="1:19" x14ac:dyDescent="0.3">
      <c r="A924">
        <v>923</v>
      </c>
      <c r="B924" t="s">
        <v>16</v>
      </c>
      <c r="C924">
        <v>2014</v>
      </c>
      <c r="D924">
        <v>159455</v>
      </c>
      <c r="E924" t="s">
        <v>17</v>
      </c>
      <c r="F924" t="s">
        <v>18</v>
      </c>
      <c r="G924" t="s">
        <v>20</v>
      </c>
      <c r="H924">
        <v>3468</v>
      </c>
      <c r="I924">
        <v>378.4</v>
      </c>
      <c r="J924" s="2">
        <v>8.98</v>
      </c>
      <c r="K924">
        <v>2</v>
      </c>
      <c r="L924" s="1">
        <v>61798.07</v>
      </c>
      <c r="M924">
        <f t="shared" si="98"/>
        <v>10</v>
      </c>
      <c r="N924">
        <f t="shared" si="99"/>
        <v>6179.8069999999998</v>
      </c>
      <c r="O924">
        <f t="shared" si="100"/>
        <v>15945.5</v>
      </c>
      <c r="P924">
        <f t="shared" si="101"/>
        <v>109.11188004613609</v>
      </c>
      <c r="Q924" t="str">
        <f t="shared" si="102"/>
        <v>Mature (8-12 years)</v>
      </c>
      <c r="R924" t="str">
        <f t="shared" si="103"/>
        <v>Low</v>
      </c>
      <c r="S924" t="str">
        <f t="shared" si="104"/>
        <v>Very High</v>
      </c>
    </row>
    <row r="925" spans="1:19" x14ac:dyDescent="0.3">
      <c r="A925">
        <v>924</v>
      </c>
      <c r="B925" t="s">
        <v>30</v>
      </c>
      <c r="C925">
        <v>2008</v>
      </c>
      <c r="D925">
        <v>66709</v>
      </c>
      <c r="E925" t="s">
        <v>26</v>
      </c>
      <c r="F925" t="s">
        <v>14</v>
      </c>
      <c r="G925" t="s">
        <v>15</v>
      </c>
      <c r="H925">
        <v>1366</v>
      </c>
      <c r="I925">
        <v>392.8</v>
      </c>
      <c r="J925" s="2">
        <v>29.2</v>
      </c>
      <c r="K925">
        <v>4</v>
      </c>
      <c r="L925" s="1">
        <v>102264.87</v>
      </c>
      <c r="M925">
        <f t="shared" si="98"/>
        <v>16</v>
      </c>
      <c r="N925">
        <f t="shared" si="99"/>
        <v>6391.5543749999997</v>
      </c>
      <c r="O925">
        <f t="shared" si="100"/>
        <v>4169.3125</v>
      </c>
      <c r="P925">
        <f t="shared" si="101"/>
        <v>287.55490483162515</v>
      </c>
      <c r="Q925" t="str">
        <f t="shared" si="102"/>
        <v>Old (12+ years)</v>
      </c>
      <c r="R925" t="str">
        <f t="shared" si="103"/>
        <v>Excellent</v>
      </c>
      <c r="S925" t="str">
        <f t="shared" si="104"/>
        <v>Very High</v>
      </c>
    </row>
    <row r="926" spans="1:19" x14ac:dyDescent="0.3">
      <c r="A926">
        <v>925</v>
      </c>
      <c r="B926" t="s">
        <v>24</v>
      </c>
      <c r="C926">
        <v>2022</v>
      </c>
      <c r="D926">
        <v>39518</v>
      </c>
      <c r="E926" t="s">
        <v>22</v>
      </c>
      <c r="F926" t="s">
        <v>14</v>
      </c>
      <c r="G926" t="s">
        <v>23</v>
      </c>
      <c r="H926">
        <v>1503</v>
      </c>
      <c r="I926">
        <v>273.7</v>
      </c>
      <c r="J926" s="2">
        <v>27.87</v>
      </c>
      <c r="K926">
        <v>7</v>
      </c>
      <c r="L926" s="1">
        <v>5386.99</v>
      </c>
      <c r="M926">
        <f t="shared" si="98"/>
        <v>2</v>
      </c>
      <c r="N926">
        <f t="shared" si="99"/>
        <v>2693.4949999999999</v>
      </c>
      <c r="O926">
        <f t="shared" si="100"/>
        <v>19759</v>
      </c>
      <c r="P926">
        <f t="shared" si="101"/>
        <v>182.1024617431803</v>
      </c>
      <c r="Q926" t="str">
        <f t="shared" si="102"/>
        <v>New (0-3 years)</v>
      </c>
      <c r="R926" t="str">
        <f t="shared" si="103"/>
        <v>Excellent</v>
      </c>
      <c r="S926" t="str">
        <f t="shared" si="104"/>
        <v>Very High</v>
      </c>
    </row>
    <row r="927" spans="1:19" x14ac:dyDescent="0.3">
      <c r="A927">
        <v>926</v>
      </c>
      <c r="B927" t="s">
        <v>30</v>
      </c>
      <c r="C927">
        <v>2006</v>
      </c>
      <c r="D927">
        <v>58909</v>
      </c>
      <c r="E927" t="s">
        <v>17</v>
      </c>
      <c r="F927" t="s">
        <v>14</v>
      </c>
      <c r="G927" t="s">
        <v>20</v>
      </c>
      <c r="H927">
        <v>3940</v>
      </c>
      <c r="I927">
        <v>120.8</v>
      </c>
      <c r="J927" s="2">
        <v>9.17</v>
      </c>
      <c r="K927">
        <v>7</v>
      </c>
      <c r="L927" s="1">
        <v>73725.210000000006</v>
      </c>
      <c r="M927">
        <f t="shared" si="98"/>
        <v>18</v>
      </c>
      <c r="N927">
        <f t="shared" si="99"/>
        <v>4095.8450000000003</v>
      </c>
      <c r="O927">
        <f t="shared" si="100"/>
        <v>3272.7222222222222</v>
      </c>
      <c r="P927">
        <f t="shared" si="101"/>
        <v>30.659898477157359</v>
      </c>
      <c r="Q927" t="str">
        <f t="shared" si="102"/>
        <v>Old (12+ years)</v>
      </c>
      <c r="R927" t="str">
        <f t="shared" si="103"/>
        <v>Low</v>
      </c>
      <c r="S927" t="str">
        <f t="shared" si="104"/>
        <v>Medium</v>
      </c>
    </row>
    <row r="928" spans="1:19" x14ac:dyDescent="0.3">
      <c r="A928">
        <v>927</v>
      </c>
      <c r="B928" t="s">
        <v>28</v>
      </c>
      <c r="C928">
        <v>2021</v>
      </c>
      <c r="D928">
        <v>23351</v>
      </c>
      <c r="E928" t="s">
        <v>22</v>
      </c>
      <c r="F928" t="s">
        <v>14</v>
      </c>
      <c r="G928" t="s">
        <v>20</v>
      </c>
      <c r="H928">
        <v>2390</v>
      </c>
      <c r="I928">
        <v>92.4</v>
      </c>
      <c r="J928" s="2">
        <v>8.0299999999999994</v>
      </c>
      <c r="K928">
        <v>2</v>
      </c>
      <c r="L928" s="1">
        <v>35411.980000000003</v>
      </c>
      <c r="M928">
        <f t="shared" si="98"/>
        <v>3</v>
      </c>
      <c r="N928">
        <f t="shared" si="99"/>
        <v>11803.993333333334</v>
      </c>
      <c r="O928">
        <f t="shared" si="100"/>
        <v>7783.666666666667</v>
      </c>
      <c r="P928">
        <f t="shared" si="101"/>
        <v>38.661087866108787</v>
      </c>
      <c r="Q928" t="str">
        <f t="shared" si="102"/>
        <v>New (0-3 years)</v>
      </c>
      <c r="R928" t="str">
        <f t="shared" si="103"/>
        <v>Low</v>
      </c>
      <c r="S928" t="str">
        <f t="shared" si="104"/>
        <v>Low</v>
      </c>
    </row>
    <row r="929" spans="1:19" x14ac:dyDescent="0.3">
      <c r="A929">
        <v>928</v>
      </c>
      <c r="B929" t="s">
        <v>19</v>
      </c>
      <c r="C929">
        <v>2017</v>
      </c>
      <c r="D929">
        <v>189402</v>
      </c>
      <c r="E929" t="s">
        <v>26</v>
      </c>
      <c r="F929" t="s">
        <v>18</v>
      </c>
      <c r="G929" t="s">
        <v>20</v>
      </c>
      <c r="H929">
        <v>1605</v>
      </c>
      <c r="I929">
        <v>49.3</v>
      </c>
      <c r="J929" s="2">
        <v>7.14</v>
      </c>
      <c r="K929">
        <v>6</v>
      </c>
      <c r="L929" s="1">
        <v>103893.19</v>
      </c>
      <c r="M929">
        <f t="shared" si="98"/>
        <v>7</v>
      </c>
      <c r="N929">
        <f t="shared" si="99"/>
        <v>14841.884285714286</v>
      </c>
      <c r="O929">
        <f t="shared" si="100"/>
        <v>27057.428571428572</v>
      </c>
      <c r="P929">
        <f t="shared" si="101"/>
        <v>30.716510903426791</v>
      </c>
      <c r="Q929" t="str">
        <f t="shared" si="102"/>
        <v>Recent (4-7 years)</v>
      </c>
      <c r="R929" t="str">
        <f t="shared" si="103"/>
        <v>Low</v>
      </c>
      <c r="S929" t="str">
        <f t="shared" si="104"/>
        <v>Low</v>
      </c>
    </row>
    <row r="930" spans="1:19" x14ac:dyDescent="0.3">
      <c r="A930">
        <v>929</v>
      </c>
      <c r="B930" t="s">
        <v>19</v>
      </c>
      <c r="C930">
        <v>2008</v>
      </c>
      <c r="D930">
        <v>20282</v>
      </c>
      <c r="E930" t="s">
        <v>17</v>
      </c>
      <c r="F930" t="s">
        <v>14</v>
      </c>
      <c r="G930" t="s">
        <v>23</v>
      </c>
      <c r="H930">
        <v>4591</v>
      </c>
      <c r="I930">
        <v>529.20000000000005</v>
      </c>
      <c r="J930" s="2">
        <v>27.74</v>
      </c>
      <c r="K930">
        <v>2</v>
      </c>
      <c r="L930" s="1">
        <v>36164.949999999997</v>
      </c>
      <c r="M930">
        <f t="shared" si="98"/>
        <v>16</v>
      </c>
      <c r="N930">
        <f t="shared" si="99"/>
        <v>2260.3093749999998</v>
      </c>
      <c r="O930">
        <f t="shared" si="100"/>
        <v>1267.625</v>
      </c>
      <c r="P930">
        <f t="shared" si="101"/>
        <v>115.26900457416686</v>
      </c>
      <c r="Q930" t="str">
        <f t="shared" si="102"/>
        <v>Old (12+ years)</v>
      </c>
      <c r="R930" t="str">
        <f t="shared" si="103"/>
        <v>Excellent</v>
      </c>
      <c r="S930" t="str">
        <f t="shared" si="104"/>
        <v>Very High</v>
      </c>
    </row>
    <row r="931" spans="1:19" x14ac:dyDescent="0.3">
      <c r="A931">
        <v>930</v>
      </c>
      <c r="B931" t="s">
        <v>12</v>
      </c>
      <c r="C931">
        <v>2015</v>
      </c>
      <c r="D931">
        <v>157850</v>
      </c>
      <c r="E931" t="s">
        <v>26</v>
      </c>
      <c r="F931" t="s">
        <v>18</v>
      </c>
      <c r="G931" t="s">
        <v>15</v>
      </c>
      <c r="H931">
        <v>2157</v>
      </c>
      <c r="I931">
        <v>172.4</v>
      </c>
      <c r="J931" s="2">
        <v>9.84</v>
      </c>
      <c r="K931">
        <v>2</v>
      </c>
      <c r="L931" s="1">
        <v>83350.42</v>
      </c>
      <c r="M931">
        <f t="shared" si="98"/>
        <v>9</v>
      </c>
      <c r="N931">
        <f t="shared" si="99"/>
        <v>9261.1577777777784</v>
      </c>
      <c r="O931">
        <f t="shared" si="100"/>
        <v>17538.888888888891</v>
      </c>
      <c r="P931">
        <f t="shared" si="101"/>
        <v>79.92582290217895</v>
      </c>
      <c r="Q931" t="str">
        <f t="shared" si="102"/>
        <v>Mature (8-12 years)</v>
      </c>
      <c r="R931" t="str">
        <f t="shared" si="103"/>
        <v>Low</v>
      </c>
      <c r="S931" t="str">
        <f t="shared" si="104"/>
        <v>High</v>
      </c>
    </row>
    <row r="932" spans="1:19" x14ac:dyDescent="0.3">
      <c r="A932">
        <v>931</v>
      </c>
      <c r="B932" t="s">
        <v>19</v>
      </c>
      <c r="C932">
        <v>2011</v>
      </c>
      <c r="D932">
        <v>160336</v>
      </c>
      <c r="E932" t="s">
        <v>26</v>
      </c>
      <c r="F932" t="s">
        <v>14</v>
      </c>
      <c r="G932" t="s">
        <v>15</v>
      </c>
      <c r="H932">
        <v>4025</v>
      </c>
      <c r="I932">
        <v>158.4</v>
      </c>
      <c r="J932" s="2">
        <v>15.41</v>
      </c>
      <c r="K932">
        <v>6</v>
      </c>
      <c r="L932" s="1">
        <v>81883.7</v>
      </c>
      <c r="M932">
        <f t="shared" si="98"/>
        <v>13</v>
      </c>
      <c r="N932">
        <f t="shared" si="99"/>
        <v>6298.7461538461539</v>
      </c>
      <c r="O932">
        <f t="shared" si="100"/>
        <v>12333.538461538461</v>
      </c>
      <c r="P932">
        <f t="shared" si="101"/>
        <v>39.354037267080741</v>
      </c>
      <c r="Q932" t="str">
        <f t="shared" si="102"/>
        <v>Old (12+ years)</v>
      </c>
      <c r="R932" t="str">
        <f t="shared" si="103"/>
        <v>Average</v>
      </c>
      <c r="S932" t="str">
        <f t="shared" si="104"/>
        <v>High</v>
      </c>
    </row>
    <row r="933" spans="1:19" x14ac:dyDescent="0.3">
      <c r="A933">
        <v>932</v>
      </c>
      <c r="B933" t="s">
        <v>25</v>
      </c>
      <c r="C933">
        <v>2016</v>
      </c>
      <c r="D933">
        <v>195747</v>
      </c>
      <c r="E933" t="s">
        <v>22</v>
      </c>
      <c r="F933" t="s">
        <v>18</v>
      </c>
      <c r="G933" t="s">
        <v>20</v>
      </c>
      <c r="H933">
        <v>4418</v>
      </c>
      <c r="I933">
        <v>452.2</v>
      </c>
      <c r="J933" s="2">
        <v>16.22</v>
      </c>
      <c r="K933">
        <v>4</v>
      </c>
      <c r="L933" s="1">
        <v>28914.75</v>
      </c>
      <c r="M933">
        <f t="shared" si="98"/>
        <v>8</v>
      </c>
      <c r="N933">
        <f t="shared" si="99"/>
        <v>3614.34375</v>
      </c>
      <c r="O933">
        <f t="shared" si="100"/>
        <v>24468.375</v>
      </c>
      <c r="P933">
        <f t="shared" si="101"/>
        <v>102.35400633770936</v>
      </c>
      <c r="Q933" t="str">
        <f t="shared" si="102"/>
        <v>Mature (8-12 years)</v>
      </c>
      <c r="R933" t="str">
        <f t="shared" si="103"/>
        <v>Average</v>
      </c>
      <c r="S933" t="str">
        <f t="shared" si="104"/>
        <v>Very High</v>
      </c>
    </row>
    <row r="934" spans="1:19" x14ac:dyDescent="0.3">
      <c r="A934">
        <v>933</v>
      </c>
      <c r="B934" t="s">
        <v>27</v>
      </c>
      <c r="C934">
        <v>2014</v>
      </c>
      <c r="D934">
        <v>10075</v>
      </c>
      <c r="E934" t="s">
        <v>17</v>
      </c>
      <c r="F934" t="s">
        <v>18</v>
      </c>
      <c r="G934" t="s">
        <v>23</v>
      </c>
      <c r="H934">
        <v>2926</v>
      </c>
      <c r="I934">
        <v>219.2</v>
      </c>
      <c r="J934" s="2">
        <v>19.98</v>
      </c>
      <c r="K934">
        <v>4</v>
      </c>
      <c r="L934" s="1">
        <v>7071.51</v>
      </c>
      <c r="M934">
        <f t="shared" si="98"/>
        <v>10</v>
      </c>
      <c r="N934">
        <f t="shared" si="99"/>
        <v>707.15100000000007</v>
      </c>
      <c r="O934">
        <f t="shared" si="100"/>
        <v>1007.5</v>
      </c>
      <c r="P934">
        <f t="shared" si="101"/>
        <v>74.914559125085432</v>
      </c>
      <c r="Q934" t="str">
        <f t="shared" si="102"/>
        <v>Mature (8-12 years)</v>
      </c>
      <c r="R934" t="str">
        <f t="shared" si="103"/>
        <v>Average</v>
      </c>
      <c r="S934" t="str">
        <f t="shared" si="104"/>
        <v>Very High</v>
      </c>
    </row>
    <row r="935" spans="1:19" x14ac:dyDescent="0.3">
      <c r="A935">
        <v>934</v>
      </c>
      <c r="B935" t="s">
        <v>29</v>
      </c>
      <c r="C935">
        <v>2011</v>
      </c>
      <c r="D935">
        <v>184526</v>
      </c>
      <c r="E935" t="s">
        <v>26</v>
      </c>
      <c r="F935" t="s">
        <v>18</v>
      </c>
      <c r="G935" t="s">
        <v>23</v>
      </c>
      <c r="H935">
        <v>3260</v>
      </c>
      <c r="I935">
        <v>323.39999999999998</v>
      </c>
      <c r="J935" s="2">
        <v>6.79</v>
      </c>
      <c r="K935">
        <v>7</v>
      </c>
      <c r="L935" s="1">
        <v>50882.2</v>
      </c>
      <c r="M935">
        <f t="shared" si="98"/>
        <v>13</v>
      </c>
      <c r="N935">
        <f t="shared" si="99"/>
        <v>3914.0153846153844</v>
      </c>
      <c r="O935">
        <f t="shared" si="100"/>
        <v>14194.307692307691</v>
      </c>
      <c r="P935">
        <f t="shared" si="101"/>
        <v>99.202453987730067</v>
      </c>
      <c r="Q935" t="str">
        <f t="shared" si="102"/>
        <v>Old (12+ years)</v>
      </c>
      <c r="R935" t="str">
        <f t="shared" si="103"/>
        <v>Low</v>
      </c>
      <c r="S935" t="str">
        <f t="shared" si="104"/>
        <v>Very High</v>
      </c>
    </row>
    <row r="936" spans="1:19" x14ac:dyDescent="0.3">
      <c r="A936">
        <v>935</v>
      </c>
      <c r="B936" t="s">
        <v>12</v>
      </c>
      <c r="C936">
        <v>2017</v>
      </c>
      <c r="D936">
        <v>33365</v>
      </c>
      <c r="E936" t="s">
        <v>17</v>
      </c>
      <c r="F936" t="s">
        <v>18</v>
      </c>
      <c r="G936" t="s">
        <v>23</v>
      </c>
      <c r="H936">
        <v>1345</v>
      </c>
      <c r="I936">
        <v>131</v>
      </c>
      <c r="J936" s="2">
        <v>10.67</v>
      </c>
      <c r="K936">
        <v>5</v>
      </c>
      <c r="L936" s="1">
        <v>36835.599999999999</v>
      </c>
      <c r="M936">
        <f t="shared" si="98"/>
        <v>7</v>
      </c>
      <c r="N936">
        <f t="shared" si="99"/>
        <v>5262.2285714285708</v>
      </c>
      <c r="O936">
        <f t="shared" si="100"/>
        <v>4766.4285714285716</v>
      </c>
      <c r="P936">
        <f t="shared" si="101"/>
        <v>97.39776951672863</v>
      </c>
      <c r="Q936" t="str">
        <f t="shared" si="102"/>
        <v>Recent (4-7 years)</v>
      </c>
      <c r="R936" t="str">
        <f t="shared" si="103"/>
        <v>Low</v>
      </c>
      <c r="S936" t="str">
        <f t="shared" si="104"/>
        <v>Medium</v>
      </c>
    </row>
    <row r="937" spans="1:19" x14ac:dyDescent="0.3">
      <c r="A937">
        <v>936</v>
      </c>
      <c r="B937" t="s">
        <v>29</v>
      </c>
      <c r="C937">
        <v>2011</v>
      </c>
      <c r="D937">
        <v>184272</v>
      </c>
      <c r="E937" t="s">
        <v>22</v>
      </c>
      <c r="F937" t="s">
        <v>18</v>
      </c>
      <c r="G937" t="s">
        <v>23</v>
      </c>
      <c r="H937">
        <v>3528</v>
      </c>
      <c r="I937">
        <v>577.5</v>
      </c>
      <c r="J937" s="2">
        <v>28.29</v>
      </c>
      <c r="K937">
        <v>5</v>
      </c>
      <c r="L937" s="1">
        <v>97650.4</v>
      </c>
      <c r="M937">
        <f t="shared" si="98"/>
        <v>13</v>
      </c>
      <c r="N937">
        <f t="shared" si="99"/>
        <v>7511.5692307692307</v>
      </c>
      <c r="O937">
        <f t="shared" si="100"/>
        <v>14174.76923076923</v>
      </c>
      <c r="P937">
        <f t="shared" si="101"/>
        <v>163.69047619047618</v>
      </c>
      <c r="Q937" t="str">
        <f t="shared" si="102"/>
        <v>Old (12+ years)</v>
      </c>
      <c r="R937" t="str">
        <f t="shared" si="103"/>
        <v>Excellent</v>
      </c>
      <c r="S937" t="str">
        <f t="shared" si="104"/>
        <v>Very High</v>
      </c>
    </row>
    <row r="938" spans="1:19" x14ac:dyDescent="0.3">
      <c r="A938">
        <v>937</v>
      </c>
      <c r="B938" t="s">
        <v>30</v>
      </c>
      <c r="C938">
        <v>2021</v>
      </c>
      <c r="D938">
        <v>16002</v>
      </c>
      <c r="E938" t="s">
        <v>26</v>
      </c>
      <c r="F938" t="s">
        <v>18</v>
      </c>
      <c r="G938" t="s">
        <v>23</v>
      </c>
      <c r="H938">
        <v>4534</v>
      </c>
      <c r="I938">
        <v>516.9</v>
      </c>
      <c r="J938" s="2">
        <v>27.71</v>
      </c>
      <c r="K938">
        <v>7</v>
      </c>
      <c r="L938" s="1">
        <v>96642.61</v>
      </c>
      <c r="M938">
        <f t="shared" si="98"/>
        <v>3</v>
      </c>
      <c r="N938">
        <f t="shared" si="99"/>
        <v>32214.203333333335</v>
      </c>
      <c r="O938">
        <f t="shared" si="100"/>
        <v>5334</v>
      </c>
      <c r="P938">
        <f t="shared" si="101"/>
        <v>114.00529333921482</v>
      </c>
      <c r="Q938" t="str">
        <f t="shared" si="102"/>
        <v>New (0-3 years)</v>
      </c>
      <c r="R938" t="str">
        <f t="shared" si="103"/>
        <v>Excellent</v>
      </c>
      <c r="S938" t="str">
        <f t="shared" si="104"/>
        <v>Very High</v>
      </c>
    </row>
    <row r="939" spans="1:19" x14ac:dyDescent="0.3">
      <c r="A939">
        <v>938</v>
      </c>
      <c r="B939" t="s">
        <v>29</v>
      </c>
      <c r="C939">
        <v>2014</v>
      </c>
      <c r="D939">
        <v>18947</v>
      </c>
      <c r="E939" t="s">
        <v>22</v>
      </c>
      <c r="F939" t="s">
        <v>14</v>
      </c>
      <c r="G939" t="s">
        <v>15</v>
      </c>
      <c r="H939">
        <v>3362</v>
      </c>
      <c r="I939">
        <v>523.70000000000005</v>
      </c>
      <c r="J939" s="2">
        <v>24.53</v>
      </c>
      <c r="K939">
        <v>5</v>
      </c>
      <c r="L939" s="1">
        <v>56471.8</v>
      </c>
      <c r="M939">
        <f t="shared" si="98"/>
        <v>10</v>
      </c>
      <c r="N939">
        <f t="shared" si="99"/>
        <v>5647.18</v>
      </c>
      <c r="O939">
        <f t="shared" si="100"/>
        <v>1894.7</v>
      </c>
      <c r="P939">
        <f t="shared" si="101"/>
        <v>155.77037477691852</v>
      </c>
      <c r="Q939" t="str">
        <f t="shared" si="102"/>
        <v>Mature (8-12 years)</v>
      </c>
      <c r="R939" t="str">
        <f t="shared" si="103"/>
        <v>Good</v>
      </c>
      <c r="S939" t="str">
        <f t="shared" si="104"/>
        <v>Very High</v>
      </c>
    </row>
    <row r="940" spans="1:19" x14ac:dyDescent="0.3">
      <c r="A940">
        <v>939</v>
      </c>
      <c r="B940" t="s">
        <v>29</v>
      </c>
      <c r="C940">
        <v>2014</v>
      </c>
      <c r="D940">
        <v>99840</v>
      </c>
      <c r="E940" t="s">
        <v>17</v>
      </c>
      <c r="F940" t="s">
        <v>18</v>
      </c>
      <c r="G940" t="s">
        <v>15</v>
      </c>
      <c r="H940">
        <v>2879</v>
      </c>
      <c r="I940">
        <v>267.8</v>
      </c>
      <c r="J940" s="2">
        <v>5.49</v>
      </c>
      <c r="K940">
        <v>2</v>
      </c>
      <c r="L940" s="1">
        <v>73961.929999999993</v>
      </c>
      <c r="M940">
        <f t="shared" si="98"/>
        <v>10</v>
      </c>
      <c r="N940">
        <f t="shared" si="99"/>
        <v>7396.1929999999993</v>
      </c>
      <c r="O940">
        <f t="shared" si="100"/>
        <v>9984</v>
      </c>
      <c r="P940">
        <f t="shared" si="101"/>
        <v>93.018409169850642</v>
      </c>
      <c r="Q940" t="str">
        <f t="shared" si="102"/>
        <v>Mature (8-12 years)</v>
      </c>
      <c r="R940" t="str">
        <f t="shared" si="103"/>
        <v>Low</v>
      </c>
      <c r="S940" t="str">
        <f t="shared" si="104"/>
        <v>Very High</v>
      </c>
    </row>
    <row r="941" spans="1:19" x14ac:dyDescent="0.3">
      <c r="A941">
        <v>940</v>
      </c>
      <c r="B941" t="s">
        <v>12</v>
      </c>
      <c r="C941">
        <v>2008</v>
      </c>
      <c r="D941">
        <v>121219</v>
      </c>
      <c r="E941" t="s">
        <v>17</v>
      </c>
      <c r="F941" t="s">
        <v>14</v>
      </c>
      <c r="G941" t="s">
        <v>15</v>
      </c>
      <c r="H941">
        <v>3441</v>
      </c>
      <c r="I941">
        <v>466.9</v>
      </c>
      <c r="J941" s="2">
        <v>13.18</v>
      </c>
      <c r="K941">
        <v>2</v>
      </c>
      <c r="L941" s="1">
        <v>73698.36</v>
      </c>
      <c r="M941">
        <f t="shared" si="98"/>
        <v>16</v>
      </c>
      <c r="N941">
        <f t="shared" si="99"/>
        <v>4606.1475</v>
      </c>
      <c r="O941">
        <f t="shared" si="100"/>
        <v>7576.1875</v>
      </c>
      <c r="P941">
        <f t="shared" si="101"/>
        <v>135.68730020342923</v>
      </c>
      <c r="Q941" t="str">
        <f t="shared" si="102"/>
        <v>Old (12+ years)</v>
      </c>
      <c r="R941" t="str">
        <f t="shared" si="103"/>
        <v>Low</v>
      </c>
      <c r="S941" t="str">
        <f t="shared" si="104"/>
        <v>Very High</v>
      </c>
    </row>
    <row r="942" spans="1:19" x14ac:dyDescent="0.3">
      <c r="A942">
        <v>941</v>
      </c>
      <c r="B942" t="s">
        <v>28</v>
      </c>
      <c r="C942">
        <v>2024</v>
      </c>
      <c r="D942">
        <v>83610</v>
      </c>
      <c r="E942" t="s">
        <v>22</v>
      </c>
      <c r="F942" t="s">
        <v>18</v>
      </c>
      <c r="G942" t="s">
        <v>20</v>
      </c>
      <c r="H942">
        <v>3914</v>
      </c>
      <c r="I942">
        <v>120.6</v>
      </c>
      <c r="J942" s="2">
        <v>20.7</v>
      </c>
      <c r="K942">
        <v>6</v>
      </c>
      <c r="L942" s="1">
        <v>99777.5</v>
      </c>
      <c r="M942">
        <f t="shared" si="98"/>
        <v>0</v>
      </c>
      <c r="N942">
        <f t="shared" si="99"/>
        <v>99777.5</v>
      </c>
      <c r="O942">
        <f t="shared" si="100"/>
        <v>83610</v>
      </c>
      <c r="P942">
        <f t="shared" si="101"/>
        <v>30.812468063362285</v>
      </c>
      <c r="Q942" t="str">
        <f t="shared" si="102"/>
        <v>New (0-3 years)</v>
      </c>
      <c r="R942" t="str">
        <f t="shared" si="103"/>
        <v>Good</v>
      </c>
      <c r="S942" t="str">
        <f t="shared" si="104"/>
        <v>Medium</v>
      </c>
    </row>
    <row r="943" spans="1:19" x14ac:dyDescent="0.3">
      <c r="A943">
        <v>942</v>
      </c>
      <c r="B943" t="s">
        <v>21</v>
      </c>
      <c r="C943">
        <v>2008</v>
      </c>
      <c r="D943">
        <v>57142</v>
      </c>
      <c r="E943" t="s">
        <v>13</v>
      </c>
      <c r="F943" t="s">
        <v>14</v>
      </c>
      <c r="G943" t="s">
        <v>23</v>
      </c>
      <c r="H943">
        <v>2726</v>
      </c>
      <c r="I943">
        <v>44.8</v>
      </c>
      <c r="J943" s="2">
        <v>11.88</v>
      </c>
      <c r="K943">
        <v>6</v>
      </c>
      <c r="L943" s="1">
        <v>52725.279999999999</v>
      </c>
      <c r="M943">
        <f t="shared" si="98"/>
        <v>16</v>
      </c>
      <c r="N943">
        <f t="shared" si="99"/>
        <v>3295.33</v>
      </c>
      <c r="O943">
        <f t="shared" si="100"/>
        <v>3571.375</v>
      </c>
      <c r="P943">
        <f t="shared" si="101"/>
        <v>16.434336023477623</v>
      </c>
      <c r="Q943" t="str">
        <f t="shared" si="102"/>
        <v>Old (12+ years)</v>
      </c>
      <c r="R943" t="str">
        <f t="shared" si="103"/>
        <v>Low</v>
      </c>
      <c r="S943" t="str">
        <f t="shared" si="104"/>
        <v>Low</v>
      </c>
    </row>
    <row r="944" spans="1:19" x14ac:dyDescent="0.3">
      <c r="A944">
        <v>943</v>
      </c>
      <c r="B944" t="s">
        <v>19</v>
      </c>
      <c r="C944">
        <v>2011</v>
      </c>
      <c r="D944">
        <v>61307</v>
      </c>
      <c r="E944" t="s">
        <v>26</v>
      </c>
      <c r="F944" t="s">
        <v>18</v>
      </c>
      <c r="G944" t="s">
        <v>20</v>
      </c>
      <c r="H944">
        <v>1416</v>
      </c>
      <c r="I944">
        <v>51.2</v>
      </c>
      <c r="J944" s="2">
        <v>27.74</v>
      </c>
      <c r="K944">
        <v>7</v>
      </c>
      <c r="L944" s="1">
        <v>35227.26</v>
      </c>
      <c r="M944">
        <f t="shared" si="98"/>
        <v>13</v>
      </c>
      <c r="N944">
        <f t="shared" si="99"/>
        <v>2709.7892307692309</v>
      </c>
      <c r="O944">
        <f t="shared" si="100"/>
        <v>4715.9230769230771</v>
      </c>
      <c r="P944">
        <f t="shared" si="101"/>
        <v>36.158192090395481</v>
      </c>
      <c r="Q944" t="str">
        <f t="shared" si="102"/>
        <v>Old (12+ years)</v>
      </c>
      <c r="R944" t="str">
        <f t="shared" si="103"/>
        <v>Excellent</v>
      </c>
      <c r="S944" t="str">
        <f t="shared" si="104"/>
        <v>Low</v>
      </c>
    </row>
    <row r="945" spans="1:19" x14ac:dyDescent="0.3">
      <c r="A945">
        <v>944</v>
      </c>
      <c r="B945" t="s">
        <v>19</v>
      </c>
      <c r="C945">
        <v>2005</v>
      </c>
      <c r="D945">
        <v>140565</v>
      </c>
      <c r="E945" t="s">
        <v>17</v>
      </c>
      <c r="F945" t="s">
        <v>18</v>
      </c>
      <c r="G945" t="s">
        <v>23</v>
      </c>
      <c r="H945">
        <v>4444</v>
      </c>
      <c r="I945">
        <v>368.5</v>
      </c>
      <c r="J945" s="2">
        <v>20.85</v>
      </c>
      <c r="K945">
        <v>7</v>
      </c>
      <c r="L945" s="1">
        <v>34009.089999999997</v>
      </c>
      <c r="M945">
        <f t="shared" si="98"/>
        <v>19</v>
      </c>
      <c r="N945">
        <f t="shared" si="99"/>
        <v>1789.9521052631578</v>
      </c>
      <c r="O945">
        <f t="shared" si="100"/>
        <v>7398.1578947368425</v>
      </c>
      <c r="P945">
        <f t="shared" si="101"/>
        <v>82.920792079207928</v>
      </c>
      <c r="Q945" t="str">
        <f t="shared" si="102"/>
        <v>Old (12+ years)</v>
      </c>
      <c r="R945" t="str">
        <f t="shared" si="103"/>
        <v>Good</v>
      </c>
      <c r="S945" t="str">
        <f t="shared" si="104"/>
        <v>Very High</v>
      </c>
    </row>
    <row r="946" spans="1:19" x14ac:dyDescent="0.3">
      <c r="A946">
        <v>945</v>
      </c>
      <c r="B946" t="s">
        <v>25</v>
      </c>
      <c r="C946">
        <v>2016</v>
      </c>
      <c r="D946">
        <v>55085</v>
      </c>
      <c r="E946" t="s">
        <v>17</v>
      </c>
      <c r="F946" t="s">
        <v>14</v>
      </c>
      <c r="G946" t="s">
        <v>15</v>
      </c>
      <c r="H946">
        <v>2003</v>
      </c>
      <c r="I946">
        <v>295</v>
      </c>
      <c r="J946" s="2">
        <v>6.8</v>
      </c>
      <c r="K946">
        <v>7</v>
      </c>
      <c r="L946" s="1">
        <v>65734.5</v>
      </c>
      <c r="M946">
        <f t="shared" si="98"/>
        <v>8</v>
      </c>
      <c r="N946">
        <f t="shared" si="99"/>
        <v>8216.8125</v>
      </c>
      <c r="O946">
        <f t="shared" si="100"/>
        <v>6885.625</v>
      </c>
      <c r="P946">
        <f t="shared" si="101"/>
        <v>147.2790813779331</v>
      </c>
      <c r="Q946" t="str">
        <f t="shared" si="102"/>
        <v>Mature (8-12 years)</v>
      </c>
      <c r="R946" t="str">
        <f t="shared" si="103"/>
        <v>Low</v>
      </c>
      <c r="S946" t="str">
        <f t="shared" si="104"/>
        <v>Very High</v>
      </c>
    </row>
    <row r="947" spans="1:19" x14ac:dyDescent="0.3">
      <c r="A947">
        <v>946</v>
      </c>
      <c r="B947" t="s">
        <v>12</v>
      </c>
      <c r="C947">
        <v>2017</v>
      </c>
      <c r="D947">
        <v>39228</v>
      </c>
      <c r="E947" t="s">
        <v>26</v>
      </c>
      <c r="F947" t="s">
        <v>18</v>
      </c>
      <c r="G947" t="s">
        <v>20</v>
      </c>
      <c r="H947">
        <v>2559</v>
      </c>
      <c r="I947">
        <v>330.1</v>
      </c>
      <c r="J947" s="2">
        <v>27.73</v>
      </c>
      <c r="K947">
        <v>2</v>
      </c>
      <c r="L947" s="1">
        <v>55550.34</v>
      </c>
      <c r="M947">
        <f t="shared" si="98"/>
        <v>7</v>
      </c>
      <c r="N947">
        <f t="shared" si="99"/>
        <v>7935.7628571428568</v>
      </c>
      <c r="O947">
        <f t="shared" si="100"/>
        <v>5604</v>
      </c>
      <c r="P947">
        <f t="shared" si="101"/>
        <v>128.9957014458773</v>
      </c>
      <c r="Q947" t="str">
        <f t="shared" si="102"/>
        <v>Recent (4-7 years)</v>
      </c>
      <c r="R947" t="str">
        <f t="shared" si="103"/>
        <v>Excellent</v>
      </c>
      <c r="S947" t="str">
        <f t="shared" si="104"/>
        <v>Very High</v>
      </c>
    </row>
    <row r="948" spans="1:19" x14ac:dyDescent="0.3">
      <c r="A948">
        <v>947</v>
      </c>
      <c r="B948" t="s">
        <v>25</v>
      </c>
      <c r="C948">
        <v>2014</v>
      </c>
      <c r="D948">
        <v>187947</v>
      </c>
      <c r="E948" t="s">
        <v>22</v>
      </c>
      <c r="F948" t="s">
        <v>18</v>
      </c>
      <c r="G948" t="s">
        <v>15</v>
      </c>
      <c r="H948">
        <v>3365</v>
      </c>
      <c r="I948">
        <v>44.2</v>
      </c>
      <c r="J948" s="2">
        <v>28.94</v>
      </c>
      <c r="K948">
        <v>5</v>
      </c>
      <c r="L948" s="1">
        <v>54494.13</v>
      </c>
      <c r="M948">
        <f t="shared" si="98"/>
        <v>10</v>
      </c>
      <c r="N948">
        <f t="shared" si="99"/>
        <v>5449.4129999999996</v>
      </c>
      <c r="O948">
        <f t="shared" si="100"/>
        <v>18794.7</v>
      </c>
      <c r="P948">
        <f t="shared" si="101"/>
        <v>13.13521545319465</v>
      </c>
      <c r="Q948" t="str">
        <f t="shared" si="102"/>
        <v>Mature (8-12 years)</v>
      </c>
      <c r="R948" t="str">
        <f t="shared" si="103"/>
        <v>Excellent</v>
      </c>
      <c r="S948" t="str">
        <f t="shared" si="104"/>
        <v>Low</v>
      </c>
    </row>
    <row r="949" spans="1:19" x14ac:dyDescent="0.3">
      <c r="A949">
        <v>948</v>
      </c>
      <c r="B949" t="s">
        <v>27</v>
      </c>
      <c r="C949">
        <v>2019</v>
      </c>
      <c r="D949">
        <v>167727</v>
      </c>
      <c r="E949" t="s">
        <v>22</v>
      </c>
      <c r="F949" t="s">
        <v>18</v>
      </c>
      <c r="G949" t="s">
        <v>23</v>
      </c>
      <c r="H949">
        <v>3974</v>
      </c>
      <c r="I949">
        <v>276.7</v>
      </c>
      <c r="J949" s="2">
        <v>6.94</v>
      </c>
      <c r="K949">
        <v>7</v>
      </c>
      <c r="L949" s="1">
        <v>13663.07</v>
      </c>
      <c r="M949">
        <f t="shared" si="98"/>
        <v>5</v>
      </c>
      <c r="N949">
        <f t="shared" si="99"/>
        <v>2732.614</v>
      </c>
      <c r="O949">
        <f t="shared" si="100"/>
        <v>33545.4</v>
      </c>
      <c r="P949">
        <f t="shared" si="101"/>
        <v>69.627579265223943</v>
      </c>
      <c r="Q949" t="str">
        <f t="shared" si="102"/>
        <v>Recent (4-7 years)</v>
      </c>
      <c r="R949" t="str">
        <f t="shared" si="103"/>
        <v>Low</v>
      </c>
      <c r="S949" t="str">
        <f t="shared" si="104"/>
        <v>Very High</v>
      </c>
    </row>
    <row r="950" spans="1:19" x14ac:dyDescent="0.3">
      <c r="A950">
        <v>949</v>
      </c>
      <c r="B950" t="s">
        <v>27</v>
      </c>
      <c r="C950">
        <v>2017</v>
      </c>
      <c r="D950">
        <v>48472</v>
      </c>
      <c r="E950" t="s">
        <v>22</v>
      </c>
      <c r="F950" t="s">
        <v>14</v>
      </c>
      <c r="G950" t="s">
        <v>23</v>
      </c>
      <c r="H950">
        <v>3881</v>
      </c>
      <c r="I950">
        <v>442.1</v>
      </c>
      <c r="J950" s="2">
        <v>18.309999999999999</v>
      </c>
      <c r="K950">
        <v>7</v>
      </c>
      <c r="L950" s="1">
        <v>87076.64</v>
      </c>
      <c r="M950">
        <f t="shared" si="98"/>
        <v>7</v>
      </c>
      <c r="N950">
        <f t="shared" si="99"/>
        <v>12439.52</v>
      </c>
      <c r="O950">
        <f t="shared" si="100"/>
        <v>6924.5714285714284</v>
      </c>
      <c r="P950">
        <f t="shared" si="101"/>
        <v>113.91393970626129</v>
      </c>
      <c r="Q950" t="str">
        <f t="shared" si="102"/>
        <v>Recent (4-7 years)</v>
      </c>
      <c r="R950" t="str">
        <f t="shared" si="103"/>
        <v>Average</v>
      </c>
      <c r="S950" t="str">
        <f t="shared" si="104"/>
        <v>Very High</v>
      </c>
    </row>
    <row r="951" spans="1:19" x14ac:dyDescent="0.3">
      <c r="A951">
        <v>950</v>
      </c>
      <c r="B951" t="s">
        <v>25</v>
      </c>
      <c r="C951">
        <v>2013</v>
      </c>
      <c r="D951">
        <v>54437</v>
      </c>
      <c r="E951" t="s">
        <v>13</v>
      </c>
      <c r="F951" t="s">
        <v>18</v>
      </c>
      <c r="G951" t="s">
        <v>23</v>
      </c>
      <c r="H951">
        <v>3430</v>
      </c>
      <c r="I951">
        <v>287.89999999999998</v>
      </c>
      <c r="J951" s="2">
        <v>12.58</v>
      </c>
      <c r="K951">
        <v>2</v>
      </c>
      <c r="L951" s="1">
        <v>28007.19</v>
      </c>
      <c r="M951">
        <f t="shared" si="98"/>
        <v>11</v>
      </c>
      <c r="N951">
        <f t="shared" si="99"/>
        <v>2546.1081818181815</v>
      </c>
      <c r="O951">
        <f t="shared" si="100"/>
        <v>4948.818181818182</v>
      </c>
      <c r="P951">
        <f t="shared" si="101"/>
        <v>83.935860058309032</v>
      </c>
      <c r="Q951" t="str">
        <f t="shared" si="102"/>
        <v>Mature (8-12 years)</v>
      </c>
      <c r="R951" t="str">
        <f t="shared" si="103"/>
        <v>Low</v>
      </c>
      <c r="S951" t="str">
        <f t="shared" si="104"/>
        <v>Very High</v>
      </c>
    </row>
    <row r="952" spans="1:19" x14ac:dyDescent="0.3">
      <c r="A952">
        <v>951</v>
      </c>
      <c r="B952" t="s">
        <v>12</v>
      </c>
      <c r="C952">
        <v>2013</v>
      </c>
      <c r="D952">
        <v>185488</v>
      </c>
      <c r="E952" t="s">
        <v>13</v>
      </c>
      <c r="F952" t="s">
        <v>14</v>
      </c>
      <c r="G952" t="s">
        <v>15</v>
      </c>
      <c r="H952">
        <v>3961</v>
      </c>
      <c r="I952">
        <v>450</v>
      </c>
      <c r="J952" s="2">
        <v>14.82</v>
      </c>
      <c r="K952">
        <v>2</v>
      </c>
      <c r="L952" s="1">
        <v>26043.57</v>
      </c>
      <c r="M952">
        <f t="shared" si="98"/>
        <v>11</v>
      </c>
      <c r="N952">
        <f t="shared" si="99"/>
        <v>2367.5972727272729</v>
      </c>
      <c r="O952">
        <f t="shared" si="100"/>
        <v>16862.545454545456</v>
      </c>
      <c r="P952">
        <f t="shared" si="101"/>
        <v>113.60767482958849</v>
      </c>
      <c r="Q952" t="str">
        <f t="shared" si="102"/>
        <v>Mature (8-12 years)</v>
      </c>
      <c r="R952" t="str">
        <f t="shared" si="103"/>
        <v>Low</v>
      </c>
      <c r="S952" t="str">
        <f t="shared" si="104"/>
        <v>Very High</v>
      </c>
    </row>
    <row r="953" spans="1:19" x14ac:dyDescent="0.3">
      <c r="A953">
        <v>952</v>
      </c>
      <c r="B953" t="s">
        <v>25</v>
      </c>
      <c r="C953">
        <v>2019</v>
      </c>
      <c r="D953">
        <v>64711</v>
      </c>
      <c r="E953" t="s">
        <v>17</v>
      </c>
      <c r="F953" t="s">
        <v>18</v>
      </c>
      <c r="G953" t="s">
        <v>23</v>
      </c>
      <c r="H953">
        <v>1469</v>
      </c>
      <c r="I953">
        <v>170.5</v>
      </c>
      <c r="J953" s="2">
        <v>9.49</v>
      </c>
      <c r="K953">
        <v>2</v>
      </c>
      <c r="L953" s="1">
        <v>51292.72</v>
      </c>
      <c r="M953">
        <f t="shared" si="98"/>
        <v>5</v>
      </c>
      <c r="N953">
        <f t="shared" si="99"/>
        <v>10258.544</v>
      </c>
      <c r="O953">
        <f t="shared" si="100"/>
        <v>12942.2</v>
      </c>
      <c r="P953">
        <f t="shared" si="101"/>
        <v>116.0653505786249</v>
      </c>
      <c r="Q953" t="str">
        <f t="shared" si="102"/>
        <v>Recent (4-7 years)</v>
      </c>
      <c r="R953" t="str">
        <f t="shared" si="103"/>
        <v>Low</v>
      </c>
      <c r="S953" t="str">
        <f t="shared" si="104"/>
        <v>High</v>
      </c>
    </row>
    <row r="954" spans="1:19" x14ac:dyDescent="0.3">
      <c r="A954">
        <v>953</v>
      </c>
      <c r="B954" t="s">
        <v>19</v>
      </c>
      <c r="C954">
        <v>2014</v>
      </c>
      <c r="D954">
        <v>142888</v>
      </c>
      <c r="E954" t="s">
        <v>22</v>
      </c>
      <c r="F954" t="s">
        <v>18</v>
      </c>
      <c r="G954" t="s">
        <v>15</v>
      </c>
      <c r="H954">
        <v>3968</v>
      </c>
      <c r="I954">
        <v>495.4</v>
      </c>
      <c r="J954" s="2">
        <v>19.45</v>
      </c>
      <c r="K954">
        <v>5</v>
      </c>
      <c r="L954" s="1">
        <v>29650.07</v>
      </c>
      <c r="M954">
        <f t="shared" si="98"/>
        <v>10</v>
      </c>
      <c r="N954">
        <f t="shared" si="99"/>
        <v>2965.0070000000001</v>
      </c>
      <c r="O954">
        <f t="shared" si="100"/>
        <v>14288.8</v>
      </c>
      <c r="P954">
        <f t="shared" si="101"/>
        <v>124.84879032258064</v>
      </c>
      <c r="Q954" t="str">
        <f t="shared" si="102"/>
        <v>Mature (8-12 years)</v>
      </c>
      <c r="R954" t="str">
        <f t="shared" si="103"/>
        <v>Average</v>
      </c>
      <c r="S954" t="str">
        <f t="shared" si="104"/>
        <v>Very High</v>
      </c>
    </row>
    <row r="955" spans="1:19" x14ac:dyDescent="0.3">
      <c r="A955">
        <v>954</v>
      </c>
      <c r="B955" t="s">
        <v>24</v>
      </c>
      <c r="C955">
        <v>2014</v>
      </c>
      <c r="D955">
        <v>82175</v>
      </c>
      <c r="E955" t="s">
        <v>26</v>
      </c>
      <c r="F955" t="s">
        <v>14</v>
      </c>
      <c r="G955" t="s">
        <v>20</v>
      </c>
      <c r="H955">
        <v>2921</v>
      </c>
      <c r="I955">
        <v>369.5</v>
      </c>
      <c r="J955" s="2">
        <v>28.95</v>
      </c>
      <c r="K955">
        <v>7</v>
      </c>
      <c r="L955" s="1">
        <v>71311.42</v>
      </c>
      <c r="M955">
        <f t="shared" si="98"/>
        <v>10</v>
      </c>
      <c r="N955">
        <f t="shared" si="99"/>
        <v>7131.1419999999998</v>
      </c>
      <c r="O955">
        <f t="shared" si="100"/>
        <v>8217.5</v>
      </c>
      <c r="P955">
        <f t="shared" si="101"/>
        <v>126.49777473467991</v>
      </c>
      <c r="Q955" t="str">
        <f t="shared" si="102"/>
        <v>Mature (8-12 years)</v>
      </c>
      <c r="R955" t="str">
        <f t="shared" si="103"/>
        <v>Excellent</v>
      </c>
      <c r="S955" t="str">
        <f t="shared" si="104"/>
        <v>Very High</v>
      </c>
    </row>
    <row r="956" spans="1:19" x14ac:dyDescent="0.3">
      <c r="A956">
        <v>955</v>
      </c>
      <c r="B956" t="s">
        <v>16</v>
      </c>
      <c r="C956">
        <v>2012</v>
      </c>
      <c r="D956">
        <v>69307</v>
      </c>
      <c r="E956" t="s">
        <v>17</v>
      </c>
      <c r="F956" t="s">
        <v>18</v>
      </c>
      <c r="G956" t="s">
        <v>23</v>
      </c>
      <c r="H956">
        <v>4878</v>
      </c>
      <c r="I956">
        <v>158</v>
      </c>
      <c r="J956" s="2">
        <v>17.579999999999998</v>
      </c>
      <c r="K956">
        <v>4</v>
      </c>
      <c r="L956" s="1">
        <v>46461.21</v>
      </c>
      <c r="M956">
        <f t="shared" si="98"/>
        <v>12</v>
      </c>
      <c r="N956">
        <f t="shared" si="99"/>
        <v>3871.7674999999999</v>
      </c>
      <c r="O956">
        <f t="shared" si="100"/>
        <v>5775.583333333333</v>
      </c>
      <c r="P956">
        <f t="shared" si="101"/>
        <v>32.390323903239029</v>
      </c>
      <c r="Q956" t="str">
        <f t="shared" si="102"/>
        <v>Mature (8-12 years)</v>
      </c>
      <c r="R956" t="str">
        <f t="shared" si="103"/>
        <v>Average</v>
      </c>
      <c r="S956" t="str">
        <f t="shared" si="104"/>
        <v>High</v>
      </c>
    </row>
    <row r="957" spans="1:19" x14ac:dyDescent="0.3">
      <c r="A957">
        <v>956</v>
      </c>
      <c r="B957" t="s">
        <v>29</v>
      </c>
      <c r="C957">
        <v>2020</v>
      </c>
      <c r="D957">
        <v>51733</v>
      </c>
      <c r="E957" t="s">
        <v>26</v>
      </c>
      <c r="F957" t="s">
        <v>18</v>
      </c>
      <c r="G957" t="s">
        <v>23</v>
      </c>
      <c r="H957">
        <v>4951</v>
      </c>
      <c r="I957">
        <v>172.6</v>
      </c>
      <c r="J957" s="2">
        <v>7.07</v>
      </c>
      <c r="K957">
        <v>4</v>
      </c>
      <c r="L957" s="1">
        <v>55522.67</v>
      </c>
      <c r="M957">
        <f t="shared" si="98"/>
        <v>4</v>
      </c>
      <c r="N957">
        <f t="shared" si="99"/>
        <v>13880.6675</v>
      </c>
      <c r="O957">
        <f t="shared" si="100"/>
        <v>12933.25</v>
      </c>
      <c r="P957">
        <f t="shared" si="101"/>
        <v>34.861644112300546</v>
      </c>
      <c r="Q957" t="str">
        <f t="shared" si="102"/>
        <v>Recent (4-7 years)</v>
      </c>
      <c r="R957" t="str">
        <f t="shared" si="103"/>
        <v>Low</v>
      </c>
      <c r="S957" t="str">
        <f t="shared" si="104"/>
        <v>High</v>
      </c>
    </row>
    <row r="958" spans="1:19" x14ac:dyDescent="0.3">
      <c r="A958">
        <v>957</v>
      </c>
      <c r="B958" t="s">
        <v>16</v>
      </c>
      <c r="C958">
        <v>2021</v>
      </c>
      <c r="D958">
        <v>133202</v>
      </c>
      <c r="E958" t="s">
        <v>17</v>
      </c>
      <c r="F958" t="s">
        <v>14</v>
      </c>
      <c r="G958" t="s">
        <v>23</v>
      </c>
      <c r="H958">
        <v>1519</v>
      </c>
      <c r="I958">
        <v>391.7</v>
      </c>
      <c r="J958" s="2">
        <v>20.5</v>
      </c>
      <c r="K958">
        <v>7</v>
      </c>
      <c r="L958" s="1">
        <v>65848.81</v>
      </c>
      <c r="M958">
        <f t="shared" si="98"/>
        <v>3</v>
      </c>
      <c r="N958">
        <f t="shared" si="99"/>
        <v>21949.603333333333</v>
      </c>
      <c r="O958">
        <f t="shared" si="100"/>
        <v>44400.666666666664</v>
      </c>
      <c r="P958">
        <f t="shared" si="101"/>
        <v>257.86701777485189</v>
      </c>
      <c r="Q958" t="str">
        <f t="shared" si="102"/>
        <v>New (0-3 years)</v>
      </c>
      <c r="R958" t="str">
        <f t="shared" si="103"/>
        <v>Good</v>
      </c>
      <c r="S958" t="str">
        <f t="shared" si="104"/>
        <v>Very High</v>
      </c>
    </row>
    <row r="959" spans="1:19" x14ac:dyDescent="0.3">
      <c r="A959">
        <v>958</v>
      </c>
      <c r="B959" t="s">
        <v>12</v>
      </c>
      <c r="C959">
        <v>2009</v>
      </c>
      <c r="D959">
        <v>100028</v>
      </c>
      <c r="E959" t="s">
        <v>13</v>
      </c>
      <c r="F959" t="s">
        <v>18</v>
      </c>
      <c r="G959" t="s">
        <v>20</v>
      </c>
      <c r="H959">
        <v>3400</v>
      </c>
      <c r="I959">
        <v>504.8</v>
      </c>
      <c r="J959" s="2">
        <v>13.51</v>
      </c>
      <c r="K959">
        <v>7</v>
      </c>
      <c r="L959" s="1">
        <v>26813.66</v>
      </c>
      <c r="M959">
        <f t="shared" si="98"/>
        <v>15</v>
      </c>
      <c r="N959">
        <f t="shared" si="99"/>
        <v>1787.5773333333334</v>
      </c>
      <c r="O959">
        <f t="shared" si="100"/>
        <v>6668.5333333333338</v>
      </c>
      <c r="P959">
        <f t="shared" si="101"/>
        <v>148.47058823529412</v>
      </c>
      <c r="Q959" t="str">
        <f t="shared" si="102"/>
        <v>Old (12+ years)</v>
      </c>
      <c r="R959" t="str">
        <f t="shared" si="103"/>
        <v>Low</v>
      </c>
      <c r="S959" t="str">
        <f t="shared" si="104"/>
        <v>Very High</v>
      </c>
    </row>
    <row r="960" spans="1:19" x14ac:dyDescent="0.3">
      <c r="A960">
        <v>959</v>
      </c>
      <c r="B960" t="s">
        <v>16</v>
      </c>
      <c r="C960">
        <v>2008</v>
      </c>
      <c r="D960">
        <v>147312</v>
      </c>
      <c r="E960" t="s">
        <v>17</v>
      </c>
      <c r="F960" t="s">
        <v>14</v>
      </c>
      <c r="G960" t="s">
        <v>23</v>
      </c>
      <c r="H960">
        <v>4398</v>
      </c>
      <c r="I960">
        <v>272.8</v>
      </c>
      <c r="J960" s="2">
        <v>26.4</v>
      </c>
      <c r="K960">
        <v>7</v>
      </c>
      <c r="L960" s="1">
        <v>21222.94</v>
      </c>
      <c r="M960">
        <f t="shared" si="98"/>
        <v>16</v>
      </c>
      <c r="N960">
        <f t="shared" si="99"/>
        <v>1326.4337499999999</v>
      </c>
      <c r="O960">
        <f t="shared" si="100"/>
        <v>9207</v>
      </c>
      <c r="P960">
        <f t="shared" si="101"/>
        <v>62.028194633924521</v>
      </c>
      <c r="Q960" t="str">
        <f t="shared" si="102"/>
        <v>Old (12+ years)</v>
      </c>
      <c r="R960" t="str">
        <f t="shared" si="103"/>
        <v>Excellent</v>
      </c>
      <c r="S960" t="str">
        <f t="shared" si="104"/>
        <v>Very High</v>
      </c>
    </row>
    <row r="961" spans="1:19" x14ac:dyDescent="0.3">
      <c r="A961">
        <v>960</v>
      </c>
      <c r="B961" t="s">
        <v>27</v>
      </c>
      <c r="C961">
        <v>2022</v>
      </c>
      <c r="D961">
        <v>97493</v>
      </c>
      <c r="E961" t="s">
        <v>13</v>
      </c>
      <c r="F961" t="s">
        <v>14</v>
      </c>
      <c r="G961" t="s">
        <v>15</v>
      </c>
      <c r="H961">
        <v>1466</v>
      </c>
      <c r="I961">
        <v>184.6</v>
      </c>
      <c r="J961" s="2">
        <v>15.87</v>
      </c>
      <c r="K961">
        <v>7</v>
      </c>
      <c r="L961" s="1">
        <v>106009.36</v>
      </c>
      <c r="M961">
        <f t="shared" si="98"/>
        <v>2</v>
      </c>
      <c r="N961">
        <f t="shared" si="99"/>
        <v>53004.68</v>
      </c>
      <c r="O961">
        <f t="shared" si="100"/>
        <v>48746.5</v>
      </c>
      <c r="P961">
        <f t="shared" si="101"/>
        <v>125.92087312414733</v>
      </c>
      <c r="Q961" t="str">
        <f t="shared" si="102"/>
        <v>New (0-3 years)</v>
      </c>
      <c r="R961" t="str">
        <f t="shared" si="103"/>
        <v>Average</v>
      </c>
      <c r="S961" t="str">
        <f t="shared" si="104"/>
        <v>High</v>
      </c>
    </row>
    <row r="962" spans="1:19" x14ac:dyDescent="0.3">
      <c r="A962">
        <v>961</v>
      </c>
      <c r="B962" t="s">
        <v>30</v>
      </c>
      <c r="C962">
        <v>2023</v>
      </c>
      <c r="D962">
        <v>130149</v>
      </c>
      <c r="E962" t="s">
        <v>17</v>
      </c>
      <c r="F962" t="s">
        <v>14</v>
      </c>
      <c r="G962" t="s">
        <v>15</v>
      </c>
      <c r="H962">
        <v>1083</v>
      </c>
      <c r="I962">
        <v>525.5</v>
      </c>
      <c r="J962" s="2">
        <v>9.82</v>
      </c>
      <c r="K962">
        <v>5</v>
      </c>
      <c r="L962" s="1">
        <v>53745.67</v>
      </c>
      <c r="M962">
        <f t="shared" si="98"/>
        <v>1</v>
      </c>
      <c r="N962">
        <f t="shared" si="99"/>
        <v>53745.67</v>
      </c>
      <c r="O962">
        <f t="shared" si="100"/>
        <v>130149</v>
      </c>
      <c r="P962">
        <f t="shared" si="101"/>
        <v>485.22622345337027</v>
      </c>
      <c r="Q962" t="str">
        <f t="shared" si="102"/>
        <v>New (0-3 years)</v>
      </c>
      <c r="R962" t="str">
        <f t="shared" si="103"/>
        <v>Low</v>
      </c>
      <c r="S962" t="str">
        <f t="shared" si="104"/>
        <v>Very High</v>
      </c>
    </row>
    <row r="963" spans="1:19" x14ac:dyDescent="0.3">
      <c r="A963">
        <v>962</v>
      </c>
      <c r="B963" t="s">
        <v>29</v>
      </c>
      <c r="C963">
        <v>2008</v>
      </c>
      <c r="D963">
        <v>168834</v>
      </c>
      <c r="E963" t="s">
        <v>22</v>
      </c>
      <c r="F963" t="s">
        <v>18</v>
      </c>
      <c r="G963" t="s">
        <v>23</v>
      </c>
      <c r="H963">
        <v>4703</v>
      </c>
      <c r="I963">
        <v>414.8</v>
      </c>
      <c r="J963" s="2">
        <v>9.7799999999999994</v>
      </c>
      <c r="K963">
        <v>4</v>
      </c>
      <c r="L963" s="1">
        <v>51214.95</v>
      </c>
      <c r="M963">
        <f t="shared" ref="M963:M1001" si="105">2024-C963</f>
        <v>16</v>
      </c>
      <c r="N963">
        <f t="shared" ref="N963:N1001" si="106">IF(M963&gt;0, L963/M963, L963)</f>
        <v>3200.9343749999998</v>
      </c>
      <c r="O963">
        <f t="shared" ref="O963:O1001" si="107">IF(M963&gt;0, D963/M963, D963)</f>
        <v>10552.125</v>
      </c>
      <c r="P963">
        <f t="shared" ref="P963:P1001" si="108">IF(H963&gt;0, I963/(H963/1000), 0)</f>
        <v>88.199021900914303</v>
      </c>
      <c r="Q963" t="str">
        <f t="shared" ref="Q963:Q1001" si="109">IF(M963&lt;=3, "New (0-3 years)",
   IF(M963&lt;=7, "Recent (4-7 years)",
   IF(M963&lt;=12, "Mature (8-12 years)",
   "Old (12+ years)")))</f>
        <v>Old (12+ years)</v>
      </c>
      <c r="R963" t="str">
        <f t="shared" ref="R963:R1001" si="110">IF(J963&gt;=25, "Excellent",
   IF(J963&gt;=20, "Good",
   IF(J963&gt;=15, "Average",
   "Low")))</f>
        <v>Low</v>
      </c>
      <c r="S963" t="str">
        <f t="shared" ref="S963:S1001" si="111">IF(I963&gt;=200, "Very High",
   IF(I963&gt;=150, "High",
   IF(I963&gt;=100, "Medium",
   "Low")))</f>
        <v>Very High</v>
      </c>
    </row>
    <row r="964" spans="1:19" x14ac:dyDescent="0.3">
      <c r="A964">
        <v>963</v>
      </c>
      <c r="B964" t="s">
        <v>21</v>
      </c>
      <c r="C964">
        <v>2011</v>
      </c>
      <c r="D964">
        <v>13259</v>
      </c>
      <c r="E964" t="s">
        <v>26</v>
      </c>
      <c r="F964" t="s">
        <v>14</v>
      </c>
      <c r="G964" t="s">
        <v>23</v>
      </c>
      <c r="H964">
        <v>4365</v>
      </c>
      <c r="I964">
        <v>290.89999999999998</v>
      </c>
      <c r="J964" s="2">
        <v>24.22</v>
      </c>
      <c r="K964">
        <v>6</v>
      </c>
      <c r="L964" s="1">
        <v>7166.62</v>
      </c>
      <c r="M964">
        <f t="shared" si="105"/>
        <v>13</v>
      </c>
      <c r="N964">
        <f t="shared" si="106"/>
        <v>551.27846153846156</v>
      </c>
      <c r="O964">
        <f t="shared" si="107"/>
        <v>1019.9230769230769</v>
      </c>
      <c r="P964">
        <f t="shared" si="108"/>
        <v>66.643757159221067</v>
      </c>
      <c r="Q964" t="str">
        <f t="shared" si="109"/>
        <v>Old (12+ years)</v>
      </c>
      <c r="R964" t="str">
        <f t="shared" si="110"/>
        <v>Good</v>
      </c>
      <c r="S964" t="str">
        <f t="shared" si="111"/>
        <v>Very High</v>
      </c>
    </row>
    <row r="965" spans="1:19" x14ac:dyDescent="0.3">
      <c r="A965">
        <v>964</v>
      </c>
      <c r="B965" t="s">
        <v>12</v>
      </c>
      <c r="C965">
        <v>2014</v>
      </c>
      <c r="D965">
        <v>186211</v>
      </c>
      <c r="E965" t="s">
        <v>22</v>
      </c>
      <c r="F965" t="s">
        <v>14</v>
      </c>
      <c r="G965" t="s">
        <v>20</v>
      </c>
      <c r="H965">
        <v>3034</v>
      </c>
      <c r="I965">
        <v>313.2</v>
      </c>
      <c r="J965" s="2">
        <v>11.64</v>
      </c>
      <c r="K965">
        <v>4</v>
      </c>
      <c r="L965" s="1">
        <v>61263.23</v>
      </c>
      <c r="M965">
        <f t="shared" si="105"/>
        <v>10</v>
      </c>
      <c r="N965">
        <f t="shared" si="106"/>
        <v>6126.3230000000003</v>
      </c>
      <c r="O965">
        <f t="shared" si="107"/>
        <v>18621.099999999999</v>
      </c>
      <c r="P965">
        <f t="shared" si="108"/>
        <v>103.23005932762031</v>
      </c>
      <c r="Q965" t="str">
        <f t="shared" si="109"/>
        <v>Mature (8-12 years)</v>
      </c>
      <c r="R965" t="str">
        <f t="shared" si="110"/>
        <v>Low</v>
      </c>
      <c r="S965" t="str">
        <f t="shared" si="111"/>
        <v>Very High</v>
      </c>
    </row>
    <row r="966" spans="1:19" x14ac:dyDescent="0.3">
      <c r="A966">
        <v>965</v>
      </c>
      <c r="B966" t="s">
        <v>29</v>
      </c>
      <c r="C966">
        <v>2022</v>
      </c>
      <c r="D966">
        <v>133775</v>
      </c>
      <c r="E966" t="s">
        <v>17</v>
      </c>
      <c r="F966" t="s">
        <v>18</v>
      </c>
      <c r="G966" t="s">
        <v>20</v>
      </c>
      <c r="H966">
        <v>2265</v>
      </c>
      <c r="I966">
        <v>154.4</v>
      </c>
      <c r="J966" s="2">
        <v>24.18</v>
      </c>
      <c r="K966">
        <v>4</v>
      </c>
      <c r="L966" s="1">
        <v>67837.86</v>
      </c>
      <c r="M966">
        <f t="shared" si="105"/>
        <v>2</v>
      </c>
      <c r="N966">
        <f t="shared" si="106"/>
        <v>33918.93</v>
      </c>
      <c r="O966">
        <f t="shared" si="107"/>
        <v>66887.5</v>
      </c>
      <c r="P966">
        <f t="shared" si="108"/>
        <v>68.167770419426049</v>
      </c>
      <c r="Q966" t="str">
        <f t="shared" si="109"/>
        <v>New (0-3 years)</v>
      </c>
      <c r="R966" t="str">
        <f t="shared" si="110"/>
        <v>Good</v>
      </c>
      <c r="S966" t="str">
        <f t="shared" si="111"/>
        <v>High</v>
      </c>
    </row>
    <row r="967" spans="1:19" x14ac:dyDescent="0.3">
      <c r="A967">
        <v>966</v>
      </c>
      <c r="B967" t="s">
        <v>16</v>
      </c>
      <c r="C967">
        <v>2023</v>
      </c>
      <c r="D967">
        <v>19849</v>
      </c>
      <c r="E967" t="s">
        <v>17</v>
      </c>
      <c r="F967" t="s">
        <v>14</v>
      </c>
      <c r="G967" t="s">
        <v>20</v>
      </c>
      <c r="H967">
        <v>929</v>
      </c>
      <c r="I967">
        <v>391</v>
      </c>
      <c r="J967" s="2">
        <v>10.15</v>
      </c>
      <c r="K967">
        <v>2</v>
      </c>
      <c r="L967" s="1">
        <v>68384.38</v>
      </c>
      <c r="M967">
        <f t="shared" si="105"/>
        <v>1</v>
      </c>
      <c r="N967">
        <f t="shared" si="106"/>
        <v>68384.38</v>
      </c>
      <c r="O967">
        <f t="shared" si="107"/>
        <v>19849</v>
      </c>
      <c r="P967">
        <f t="shared" si="108"/>
        <v>420.88266953713668</v>
      </c>
      <c r="Q967" t="str">
        <f t="shared" si="109"/>
        <v>New (0-3 years)</v>
      </c>
      <c r="R967" t="str">
        <f t="shared" si="110"/>
        <v>Low</v>
      </c>
      <c r="S967" t="str">
        <f t="shared" si="111"/>
        <v>Very High</v>
      </c>
    </row>
    <row r="968" spans="1:19" x14ac:dyDescent="0.3">
      <c r="A968">
        <v>967</v>
      </c>
      <c r="B968" t="s">
        <v>27</v>
      </c>
      <c r="C968">
        <v>2008</v>
      </c>
      <c r="D968">
        <v>86768</v>
      </c>
      <c r="E968" t="s">
        <v>17</v>
      </c>
      <c r="F968" t="s">
        <v>18</v>
      </c>
      <c r="G968" t="s">
        <v>23</v>
      </c>
      <c r="H968">
        <v>2860</v>
      </c>
      <c r="I968">
        <v>240.9</v>
      </c>
      <c r="J968" s="2">
        <v>13.04</v>
      </c>
      <c r="K968">
        <v>7</v>
      </c>
      <c r="L968" s="1">
        <v>85722.65</v>
      </c>
      <c r="M968">
        <f t="shared" si="105"/>
        <v>16</v>
      </c>
      <c r="N968">
        <f t="shared" si="106"/>
        <v>5357.6656249999996</v>
      </c>
      <c r="O968">
        <f t="shared" si="107"/>
        <v>5423</v>
      </c>
      <c r="P968">
        <f t="shared" si="108"/>
        <v>84.230769230769241</v>
      </c>
      <c r="Q968" t="str">
        <f t="shared" si="109"/>
        <v>Old (12+ years)</v>
      </c>
      <c r="R968" t="str">
        <f t="shared" si="110"/>
        <v>Low</v>
      </c>
      <c r="S968" t="str">
        <f t="shared" si="111"/>
        <v>Very High</v>
      </c>
    </row>
    <row r="969" spans="1:19" x14ac:dyDescent="0.3">
      <c r="A969">
        <v>968</v>
      </c>
      <c r="B969" t="s">
        <v>28</v>
      </c>
      <c r="C969">
        <v>2014</v>
      </c>
      <c r="D969">
        <v>111108</v>
      </c>
      <c r="E969" t="s">
        <v>13</v>
      </c>
      <c r="F969" t="s">
        <v>18</v>
      </c>
      <c r="G969" t="s">
        <v>20</v>
      </c>
      <c r="H969">
        <v>4472</v>
      </c>
      <c r="I969">
        <v>597.6</v>
      </c>
      <c r="J969" s="2">
        <v>16.64</v>
      </c>
      <c r="K969">
        <v>7</v>
      </c>
      <c r="L969" s="1">
        <v>23765.37</v>
      </c>
      <c r="M969">
        <f t="shared" si="105"/>
        <v>10</v>
      </c>
      <c r="N969">
        <f t="shared" si="106"/>
        <v>2376.5369999999998</v>
      </c>
      <c r="O969">
        <f t="shared" si="107"/>
        <v>11110.8</v>
      </c>
      <c r="P969">
        <f t="shared" si="108"/>
        <v>133.63148479427548</v>
      </c>
      <c r="Q969" t="str">
        <f t="shared" si="109"/>
        <v>Mature (8-12 years)</v>
      </c>
      <c r="R969" t="str">
        <f t="shared" si="110"/>
        <v>Average</v>
      </c>
      <c r="S969" t="str">
        <f t="shared" si="111"/>
        <v>Very High</v>
      </c>
    </row>
    <row r="970" spans="1:19" x14ac:dyDescent="0.3">
      <c r="A970">
        <v>969</v>
      </c>
      <c r="B970" t="s">
        <v>24</v>
      </c>
      <c r="C970">
        <v>2005</v>
      </c>
      <c r="D970">
        <v>94709</v>
      </c>
      <c r="E970" t="s">
        <v>26</v>
      </c>
      <c r="F970" t="s">
        <v>18</v>
      </c>
      <c r="G970" t="s">
        <v>20</v>
      </c>
      <c r="H970">
        <v>3294</v>
      </c>
      <c r="I970">
        <v>308.89999999999998</v>
      </c>
      <c r="J970" s="2">
        <v>28.58</v>
      </c>
      <c r="K970">
        <v>7</v>
      </c>
      <c r="L970" s="1">
        <v>32510.11</v>
      </c>
      <c r="M970">
        <f t="shared" si="105"/>
        <v>19</v>
      </c>
      <c r="N970">
        <f t="shared" si="106"/>
        <v>1711.0584210526315</v>
      </c>
      <c r="O970">
        <f t="shared" si="107"/>
        <v>4984.6842105263158</v>
      </c>
      <c r="P970">
        <f t="shared" si="108"/>
        <v>93.776563448694588</v>
      </c>
      <c r="Q970" t="str">
        <f t="shared" si="109"/>
        <v>Old (12+ years)</v>
      </c>
      <c r="R970" t="str">
        <f t="shared" si="110"/>
        <v>Excellent</v>
      </c>
      <c r="S970" t="str">
        <f t="shared" si="111"/>
        <v>Very High</v>
      </c>
    </row>
    <row r="971" spans="1:19" x14ac:dyDescent="0.3">
      <c r="A971">
        <v>970</v>
      </c>
      <c r="B971" t="s">
        <v>21</v>
      </c>
      <c r="C971">
        <v>2022</v>
      </c>
      <c r="D971">
        <v>59869</v>
      </c>
      <c r="E971" t="s">
        <v>26</v>
      </c>
      <c r="F971" t="s">
        <v>18</v>
      </c>
      <c r="G971" t="s">
        <v>15</v>
      </c>
      <c r="H971">
        <v>1792</v>
      </c>
      <c r="I971">
        <v>312.10000000000002</v>
      </c>
      <c r="J971" s="2">
        <v>28.29</v>
      </c>
      <c r="K971">
        <v>2</v>
      </c>
      <c r="L971" s="1">
        <v>97855.46</v>
      </c>
      <c r="M971">
        <f t="shared" si="105"/>
        <v>2</v>
      </c>
      <c r="N971">
        <f t="shared" si="106"/>
        <v>48927.73</v>
      </c>
      <c r="O971">
        <f t="shared" si="107"/>
        <v>29934.5</v>
      </c>
      <c r="P971">
        <f t="shared" si="108"/>
        <v>174.16294642857144</v>
      </c>
      <c r="Q971" t="str">
        <f t="shared" si="109"/>
        <v>New (0-3 years)</v>
      </c>
      <c r="R971" t="str">
        <f t="shared" si="110"/>
        <v>Excellent</v>
      </c>
      <c r="S971" t="str">
        <f t="shared" si="111"/>
        <v>Very High</v>
      </c>
    </row>
    <row r="972" spans="1:19" x14ac:dyDescent="0.3">
      <c r="A972">
        <v>971</v>
      </c>
      <c r="B972" t="s">
        <v>24</v>
      </c>
      <c r="C972">
        <v>2009</v>
      </c>
      <c r="D972">
        <v>131888</v>
      </c>
      <c r="E972" t="s">
        <v>17</v>
      </c>
      <c r="F972" t="s">
        <v>14</v>
      </c>
      <c r="G972" t="s">
        <v>20</v>
      </c>
      <c r="H972">
        <v>2921</v>
      </c>
      <c r="I972">
        <v>356.9</v>
      </c>
      <c r="J972" s="2">
        <v>10.17</v>
      </c>
      <c r="K972">
        <v>5</v>
      </c>
      <c r="L972" s="1">
        <v>113818.96</v>
      </c>
      <c r="M972">
        <f t="shared" si="105"/>
        <v>15</v>
      </c>
      <c r="N972">
        <f t="shared" si="106"/>
        <v>7587.9306666666671</v>
      </c>
      <c r="O972">
        <f t="shared" si="107"/>
        <v>8792.5333333333328</v>
      </c>
      <c r="P972">
        <f t="shared" si="108"/>
        <v>122.18418349880179</v>
      </c>
      <c r="Q972" t="str">
        <f t="shared" si="109"/>
        <v>Old (12+ years)</v>
      </c>
      <c r="R972" t="str">
        <f t="shared" si="110"/>
        <v>Low</v>
      </c>
      <c r="S972" t="str">
        <f t="shared" si="111"/>
        <v>Very High</v>
      </c>
    </row>
    <row r="973" spans="1:19" x14ac:dyDescent="0.3">
      <c r="A973">
        <v>972</v>
      </c>
      <c r="B973" t="s">
        <v>29</v>
      </c>
      <c r="C973">
        <v>2019</v>
      </c>
      <c r="D973">
        <v>68095</v>
      </c>
      <c r="E973" t="s">
        <v>17</v>
      </c>
      <c r="F973" t="s">
        <v>14</v>
      </c>
      <c r="G973" t="s">
        <v>15</v>
      </c>
      <c r="H973">
        <v>3384</v>
      </c>
      <c r="I973">
        <v>553.4</v>
      </c>
      <c r="J973" s="2">
        <v>13.96</v>
      </c>
      <c r="K973">
        <v>5</v>
      </c>
      <c r="L973" s="1">
        <v>18904.13</v>
      </c>
      <c r="M973">
        <f t="shared" si="105"/>
        <v>5</v>
      </c>
      <c r="N973">
        <f t="shared" si="106"/>
        <v>3780.826</v>
      </c>
      <c r="O973">
        <f t="shared" si="107"/>
        <v>13619</v>
      </c>
      <c r="P973">
        <f t="shared" si="108"/>
        <v>163.53427895981088</v>
      </c>
      <c r="Q973" t="str">
        <f t="shared" si="109"/>
        <v>Recent (4-7 years)</v>
      </c>
      <c r="R973" t="str">
        <f t="shared" si="110"/>
        <v>Low</v>
      </c>
      <c r="S973" t="str">
        <f t="shared" si="111"/>
        <v>Very High</v>
      </c>
    </row>
    <row r="974" spans="1:19" x14ac:dyDescent="0.3">
      <c r="A974">
        <v>973</v>
      </c>
      <c r="B974" t="s">
        <v>27</v>
      </c>
      <c r="C974">
        <v>2021</v>
      </c>
      <c r="D974">
        <v>122886</v>
      </c>
      <c r="E974" t="s">
        <v>13</v>
      </c>
      <c r="F974" t="s">
        <v>14</v>
      </c>
      <c r="G974" t="s">
        <v>15</v>
      </c>
      <c r="H974">
        <v>4996</v>
      </c>
      <c r="I974">
        <v>488.5</v>
      </c>
      <c r="J974" s="2">
        <v>8.73</v>
      </c>
      <c r="K974">
        <v>6</v>
      </c>
      <c r="L974" s="1">
        <v>61225</v>
      </c>
      <c r="M974">
        <f t="shared" si="105"/>
        <v>3</v>
      </c>
      <c r="N974">
        <f t="shared" si="106"/>
        <v>20408.333333333332</v>
      </c>
      <c r="O974">
        <f t="shared" si="107"/>
        <v>40962</v>
      </c>
      <c r="P974">
        <f t="shared" si="108"/>
        <v>97.77822257806244</v>
      </c>
      <c r="Q974" t="str">
        <f t="shared" si="109"/>
        <v>New (0-3 years)</v>
      </c>
      <c r="R974" t="str">
        <f t="shared" si="110"/>
        <v>Low</v>
      </c>
      <c r="S974" t="str">
        <f t="shared" si="111"/>
        <v>Very High</v>
      </c>
    </row>
    <row r="975" spans="1:19" x14ac:dyDescent="0.3">
      <c r="A975">
        <v>974</v>
      </c>
      <c r="B975" t="s">
        <v>27</v>
      </c>
      <c r="C975">
        <v>2007</v>
      </c>
      <c r="D975">
        <v>75910</v>
      </c>
      <c r="E975" t="s">
        <v>22</v>
      </c>
      <c r="F975" t="s">
        <v>14</v>
      </c>
      <c r="G975" t="s">
        <v>20</v>
      </c>
      <c r="H975">
        <v>3023</v>
      </c>
      <c r="I975">
        <v>292.60000000000002</v>
      </c>
      <c r="J975" s="2">
        <v>17.75</v>
      </c>
      <c r="K975">
        <v>5</v>
      </c>
      <c r="L975" s="1">
        <v>28058.62</v>
      </c>
      <c r="M975">
        <f t="shared" si="105"/>
        <v>17</v>
      </c>
      <c r="N975">
        <f t="shared" si="106"/>
        <v>1650.5070588235294</v>
      </c>
      <c r="O975">
        <f t="shared" si="107"/>
        <v>4465.2941176470586</v>
      </c>
      <c r="P975">
        <f t="shared" si="108"/>
        <v>96.791266953357592</v>
      </c>
      <c r="Q975" t="str">
        <f t="shared" si="109"/>
        <v>Old (12+ years)</v>
      </c>
      <c r="R975" t="str">
        <f t="shared" si="110"/>
        <v>Average</v>
      </c>
      <c r="S975" t="str">
        <f t="shared" si="111"/>
        <v>Very High</v>
      </c>
    </row>
    <row r="976" spans="1:19" x14ac:dyDescent="0.3">
      <c r="A976">
        <v>975</v>
      </c>
      <c r="B976" t="s">
        <v>16</v>
      </c>
      <c r="C976">
        <v>2016</v>
      </c>
      <c r="D976">
        <v>28567</v>
      </c>
      <c r="E976" t="s">
        <v>22</v>
      </c>
      <c r="F976" t="s">
        <v>14</v>
      </c>
      <c r="G976" t="s">
        <v>15</v>
      </c>
      <c r="H976">
        <v>3988</v>
      </c>
      <c r="I976">
        <v>442.5</v>
      </c>
      <c r="J976" s="2">
        <v>16.510000000000002</v>
      </c>
      <c r="K976">
        <v>5</v>
      </c>
      <c r="L976" s="1">
        <v>10028.56</v>
      </c>
      <c r="M976">
        <f t="shared" si="105"/>
        <v>8</v>
      </c>
      <c r="N976">
        <f t="shared" si="106"/>
        <v>1253.57</v>
      </c>
      <c r="O976">
        <f t="shared" si="107"/>
        <v>3570.875</v>
      </c>
      <c r="P976">
        <f t="shared" si="108"/>
        <v>110.95787362086259</v>
      </c>
      <c r="Q976" t="str">
        <f t="shared" si="109"/>
        <v>Mature (8-12 years)</v>
      </c>
      <c r="R976" t="str">
        <f t="shared" si="110"/>
        <v>Average</v>
      </c>
      <c r="S976" t="str">
        <f t="shared" si="111"/>
        <v>Very High</v>
      </c>
    </row>
    <row r="977" spans="1:19" x14ac:dyDescent="0.3">
      <c r="A977">
        <v>976</v>
      </c>
      <c r="B977" t="s">
        <v>19</v>
      </c>
      <c r="C977">
        <v>2006</v>
      </c>
      <c r="D977">
        <v>40292</v>
      </c>
      <c r="E977" t="s">
        <v>26</v>
      </c>
      <c r="F977" t="s">
        <v>18</v>
      </c>
      <c r="G977" t="s">
        <v>23</v>
      </c>
      <c r="H977">
        <v>4037</v>
      </c>
      <c r="I977">
        <v>368.3</v>
      </c>
      <c r="J977" s="2">
        <v>27.52</v>
      </c>
      <c r="K977">
        <v>7</v>
      </c>
      <c r="L977" s="1">
        <v>41083.89</v>
      </c>
      <c r="M977">
        <f t="shared" si="105"/>
        <v>18</v>
      </c>
      <c r="N977">
        <f t="shared" si="106"/>
        <v>2282.4383333333335</v>
      </c>
      <c r="O977">
        <f t="shared" si="107"/>
        <v>2238.4444444444443</v>
      </c>
      <c r="P977">
        <f t="shared" si="108"/>
        <v>91.231112212038653</v>
      </c>
      <c r="Q977" t="str">
        <f t="shared" si="109"/>
        <v>Old (12+ years)</v>
      </c>
      <c r="R977" t="str">
        <f t="shared" si="110"/>
        <v>Excellent</v>
      </c>
      <c r="S977" t="str">
        <f t="shared" si="111"/>
        <v>Very High</v>
      </c>
    </row>
    <row r="978" spans="1:19" x14ac:dyDescent="0.3">
      <c r="A978">
        <v>977</v>
      </c>
      <c r="B978" t="s">
        <v>16</v>
      </c>
      <c r="C978">
        <v>2005</v>
      </c>
      <c r="D978">
        <v>79813</v>
      </c>
      <c r="E978" t="s">
        <v>13</v>
      </c>
      <c r="F978" t="s">
        <v>14</v>
      </c>
      <c r="G978" t="s">
        <v>23</v>
      </c>
      <c r="H978">
        <v>4936</v>
      </c>
      <c r="I978">
        <v>315.7</v>
      </c>
      <c r="J978" s="2">
        <v>28.25</v>
      </c>
      <c r="K978">
        <v>4</v>
      </c>
      <c r="L978" s="1">
        <v>19811.45</v>
      </c>
      <c r="M978">
        <f t="shared" si="105"/>
        <v>19</v>
      </c>
      <c r="N978">
        <f t="shared" si="106"/>
        <v>1042.707894736842</v>
      </c>
      <c r="O978">
        <f t="shared" si="107"/>
        <v>4200.6842105263158</v>
      </c>
      <c r="P978">
        <f t="shared" si="108"/>
        <v>63.958670988654781</v>
      </c>
      <c r="Q978" t="str">
        <f t="shared" si="109"/>
        <v>Old (12+ years)</v>
      </c>
      <c r="R978" t="str">
        <f t="shared" si="110"/>
        <v>Excellent</v>
      </c>
      <c r="S978" t="str">
        <f t="shared" si="111"/>
        <v>Very High</v>
      </c>
    </row>
    <row r="979" spans="1:19" x14ac:dyDescent="0.3">
      <c r="A979">
        <v>978</v>
      </c>
      <c r="B979" t="s">
        <v>19</v>
      </c>
      <c r="C979">
        <v>2021</v>
      </c>
      <c r="D979">
        <v>102136</v>
      </c>
      <c r="E979" t="s">
        <v>17</v>
      </c>
      <c r="F979" t="s">
        <v>14</v>
      </c>
      <c r="G979" t="s">
        <v>20</v>
      </c>
      <c r="H979">
        <v>1143</v>
      </c>
      <c r="I979">
        <v>147.69999999999999</v>
      </c>
      <c r="J979" s="2">
        <v>14.59</v>
      </c>
      <c r="K979">
        <v>5</v>
      </c>
      <c r="L979" s="1">
        <v>86062.17</v>
      </c>
      <c r="M979">
        <f t="shared" si="105"/>
        <v>3</v>
      </c>
      <c r="N979">
        <f t="shared" si="106"/>
        <v>28687.39</v>
      </c>
      <c r="O979">
        <f t="shared" si="107"/>
        <v>34045.333333333336</v>
      </c>
      <c r="P979">
        <f t="shared" si="108"/>
        <v>129.22134733158353</v>
      </c>
      <c r="Q979" t="str">
        <f t="shared" si="109"/>
        <v>New (0-3 years)</v>
      </c>
      <c r="R979" t="str">
        <f t="shared" si="110"/>
        <v>Low</v>
      </c>
      <c r="S979" t="str">
        <f t="shared" si="111"/>
        <v>Medium</v>
      </c>
    </row>
    <row r="980" spans="1:19" x14ac:dyDescent="0.3">
      <c r="A980">
        <v>979</v>
      </c>
      <c r="B980" t="s">
        <v>19</v>
      </c>
      <c r="C980">
        <v>2020</v>
      </c>
      <c r="D980">
        <v>56631</v>
      </c>
      <c r="E980" t="s">
        <v>26</v>
      </c>
      <c r="F980" t="s">
        <v>14</v>
      </c>
      <c r="G980" t="s">
        <v>23</v>
      </c>
      <c r="H980">
        <v>3076</v>
      </c>
      <c r="I980">
        <v>299.8</v>
      </c>
      <c r="J980" s="2">
        <v>17.29</v>
      </c>
      <c r="K980">
        <v>5</v>
      </c>
      <c r="L980" s="1">
        <v>65445.87</v>
      </c>
      <c r="M980">
        <f t="shared" si="105"/>
        <v>4</v>
      </c>
      <c r="N980">
        <f t="shared" si="106"/>
        <v>16361.467500000001</v>
      </c>
      <c r="O980">
        <f t="shared" si="107"/>
        <v>14157.75</v>
      </c>
      <c r="P980">
        <f t="shared" si="108"/>
        <v>97.464239271781537</v>
      </c>
      <c r="Q980" t="str">
        <f t="shared" si="109"/>
        <v>Recent (4-7 years)</v>
      </c>
      <c r="R980" t="str">
        <f t="shared" si="110"/>
        <v>Average</v>
      </c>
      <c r="S980" t="str">
        <f t="shared" si="111"/>
        <v>Very High</v>
      </c>
    </row>
    <row r="981" spans="1:19" x14ac:dyDescent="0.3">
      <c r="A981">
        <v>980</v>
      </c>
      <c r="B981" t="s">
        <v>21</v>
      </c>
      <c r="C981">
        <v>2009</v>
      </c>
      <c r="D981">
        <v>14885</v>
      </c>
      <c r="E981" t="s">
        <v>13</v>
      </c>
      <c r="F981" t="s">
        <v>18</v>
      </c>
      <c r="G981" t="s">
        <v>15</v>
      </c>
      <c r="H981">
        <v>4001</v>
      </c>
      <c r="I981">
        <v>177.7</v>
      </c>
      <c r="J981" s="2">
        <v>27.41</v>
      </c>
      <c r="K981">
        <v>2</v>
      </c>
      <c r="L981" s="1">
        <v>19828.63</v>
      </c>
      <c r="M981">
        <f t="shared" si="105"/>
        <v>15</v>
      </c>
      <c r="N981">
        <f t="shared" si="106"/>
        <v>1321.9086666666667</v>
      </c>
      <c r="O981">
        <f t="shared" si="107"/>
        <v>992.33333333333337</v>
      </c>
      <c r="P981">
        <f t="shared" si="108"/>
        <v>44.413896525868523</v>
      </c>
      <c r="Q981" t="str">
        <f t="shared" si="109"/>
        <v>Old (12+ years)</v>
      </c>
      <c r="R981" t="str">
        <f t="shared" si="110"/>
        <v>Excellent</v>
      </c>
      <c r="S981" t="str">
        <f t="shared" si="111"/>
        <v>High</v>
      </c>
    </row>
    <row r="982" spans="1:19" x14ac:dyDescent="0.3">
      <c r="A982">
        <v>981</v>
      </c>
      <c r="B982" t="s">
        <v>16</v>
      </c>
      <c r="C982">
        <v>2019</v>
      </c>
      <c r="D982">
        <v>195731</v>
      </c>
      <c r="E982" t="s">
        <v>22</v>
      </c>
      <c r="F982" t="s">
        <v>18</v>
      </c>
      <c r="G982" t="s">
        <v>23</v>
      </c>
      <c r="H982">
        <v>1688</v>
      </c>
      <c r="I982">
        <v>552.29999999999995</v>
      </c>
      <c r="J982" s="2">
        <v>25.17</v>
      </c>
      <c r="K982">
        <v>6</v>
      </c>
      <c r="L982" s="1">
        <v>4081.27</v>
      </c>
      <c r="M982">
        <f t="shared" si="105"/>
        <v>5</v>
      </c>
      <c r="N982">
        <f t="shared" si="106"/>
        <v>816.25400000000002</v>
      </c>
      <c r="O982">
        <f t="shared" si="107"/>
        <v>39146.199999999997</v>
      </c>
      <c r="P982">
        <f t="shared" si="108"/>
        <v>327.19194312796208</v>
      </c>
      <c r="Q982" t="str">
        <f t="shared" si="109"/>
        <v>Recent (4-7 years)</v>
      </c>
      <c r="R982" t="str">
        <f t="shared" si="110"/>
        <v>Excellent</v>
      </c>
      <c r="S982" t="str">
        <f t="shared" si="111"/>
        <v>Very High</v>
      </c>
    </row>
    <row r="983" spans="1:19" x14ac:dyDescent="0.3">
      <c r="A983">
        <v>982</v>
      </c>
      <c r="B983" t="s">
        <v>28</v>
      </c>
      <c r="C983">
        <v>2007</v>
      </c>
      <c r="D983">
        <v>190378</v>
      </c>
      <c r="E983" t="s">
        <v>13</v>
      </c>
      <c r="F983" t="s">
        <v>14</v>
      </c>
      <c r="G983" t="s">
        <v>20</v>
      </c>
      <c r="H983">
        <v>2843</v>
      </c>
      <c r="I983">
        <v>227.8</v>
      </c>
      <c r="J983" s="2">
        <v>5.09</v>
      </c>
      <c r="K983">
        <v>2</v>
      </c>
      <c r="L983" s="1">
        <v>97554.37</v>
      </c>
      <c r="M983">
        <f t="shared" si="105"/>
        <v>17</v>
      </c>
      <c r="N983">
        <f t="shared" si="106"/>
        <v>5738.4923529411763</v>
      </c>
      <c r="O983">
        <f t="shared" si="107"/>
        <v>11198.705882352941</v>
      </c>
      <c r="P983">
        <f t="shared" si="108"/>
        <v>80.126626802673243</v>
      </c>
      <c r="Q983" t="str">
        <f t="shared" si="109"/>
        <v>Old (12+ years)</v>
      </c>
      <c r="R983" t="str">
        <f t="shared" si="110"/>
        <v>Low</v>
      </c>
      <c r="S983" t="str">
        <f t="shared" si="111"/>
        <v>Very High</v>
      </c>
    </row>
    <row r="984" spans="1:19" x14ac:dyDescent="0.3">
      <c r="A984">
        <v>983</v>
      </c>
      <c r="B984" t="s">
        <v>25</v>
      </c>
      <c r="C984">
        <v>2011</v>
      </c>
      <c r="D984">
        <v>71314</v>
      </c>
      <c r="E984" t="s">
        <v>22</v>
      </c>
      <c r="F984" t="s">
        <v>18</v>
      </c>
      <c r="G984" t="s">
        <v>20</v>
      </c>
      <c r="H984">
        <v>2141</v>
      </c>
      <c r="I984">
        <v>573.29999999999995</v>
      </c>
      <c r="J984" s="2">
        <v>13</v>
      </c>
      <c r="K984">
        <v>7</v>
      </c>
      <c r="L984" s="1">
        <v>23614.75</v>
      </c>
      <c r="M984">
        <f t="shared" si="105"/>
        <v>13</v>
      </c>
      <c r="N984">
        <f t="shared" si="106"/>
        <v>1816.5192307692307</v>
      </c>
      <c r="O984">
        <f t="shared" si="107"/>
        <v>5485.6923076923076</v>
      </c>
      <c r="P984">
        <f t="shared" si="108"/>
        <v>267.77206912657635</v>
      </c>
      <c r="Q984" t="str">
        <f t="shared" si="109"/>
        <v>Old (12+ years)</v>
      </c>
      <c r="R984" t="str">
        <f t="shared" si="110"/>
        <v>Low</v>
      </c>
      <c r="S984" t="str">
        <f t="shared" si="111"/>
        <v>Very High</v>
      </c>
    </row>
    <row r="985" spans="1:19" x14ac:dyDescent="0.3">
      <c r="A985">
        <v>984</v>
      </c>
      <c r="B985" t="s">
        <v>25</v>
      </c>
      <c r="C985">
        <v>2015</v>
      </c>
      <c r="D985">
        <v>70087</v>
      </c>
      <c r="E985" t="s">
        <v>13</v>
      </c>
      <c r="F985" t="s">
        <v>14</v>
      </c>
      <c r="G985" t="s">
        <v>15</v>
      </c>
      <c r="H985">
        <v>4520</v>
      </c>
      <c r="I985">
        <v>338.5</v>
      </c>
      <c r="J985" s="2">
        <v>15.54</v>
      </c>
      <c r="K985">
        <v>4</v>
      </c>
      <c r="L985" s="1">
        <v>73927.350000000006</v>
      </c>
      <c r="M985">
        <f t="shared" si="105"/>
        <v>9</v>
      </c>
      <c r="N985">
        <f t="shared" si="106"/>
        <v>8214.1500000000015</v>
      </c>
      <c r="O985">
        <f t="shared" si="107"/>
        <v>7787.4444444444443</v>
      </c>
      <c r="P985">
        <f t="shared" si="108"/>
        <v>74.889380530973455</v>
      </c>
      <c r="Q985" t="str">
        <f t="shared" si="109"/>
        <v>Mature (8-12 years)</v>
      </c>
      <c r="R985" t="str">
        <f t="shared" si="110"/>
        <v>Average</v>
      </c>
      <c r="S985" t="str">
        <f t="shared" si="111"/>
        <v>Very High</v>
      </c>
    </row>
    <row r="986" spans="1:19" x14ac:dyDescent="0.3">
      <c r="A986">
        <v>985</v>
      </c>
      <c r="B986" t="s">
        <v>16</v>
      </c>
      <c r="C986">
        <v>2014</v>
      </c>
      <c r="D986">
        <v>165237</v>
      </c>
      <c r="E986" t="s">
        <v>26</v>
      </c>
      <c r="F986" t="s">
        <v>14</v>
      </c>
      <c r="G986" t="s">
        <v>20</v>
      </c>
      <c r="H986">
        <v>3683</v>
      </c>
      <c r="I986">
        <v>393.7</v>
      </c>
      <c r="J986" s="2">
        <v>10.74</v>
      </c>
      <c r="K986">
        <v>6</v>
      </c>
      <c r="L986" s="1">
        <v>42419.86</v>
      </c>
      <c r="M986">
        <f t="shared" si="105"/>
        <v>10</v>
      </c>
      <c r="N986">
        <f t="shared" si="106"/>
        <v>4241.9859999999999</v>
      </c>
      <c r="O986">
        <f t="shared" si="107"/>
        <v>16523.7</v>
      </c>
      <c r="P986">
        <f t="shared" si="108"/>
        <v>106.89655172413794</v>
      </c>
      <c r="Q986" t="str">
        <f t="shared" si="109"/>
        <v>Mature (8-12 years)</v>
      </c>
      <c r="R986" t="str">
        <f t="shared" si="110"/>
        <v>Low</v>
      </c>
      <c r="S986" t="str">
        <f t="shared" si="111"/>
        <v>Very High</v>
      </c>
    </row>
    <row r="987" spans="1:19" x14ac:dyDescent="0.3">
      <c r="A987">
        <v>986</v>
      </c>
      <c r="B987" t="s">
        <v>16</v>
      </c>
      <c r="C987">
        <v>2013</v>
      </c>
      <c r="D987">
        <v>195001</v>
      </c>
      <c r="E987" t="s">
        <v>22</v>
      </c>
      <c r="F987" t="s">
        <v>18</v>
      </c>
      <c r="G987" t="s">
        <v>23</v>
      </c>
      <c r="H987">
        <v>3215</v>
      </c>
      <c r="I987">
        <v>344</v>
      </c>
      <c r="J987" s="2">
        <v>9.99</v>
      </c>
      <c r="K987">
        <v>2</v>
      </c>
      <c r="L987" s="1">
        <v>71501.850000000006</v>
      </c>
      <c r="M987">
        <f t="shared" si="105"/>
        <v>11</v>
      </c>
      <c r="N987">
        <f t="shared" si="106"/>
        <v>6500.1681818181823</v>
      </c>
      <c r="O987">
        <f t="shared" si="107"/>
        <v>17727.363636363636</v>
      </c>
      <c r="P987">
        <f t="shared" si="108"/>
        <v>106.99844479004666</v>
      </c>
      <c r="Q987" t="str">
        <f t="shared" si="109"/>
        <v>Mature (8-12 years)</v>
      </c>
      <c r="R987" t="str">
        <f t="shared" si="110"/>
        <v>Low</v>
      </c>
      <c r="S987" t="str">
        <f t="shared" si="111"/>
        <v>Very High</v>
      </c>
    </row>
    <row r="988" spans="1:19" x14ac:dyDescent="0.3">
      <c r="A988">
        <v>987</v>
      </c>
      <c r="B988" t="s">
        <v>24</v>
      </c>
      <c r="C988">
        <v>2018</v>
      </c>
      <c r="D988">
        <v>100998</v>
      </c>
      <c r="E988" t="s">
        <v>26</v>
      </c>
      <c r="F988" t="s">
        <v>18</v>
      </c>
      <c r="G988" t="s">
        <v>20</v>
      </c>
      <c r="H988">
        <v>1917</v>
      </c>
      <c r="I988">
        <v>112.5</v>
      </c>
      <c r="J988" s="2">
        <v>5.94</v>
      </c>
      <c r="K988">
        <v>5</v>
      </c>
      <c r="L988" s="1">
        <v>39931.47</v>
      </c>
      <c r="M988">
        <f t="shared" si="105"/>
        <v>6</v>
      </c>
      <c r="N988">
        <f t="shared" si="106"/>
        <v>6655.2449999999999</v>
      </c>
      <c r="O988">
        <f t="shared" si="107"/>
        <v>16833</v>
      </c>
      <c r="P988">
        <f t="shared" si="108"/>
        <v>58.685446009389672</v>
      </c>
      <c r="Q988" t="str">
        <f t="shared" si="109"/>
        <v>Recent (4-7 years)</v>
      </c>
      <c r="R988" t="str">
        <f t="shared" si="110"/>
        <v>Low</v>
      </c>
      <c r="S988" t="str">
        <f t="shared" si="111"/>
        <v>Medium</v>
      </c>
    </row>
    <row r="989" spans="1:19" x14ac:dyDescent="0.3">
      <c r="A989">
        <v>988</v>
      </c>
      <c r="B989" t="s">
        <v>21</v>
      </c>
      <c r="C989">
        <v>2017</v>
      </c>
      <c r="D989">
        <v>54812</v>
      </c>
      <c r="E989" t="s">
        <v>26</v>
      </c>
      <c r="F989" t="s">
        <v>14</v>
      </c>
      <c r="G989" t="s">
        <v>15</v>
      </c>
      <c r="H989">
        <v>3801</v>
      </c>
      <c r="I989">
        <v>250.5</v>
      </c>
      <c r="J989" s="2">
        <v>21.08</v>
      </c>
      <c r="K989">
        <v>5</v>
      </c>
      <c r="L989" s="1">
        <v>13171.93</v>
      </c>
      <c r="M989">
        <f t="shared" si="105"/>
        <v>7</v>
      </c>
      <c r="N989">
        <f t="shared" si="106"/>
        <v>1881.7042857142858</v>
      </c>
      <c r="O989">
        <f t="shared" si="107"/>
        <v>7830.2857142857147</v>
      </c>
      <c r="P989">
        <f t="shared" si="108"/>
        <v>65.903709550118393</v>
      </c>
      <c r="Q989" t="str">
        <f t="shared" si="109"/>
        <v>Recent (4-7 years)</v>
      </c>
      <c r="R989" t="str">
        <f t="shared" si="110"/>
        <v>Good</v>
      </c>
      <c r="S989" t="str">
        <f t="shared" si="111"/>
        <v>Very High</v>
      </c>
    </row>
    <row r="990" spans="1:19" x14ac:dyDescent="0.3">
      <c r="A990">
        <v>989</v>
      </c>
      <c r="B990" t="s">
        <v>16</v>
      </c>
      <c r="C990">
        <v>2006</v>
      </c>
      <c r="D990">
        <v>186572</v>
      </c>
      <c r="E990" t="s">
        <v>22</v>
      </c>
      <c r="F990" t="s">
        <v>14</v>
      </c>
      <c r="G990" t="s">
        <v>20</v>
      </c>
      <c r="H990">
        <v>2538</v>
      </c>
      <c r="I990">
        <v>95.5</v>
      </c>
      <c r="J990" s="2">
        <v>11.56</v>
      </c>
      <c r="K990">
        <v>6</v>
      </c>
      <c r="L990" s="1">
        <v>29085.15</v>
      </c>
      <c r="M990">
        <f t="shared" si="105"/>
        <v>18</v>
      </c>
      <c r="N990">
        <f t="shared" si="106"/>
        <v>1615.8416666666667</v>
      </c>
      <c r="O990">
        <f t="shared" si="107"/>
        <v>10365.111111111111</v>
      </c>
      <c r="P990">
        <f t="shared" si="108"/>
        <v>37.628053585500396</v>
      </c>
      <c r="Q990" t="str">
        <f t="shared" si="109"/>
        <v>Old (12+ years)</v>
      </c>
      <c r="R990" t="str">
        <f t="shared" si="110"/>
        <v>Low</v>
      </c>
      <c r="S990" t="str">
        <f t="shared" si="111"/>
        <v>Low</v>
      </c>
    </row>
    <row r="991" spans="1:19" x14ac:dyDescent="0.3">
      <c r="A991">
        <v>990</v>
      </c>
      <c r="B991" t="s">
        <v>24</v>
      </c>
      <c r="C991">
        <v>2007</v>
      </c>
      <c r="D991">
        <v>63643</v>
      </c>
      <c r="E991" t="s">
        <v>22</v>
      </c>
      <c r="F991" t="s">
        <v>18</v>
      </c>
      <c r="G991" t="s">
        <v>23</v>
      </c>
      <c r="H991">
        <v>2164</v>
      </c>
      <c r="I991">
        <v>388.9</v>
      </c>
      <c r="J991" s="2">
        <v>6.31</v>
      </c>
      <c r="K991">
        <v>5</v>
      </c>
      <c r="L991" s="1">
        <v>25002.85</v>
      </c>
      <c r="M991">
        <f t="shared" si="105"/>
        <v>17</v>
      </c>
      <c r="N991">
        <f t="shared" si="106"/>
        <v>1470.7558823529412</v>
      </c>
      <c r="O991">
        <f t="shared" si="107"/>
        <v>3743.705882352941</v>
      </c>
      <c r="P991">
        <f t="shared" si="108"/>
        <v>179.71349353049905</v>
      </c>
      <c r="Q991" t="str">
        <f t="shared" si="109"/>
        <v>Old (12+ years)</v>
      </c>
      <c r="R991" t="str">
        <f t="shared" si="110"/>
        <v>Low</v>
      </c>
      <c r="S991" t="str">
        <f t="shared" si="111"/>
        <v>Very High</v>
      </c>
    </row>
    <row r="992" spans="1:19" x14ac:dyDescent="0.3">
      <c r="A992">
        <v>991</v>
      </c>
      <c r="B992" t="s">
        <v>19</v>
      </c>
      <c r="C992">
        <v>2011</v>
      </c>
      <c r="D992">
        <v>49900</v>
      </c>
      <c r="E992" t="s">
        <v>17</v>
      </c>
      <c r="F992" t="s">
        <v>14</v>
      </c>
      <c r="G992" t="s">
        <v>15</v>
      </c>
      <c r="H992">
        <v>3508</v>
      </c>
      <c r="I992">
        <v>290.2</v>
      </c>
      <c r="J992" s="2">
        <v>10.77</v>
      </c>
      <c r="K992">
        <v>2</v>
      </c>
      <c r="L992" s="1">
        <v>53078.26</v>
      </c>
      <c r="M992">
        <f t="shared" si="105"/>
        <v>13</v>
      </c>
      <c r="N992">
        <f t="shared" si="106"/>
        <v>4082.9430769230771</v>
      </c>
      <c r="O992">
        <f t="shared" si="107"/>
        <v>3838.4615384615386</v>
      </c>
      <c r="P992">
        <f t="shared" si="108"/>
        <v>82.725199543899649</v>
      </c>
      <c r="Q992" t="str">
        <f t="shared" si="109"/>
        <v>Old (12+ years)</v>
      </c>
      <c r="R992" t="str">
        <f t="shared" si="110"/>
        <v>Low</v>
      </c>
      <c r="S992" t="str">
        <f t="shared" si="111"/>
        <v>Very High</v>
      </c>
    </row>
    <row r="993" spans="1:19" x14ac:dyDescent="0.3">
      <c r="A993">
        <v>992</v>
      </c>
      <c r="B993" t="s">
        <v>27</v>
      </c>
      <c r="C993">
        <v>2022</v>
      </c>
      <c r="D993">
        <v>179018</v>
      </c>
      <c r="E993" t="s">
        <v>17</v>
      </c>
      <c r="F993" t="s">
        <v>18</v>
      </c>
      <c r="G993" t="s">
        <v>23</v>
      </c>
      <c r="H993">
        <v>1724</v>
      </c>
      <c r="I993">
        <v>475.7</v>
      </c>
      <c r="J993" s="2">
        <v>25.05</v>
      </c>
      <c r="K993">
        <v>2</v>
      </c>
      <c r="L993" s="1">
        <v>80019.199999999997</v>
      </c>
      <c r="M993">
        <f t="shared" si="105"/>
        <v>2</v>
      </c>
      <c r="N993">
        <f t="shared" si="106"/>
        <v>40009.599999999999</v>
      </c>
      <c r="O993">
        <f t="shared" si="107"/>
        <v>89509</v>
      </c>
      <c r="P993">
        <f t="shared" si="108"/>
        <v>275.92807424593968</v>
      </c>
      <c r="Q993" t="str">
        <f t="shared" si="109"/>
        <v>New (0-3 years)</v>
      </c>
      <c r="R993" t="str">
        <f t="shared" si="110"/>
        <v>Excellent</v>
      </c>
      <c r="S993" t="str">
        <f t="shared" si="111"/>
        <v>Very High</v>
      </c>
    </row>
    <row r="994" spans="1:19" x14ac:dyDescent="0.3">
      <c r="A994">
        <v>993</v>
      </c>
      <c r="B994" t="s">
        <v>27</v>
      </c>
      <c r="C994">
        <v>2007</v>
      </c>
      <c r="D994">
        <v>143923</v>
      </c>
      <c r="E994" t="s">
        <v>17</v>
      </c>
      <c r="F994" t="s">
        <v>14</v>
      </c>
      <c r="G994" t="s">
        <v>15</v>
      </c>
      <c r="H994">
        <v>951</v>
      </c>
      <c r="I994">
        <v>163.5</v>
      </c>
      <c r="J994" s="2">
        <v>26.29</v>
      </c>
      <c r="K994">
        <v>5</v>
      </c>
      <c r="L994" s="1">
        <v>33865.31</v>
      </c>
      <c r="M994">
        <f t="shared" si="105"/>
        <v>17</v>
      </c>
      <c r="N994">
        <f t="shared" si="106"/>
        <v>1992.0770588235293</v>
      </c>
      <c r="O994">
        <f t="shared" si="107"/>
        <v>8466.0588235294126</v>
      </c>
      <c r="P994">
        <f t="shared" si="108"/>
        <v>171.92429022082021</v>
      </c>
      <c r="Q994" t="str">
        <f t="shared" si="109"/>
        <v>Old (12+ years)</v>
      </c>
      <c r="R994" t="str">
        <f t="shared" si="110"/>
        <v>Excellent</v>
      </c>
      <c r="S994" t="str">
        <f t="shared" si="111"/>
        <v>High</v>
      </c>
    </row>
    <row r="995" spans="1:19" x14ac:dyDescent="0.3">
      <c r="A995">
        <v>994</v>
      </c>
      <c r="B995" t="s">
        <v>19</v>
      </c>
      <c r="C995">
        <v>2014</v>
      </c>
      <c r="D995">
        <v>21288</v>
      </c>
      <c r="E995" t="s">
        <v>26</v>
      </c>
      <c r="F995" t="s">
        <v>18</v>
      </c>
      <c r="G995" t="s">
        <v>20</v>
      </c>
      <c r="H995">
        <v>1385</v>
      </c>
      <c r="I995">
        <v>132.19999999999999</v>
      </c>
      <c r="J995" s="2">
        <v>17.079999999999998</v>
      </c>
      <c r="K995">
        <v>5</v>
      </c>
      <c r="L995" s="1">
        <v>4412.18</v>
      </c>
      <c r="M995">
        <f t="shared" si="105"/>
        <v>10</v>
      </c>
      <c r="N995">
        <f t="shared" si="106"/>
        <v>441.21800000000002</v>
      </c>
      <c r="O995">
        <f t="shared" si="107"/>
        <v>2128.8000000000002</v>
      </c>
      <c r="P995">
        <f t="shared" si="108"/>
        <v>95.451263537906129</v>
      </c>
      <c r="Q995" t="str">
        <f t="shared" si="109"/>
        <v>Mature (8-12 years)</v>
      </c>
      <c r="R995" t="str">
        <f t="shared" si="110"/>
        <v>Average</v>
      </c>
      <c r="S995" t="str">
        <f t="shared" si="111"/>
        <v>Medium</v>
      </c>
    </row>
    <row r="996" spans="1:19" x14ac:dyDescent="0.3">
      <c r="A996">
        <v>995</v>
      </c>
      <c r="B996" t="s">
        <v>12</v>
      </c>
      <c r="C996">
        <v>2011</v>
      </c>
      <c r="D996">
        <v>77692</v>
      </c>
      <c r="E996" t="s">
        <v>26</v>
      </c>
      <c r="F996" t="s">
        <v>14</v>
      </c>
      <c r="G996" t="s">
        <v>15</v>
      </c>
      <c r="H996">
        <v>1712</v>
      </c>
      <c r="I996">
        <v>267.5</v>
      </c>
      <c r="J996" s="2">
        <v>15.4</v>
      </c>
      <c r="K996">
        <v>7</v>
      </c>
      <c r="L996" s="1">
        <v>63715.67</v>
      </c>
      <c r="M996">
        <f t="shared" si="105"/>
        <v>13</v>
      </c>
      <c r="N996">
        <f t="shared" si="106"/>
        <v>4901.2053846153849</v>
      </c>
      <c r="O996">
        <f t="shared" si="107"/>
        <v>5976.3076923076924</v>
      </c>
      <c r="P996">
        <f t="shared" si="108"/>
        <v>156.25</v>
      </c>
      <c r="Q996" t="str">
        <f t="shared" si="109"/>
        <v>Old (12+ years)</v>
      </c>
      <c r="R996" t="str">
        <f t="shared" si="110"/>
        <v>Average</v>
      </c>
      <c r="S996" t="str">
        <f t="shared" si="111"/>
        <v>Very High</v>
      </c>
    </row>
    <row r="997" spans="1:19" x14ac:dyDescent="0.3">
      <c r="A997">
        <v>996</v>
      </c>
      <c r="B997" t="s">
        <v>24</v>
      </c>
      <c r="C997">
        <v>2013</v>
      </c>
      <c r="D997">
        <v>143440</v>
      </c>
      <c r="E997" t="s">
        <v>17</v>
      </c>
      <c r="F997" t="s">
        <v>14</v>
      </c>
      <c r="G997" t="s">
        <v>15</v>
      </c>
      <c r="H997">
        <v>3121</v>
      </c>
      <c r="I997">
        <v>558.9</v>
      </c>
      <c r="J997" s="2">
        <v>29.45</v>
      </c>
      <c r="K997">
        <v>4</v>
      </c>
      <c r="L997" s="1">
        <v>73873.86</v>
      </c>
      <c r="M997">
        <f t="shared" si="105"/>
        <v>11</v>
      </c>
      <c r="N997">
        <f t="shared" si="106"/>
        <v>6715.8054545454543</v>
      </c>
      <c r="O997">
        <f t="shared" si="107"/>
        <v>13040</v>
      </c>
      <c r="P997">
        <f t="shared" si="108"/>
        <v>179.07721884011534</v>
      </c>
      <c r="Q997" t="str">
        <f t="shared" si="109"/>
        <v>Mature (8-12 years)</v>
      </c>
      <c r="R997" t="str">
        <f t="shared" si="110"/>
        <v>Excellent</v>
      </c>
      <c r="S997" t="str">
        <f t="shared" si="111"/>
        <v>Very High</v>
      </c>
    </row>
    <row r="998" spans="1:19" x14ac:dyDescent="0.3">
      <c r="A998">
        <v>997</v>
      </c>
      <c r="B998" t="s">
        <v>24</v>
      </c>
      <c r="C998">
        <v>2021</v>
      </c>
      <c r="D998">
        <v>90436</v>
      </c>
      <c r="E998" t="s">
        <v>26</v>
      </c>
      <c r="F998" t="s">
        <v>18</v>
      </c>
      <c r="G998" t="s">
        <v>20</v>
      </c>
      <c r="H998">
        <v>1295</v>
      </c>
      <c r="I998">
        <v>437.8</v>
      </c>
      <c r="J998" s="2">
        <v>10.01</v>
      </c>
      <c r="K998">
        <v>6</v>
      </c>
      <c r="L998" s="1">
        <v>115655.85</v>
      </c>
      <c r="M998">
        <f t="shared" si="105"/>
        <v>3</v>
      </c>
      <c r="N998">
        <f t="shared" si="106"/>
        <v>38551.950000000004</v>
      </c>
      <c r="O998">
        <f t="shared" si="107"/>
        <v>30145.333333333332</v>
      </c>
      <c r="P998">
        <f t="shared" si="108"/>
        <v>338.06949806949808</v>
      </c>
      <c r="Q998" t="str">
        <f t="shared" si="109"/>
        <v>New (0-3 years)</v>
      </c>
      <c r="R998" t="str">
        <f t="shared" si="110"/>
        <v>Low</v>
      </c>
      <c r="S998" t="str">
        <f t="shared" si="111"/>
        <v>Very High</v>
      </c>
    </row>
    <row r="999" spans="1:19" x14ac:dyDescent="0.3">
      <c r="A999">
        <v>998</v>
      </c>
      <c r="B999" t="s">
        <v>19</v>
      </c>
      <c r="C999">
        <v>2015</v>
      </c>
      <c r="D999">
        <v>51403</v>
      </c>
      <c r="E999" t="s">
        <v>26</v>
      </c>
      <c r="F999" t="s">
        <v>14</v>
      </c>
      <c r="G999" t="s">
        <v>23</v>
      </c>
      <c r="H999">
        <v>4595</v>
      </c>
      <c r="I999">
        <v>274.60000000000002</v>
      </c>
      <c r="J999" s="2">
        <v>10.38</v>
      </c>
      <c r="K999">
        <v>2</v>
      </c>
      <c r="L999" s="1">
        <v>71968.08</v>
      </c>
      <c r="M999">
        <f t="shared" si="105"/>
        <v>9</v>
      </c>
      <c r="N999">
        <f t="shared" si="106"/>
        <v>7996.4533333333338</v>
      </c>
      <c r="O999">
        <f t="shared" si="107"/>
        <v>5711.4444444444443</v>
      </c>
      <c r="P999">
        <f t="shared" si="108"/>
        <v>59.760609357997829</v>
      </c>
      <c r="Q999" t="str">
        <f t="shared" si="109"/>
        <v>Mature (8-12 years)</v>
      </c>
      <c r="R999" t="str">
        <f t="shared" si="110"/>
        <v>Low</v>
      </c>
      <c r="S999" t="str">
        <f t="shared" si="111"/>
        <v>Very High</v>
      </c>
    </row>
    <row r="1000" spans="1:19" x14ac:dyDescent="0.3">
      <c r="A1000">
        <v>999</v>
      </c>
      <c r="B1000" t="s">
        <v>28</v>
      </c>
      <c r="C1000">
        <v>2011</v>
      </c>
      <c r="D1000">
        <v>96170</v>
      </c>
      <c r="E1000" t="s">
        <v>22</v>
      </c>
      <c r="F1000" t="s">
        <v>14</v>
      </c>
      <c r="G1000" t="s">
        <v>20</v>
      </c>
      <c r="H1000">
        <v>2948</v>
      </c>
      <c r="I1000">
        <v>329.7</v>
      </c>
      <c r="J1000" s="2">
        <v>12.3</v>
      </c>
      <c r="K1000">
        <v>6</v>
      </c>
      <c r="L1000" s="1">
        <v>58127.19</v>
      </c>
      <c r="M1000">
        <f t="shared" si="105"/>
        <v>13</v>
      </c>
      <c r="N1000">
        <f t="shared" si="106"/>
        <v>4471.3223076923077</v>
      </c>
      <c r="O1000">
        <f t="shared" si="107"/>
        <v>7397.6923076923076</v>
      </c>
      <c r="P1000">
        <f t="shared" si="108"/>
        <v>111.83853459972863</v>
      </c>
      <c r="Q1000" t="str">
        <f t="shared" si="109"/>
        <v>Old (12+ years)</v>
      </c>
      <c r="R1000" t="str">
        <f t="shared" si="110"/>
        <v>Low</v>
      </c>
      <c r="S1000" t="str">
        <f t="shared" si="111"/>
        <v>Very High</v>
      </c>
    </row>
    <row r="1001" spans="1:19" x14ac:dyDescent="0.3">
      <c r="A1001">
        <v>1000</v>
      </c>
      <c r="B1001" t="s">
        <v>30</v>
      </c>
      <c r="C1001">
        <v>2018</v>
      </c>
      <c r="D1001">
        <v>14168</v>
      </c>
      <c r="E1001" t="s">
        <v>22</v>
      </c>
      <c r="F1001" t="s">
        <v>18</v>
      </c>
      <c r="G1001" t="s">
        <v>15</v>
      </c>
      <c r="H1001">
        <v>1356</v>
      </c>
      <c r="I1001">
        <v>87.2</v>
      </c>
      <c r="J1001" s="2">
        <v>9.32</v>
      </c>
      <c r="K1001">
        <v>7</v>
      </c>
      <c r="L1001" s="1">
        <v>70087.990000000005</v>
      </c>
      <c r="M1001">
        <f t="shared" si="105"/>
        <v>6</v>
      </c>
      <c r="N1001">
        <f t="shared" si="106"/>
        <v>11681.331666666667</v>
      </c>
      <c r="O1001">
        <f t="shared" si="107"/>
        <v>2361.3333333333335</v>
      </c>
      <c r="P1001">
        <f t="shared" si="108"/>
        <v>64.306784660766965</v>
      </c>
      <c r="Q1001" t="str">
        <f t="shared" si="109"/>
        <v>Recent (4-7 years)</v>
      </c>
      <c r="R1001" t="str">
        <f t="shared" si="110"/>
        <v>Low</v>
      </c>
      <c r="S1001" t="str">
        <f t="shared" si="111"/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6308-A600-451A-893C-6180921844D8}">
  <dimension ref="A1"/>
  <sheetViews>
    <sheetView topLeftCell="A21" workbookViewId="0">
      <selection activeCell="B41" sqref="B4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EA65-E4F4-416C-81C0-32798BFA8914}">
  <dimension ref="A1:F51"/>
  <sheetViews>
    <sheetView workbookViewId="0">
      <selection activeCell="A15" sqref="A15:D2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9.44140625" bestFit="1" customWidth="1"/>
    <col min="4" max="4" width="26.33203125" bestFit="1" customWidth="1"/>
    <col min="5" max="5" width="16.77734375" bestFit="1" customWidth="1"/>
    <col min="6" max="6" width="17.77734375" bestFit="1" customWidth="1"/>
  </cols>
  <sheetData>
    <row r="1" spans="1:6" x14ac:dyDescent="0.3">
      <c r="A1" s="3" t="s">
        <v>38</v>
      </c>
      <c r="B1" t="s">
        <v>41</v>
      </c>
      <c r="C1" t="s">
        <v>40</v>
      </c>
      <c r="D1" t="s">
        <v>42</v>
      </c>
      <c r="E1" t="s">
        <v>43</v>
      </c>
      <c r="F1" t="s">
        <v>44</v>
      </c>
    </row>
    <row r="2" spans="1:6" x14ac:dyDescent="0.3">
      <c r="A2" s="4" t="s">
        <v>21</v>
      </c>
      <c r="B2" s="5">
        <v>107</v>
      </c>
      <c r="C2" s="1">
        <v>64344.239906542061</v>
      </c>
      <c r="D2" s="1">
        <v>119331.69</v>
      </c>
      <c r="E2" s="1">
        <v>3092.37</v>
      </c>
      <c r="F2" s="5">
        <v>10.065420560747663</v>
      </c>
    </row>
    <row r="3" spans="1:6" x14ac:dyDescent="0.3">
      <c r="A3" s="4" t="s">
        <v>30</v>
      </c>
      <c r="B3" s="5">
        <v>91</v>
      </c>
      <c r="C3" s="1">
        <v>64089.937472527476</v>
      </c>
      <c r="D3" s="1">
        <v>119508.88</v>
      </c>
      <c r="E3" s="1">
        <v>3274.65</v>
      </c>
      <c r="F3" s="5">
        <v>8.791208791208792</v>
      </c>
    </row>
    <row r="4" spans="1:6" x14ac:dyDescent="0.3">
      <c r="A4" s="4" t="s">
        <v>12</v>
      </c>
      <c r="B4" s="5">
        <v>94</v>
      </c>
      <c r="C4" s="1">
        <v>62351.394042553198</v>
      </c>
      <c r="D4" s="1">
        <v>119611.94</v>
      </c>
      <c r="E4" s="1">
        <v>3353.44</v>
      </c>
      <c r="F4" s="5">
        <v>10.5</v>
      </c>
    </row>
    <row r="5" spans="1:6" x14ac:dyDescent="0.3">
      <c r="A5" s="4" t="s">
        <v>25</v>
      </c>
      <c r="B5" s="5">
        <v>110</v>
      </c>
      <c r="C5" s="1">
        <v>59953.021363636362</v>
      </c>
      <c r="D5" s="1">
        <v>119533.5</v>
      </c>
      <c r="E5" s="1">
        <v>5446.41</v>
      </c>
      <c r="F5" s="5">
        <v>9.709090909090909</v>
      </c>
    </row>
    <row r="6" spans="1:6" x14ac:dyDescent="0.3">
      <c r="A6" s="4" t="s">
        <v>29</v>
      </c>
      <c r="B6" s="5">
        <v>118</v>
      </c>
      <c r="C6" s="1">
        <v>58964.422288135604</v>
      </c>
      <c r="D6" s="1">
        <v>118626.67</v>
      </c>
      <c r="E6" s="1">
        <v>4522.1899999999996</v>
      </c>
      <c r="F6" s="5">
        <v>9.1355932203389827</v>
      </c>
    </row>
    <row r="7" spans="1:6" x14ac:dyDescent="0.3">
      <c r="A7" s="4" t="s">
        <v>27</v>
      </c>
      <c r="B7" s="5">
        <v>96</v>
      </c>
      <c r="C7" s="1">
        <v>58818.596354166664</v>
      </c>
      <c r="D7" s="1">
        <v>119200.16</v>
      </c>
      <c r="E7" s="1">
        <v>5572.42</v>
      </c>
      <c r="F7" s="5">
        <v>9.3333333333333339</v>
      </c>
    </row>
    <row r="8" spans="1:6" x14ac:dyDescent="0.3">
      <c r="A8" s="4" t="s">
        <v>28</v>
      </c>
      <c r="B8" s="5">
        <v>83</v>
      </c>
      <c r="C8" s="1">
        <v>57226.331686747006</v>
      </c>
      <c r="D8" s="1">
        <v>118306.32</v>
      </c>
      <c r="E8" s="1">
        <v>3435.2</v>
      </c>
      <c r="F8" s="5">
        <v>8.2650602409638552</v>
      </c>
    </row>
    <row r="9" spans="1:6" x14ac:dyDescent="0.3">
      <c r="A9" s="4" t="s">
        <v>19</v>
      </c>
      <c r="B9" s="5">
        <v>100</v>
      </c>
      <c r="C9" s="1">
        <v>56090.171699999977</v>
      </c>
      <c r="D9" s="1">
        <v>117194.36</v>
      </c>
      <c r="E9" s="1">
        <v>4248.3999999999996</v>
      </c>
      <c r="F9" s="5">
        <v>10.26</v>
      </c>
    </row>
    <row r="10" spans="1:6" x14ac:dyDescent="0.3">
      <c r="A10" s="4" t="s">
        <v>24</v>
      </c>
      <c r="B10" s="5">
        <v>107</v>
      </c>
      <c r="C10" s="1">
        <v>55987.339719626165</v>
      </c>
      <c r="D10" s="1">
        <v>119485.69</v>
      </c>
      <c r="E10" s="1">
        <v>3028.42</v>
      </c>
      <c r="F10" s="5">
        <v>9.5981308411214954</v>
      </c>
    </row>
    <row r="11" spans="1:6" x14ac:dyDescent="0.3">
      <c r="A11" s="4" t="s">
        <v>16</v>
      </c>
      <c r="B11" s="5">
        <v>94</v>
      </c>
      <c r="C11" s="1">
        <v>54154.605531914909</v>
      </c>
      <c r="D11" s="1">
        <v>119074.79</v>
      </c>
      <c r="E11" s="1">
        <v>3048</v>
      </c>
      <c r="F11" s="5">
        <v>9.1914893617021285</v>
      </c>
    </row>
    <row r="12" spans="1:6" x14ac:dyDescent="0.3">
      <c r="A12" s="4" t="s">
        <v>39</v>
      </c>
      <c r="B12" s="5">
        <v>1000</v>
      </c>
      <c r="C12" s="1">
        <v>59217.249420000117</v>
      </c>
      <c r="D12" s="1">
        <v>119611.94</v>
      </c>
      <c r="E12" s="1">
        <v>3028.42</v>
      </c>
      <c r="F12" s="5">
        <v>9.5090000000000003</v>
      </c>
    </row>
    <row r="15" spans="1:6" x14ac:dyDescent="0.3">
      <c r="A15" s="3" t="s">
        <v>40</v>
      </c>
      <c r="B15" s="3" t="s">
        <v>49</v>
      </c>
    </row>
    <row r="16" spans="1:6" x14ac:dyDescent="0.3">
      <c r="A16" s="3" t="s">
        <v>38</v>
      </c>
      <c r="B16" t="s">
        <v>18</v>
      </c>
      <c r="C16" t="s">
        <v>14</v>
      </c>
      <c r="D16" t="s">
        <v>39</v>
      </c>
    </row>
    <row r="17" spans="1:4" x14ac:dyDescent="0.3">
      <c r="A17" s="4" t="s">
        <v>13</v>
      </c>
      <c r="B17" s="1">
        <v>55834.873027522968</v>
      </c>
      <c r="C17" s="1">
        <v>59455.758965517271</v>
      </c>
      <c r="D17" s="1">
        <v>57701.64088888892</v>
      </c>
    </row>
    <row r="18" spans="1:4" x14ac:dyDescent="0.3">
      <c r="A18" s="4" t="s">
        <v>26</v>
      </c>
      <c r="B18" s="1">
        <v>62357.712695652182</v>
      </c>
      <c r="C18" s="1">
        <v>57997.434306569354</v>
      </c>
      <c r="D18" s="1">
        <v>59987.243888888843</v>
      </c>
    </row>
    <row r="19" spans="1:4" x14ac:dyDescent="0.3">
      <c r="A19" s="4" t="s">
        <v>17</v>
      </c>
      <c r="B19" s="1">
        <v>60230.22119658118</v>
      </c>
      <c r="C19" s="1">
        <v>60281.945111111119</v>
      </c>
      <c r="D19" s="1">
        <v>60257.930436507944</v>
      </c>
    </row>
    <row r="20" spans="1:4" x14ac:dyDescent="0.3">
      <c r="A20" s="4" t="s">
        <v>22</v>
      </c>
      <c r="B20" s="1">
        <v>57506.215034965026</v>
      </c>
      <c r="C20" s="1">
        <v>60228.183906249993</v>
      </c>
      <c r="D20" s="1">
        <v>58791.868228782281</v>
      </c>
    </row>
    <row r="21" spans="1:4" x14ac:dyDescent="0.3">
      <c r="A21" s="4" t="s">
        <v>39</v>
      </c>
      <c r="B21" s="1">
        <v>58941.038739669435</v>
      </c>
      <c r="C21" s="1">
        <v>59476.330755813935</v>
      </c>
      <c r="D21" s="1">
        <v>59217.249419999993</v>
      </c>
    </row>
    <row r="25" spans="1:4" x14ac:dyDescent="0.3">
      <c r="A25" s="3" t="s">
        <v>38</v>
      </c>
      <c r="B25" t="s">
        <v>41</v>
      </c>
      <c r="C25" t="s">
        <v>40</v>
      </c>
      <c r="D25" t="s">
        <v>50</v>
      </c>
    </row>
    <row r="26" spans="1:4" x14ac:dyDescent="0.3">
      <c r="A26" s="4" t="s">
        <v>48</v>
      </c>
      <c r="B26" s="5">
        <v>202</v>
      </c>
      <c r="C26" s="1">
        <v>60662.966237623754</v>
      </c>
      <c r="D26" s="5">
        <v>71259.267326732661</v>
      </c>
    </row>
    <row r="27" spans="1:4" x14ac:dyDescent="0.3">
      <c r="A27" s="4" t="s">
        <v>47</v>
      </c>
      <c r="B27" s="5">
        <v>198</v>
      </c>
      <c r="C27" s="1">
        <v>62186.619040404054</v>
      </c>
      <c r="D27" s="5">
        <v>18304.670827320824</v>
      </c>
    </row>
    <row r="28" spans="1:4" x14ac:dyDescent="0.3">
      <c r="A28" s="4" t="s">
        <v>46</v>
      </c>
      <c r="B28" s="5">
        <v>257</v>
      </c>
      <c r="C28" s="1">
        <v>57093.786731517495</v>
      </c>
      <c r="D28" s="5">
        <v>10751.414598317817</v>
      </c>
    </row>
    <row r="29" spans="1:4" x14ac:dyDescent="0.3">
      <c r="A29" s="4" t="s">
        <v>45</v>
      </c>
      <c r="B29" s="5">
        <v>343</v>
      </c>
      <c r="C29" s="1">
        <v>58242.788571428573</v>
      </c>
      <c r="D29" s="5">
        <v>6613.8180440011784</v>
      </c>
    </row>
    <row r="30" spans="1:4" x14ac:dyDescent="0.3">
      <c r="A30" s="4" t="s">
        <v>39</v>
      </c>
      <c r="B30" s="5">
        <v>1000</v>
      </c>
      <c r="C30" s="1">
        <v>59217.249420000015</v>
      </c>
      <c r="D30" s="5">
        <v>23050.349964669593</v>
      </c>
    </row>
    <row r="33" spans="1:4" x14ac:dyDescent="0.3">
      <c r="A33" s="3" t="s">
        <v>38</v>
      </c>
      <c r="B33" t="s">
        <v>41</v>
      </c>
    </row>
    <row r="34" spans="1:4" x14ac:dyDescent="0.3">
      <c r="A34" s="4" t="s">
        <v>29</v>
      </c>
      <c r="B34" s="5">
        <v>118</v>
      </c>
    </row>
    <row r="35" spans="1:4" x14ac:dyDescent="0.3">
      <c r="A35" s="4" t="s">
        <v>25</v>
      </c>
      <c r="B35" s="5">
        <v>110</v>
      </c>
    </row>
    <row r="36" spans="1:4" x14ac:dyDescent="0.3">
      <c r="A36" s="4" t="s">
        <v>21</v>
      </c>
      <c r="B36" s="5">
        <v>107</v>
      </c>
    </row>
    <row r="37" spans="1:4" x14ac:dyDescent="0.3">
      <c r="A37" s="4" t="s">
        <v>24</v>
      </c>
      <c r="B37" s="5">
        <v>107</v>
      </c>
    </row>
    <row r="38" spans="1:4" x14ac:dyDescent="0.3">
      <c r="A38" s="4" t="s">
        <v>19</v>
      </c>
      <c r="B38" s="5">
        <v>100</v>
      </c>
    </row>
    <row r="39" spans="1:4" x14ac:dyDescent="0.3">
      <c r="A39" s="4" t="s">
        <v>27</v>
      </c>
      <c r="B39" s="5">
        <v>96</v>
      </c>
    </row>
    <row r="40" spans="1:4" x14ac:dyDescent="0.3">
      <c r="A40" s="4" t="s">
        <v>12</v>
      </c>
      <c r="B40" s="5">
        <v>94</v>
      </c>
    </row>
    <row r="41" spans="1:4" x14ac:dyDescent="0.3">
      <c r="A41" s="4" t="s">
        <v>16</v>
      </c>
      <c r="B41" s="5">
        <v>94</v>
      </c>
    </row>
    <row r="42" spans="1:4" x14ac:dyDescent="0.3">
      <c r="A42" s="4" t="s">
        <v>30</v>
      </c>
      <c r="B42" s="5">
        <v>91</v>
      </c>
    </row>
    <row r="43" spans="1:4" x14ac:dyDescent="0.3">
      <c r="A43" s="4" t="s">
        <v>28</v>
      </c>
      <c r="B43" s="5">
        <v>83</v>
      </c>
    </row>
    <row r="44" spans="1:4" x14ac:dyDescent="0.3">
      <c r="A44" s="4" t="s">
        <v>39</v>
      </c>
      <c r="B44" s="5">
        <v>1000</v>
      </c>
    </row>
    <row r="47" spans="1:4" x14ac:dyDescent="0.3">
      <c r="A47" s="3" t="s">
        <v>38</v>
      </c>
      <c r="B47" t="s">
        <v>41</v>
      </c>
      <c r="C47" t="s">
        <v>40</v>
      </c>
      <c r="D47" t="s">
        <v>51</v>
      </c>
    </row>
    <row r="48" spans="1:4" x14ac:dyDescent="0.3">
      <c r="A48" s="4" t="s">
        <v>15</v>
      </c>
      <c r="B48" s="5">
        <v>324</v>
      </c>
      <c r="C48" s="1">
        <v>62466.937314814808</v>
      </c>
      <c r="D48" s="5">
        <v>103276.41666666667</v>
      </c>
    </row>
    <row r="49" spans="1:4" x14ac:dyDescent="0.3">
      <c r="A49" s="4" t="s">
        <v>23</v>
      </c>
      <c r="B49" s="5">
        <v>328</v>
      </c>
      <c r="C49" s="1">
        <v>60305.112499999952</v>
      </c>
      <c r="D49" s="5">
        <v>103092.70731707317</v>
      </c>
    </row>
    <row r="50" spans="1:4" x14ac:dyDescent="0.3">
      <c r="A50" s="4" t="s">
        <v>20</v>
      </c>
      <c r="B50" s="5">
        <v>348</v>
      </c>
      <c r="C50" s="1">
        <v>55166.33571839083</v>
      </c>
      <c r="D50" s="5">
        <v>103796.28448275862</v>
      </c>
    </row>
    <row r="51" spans="1:4" x14ac:dyDescent="0.3">
      <c r="A51" s="4" t="s">
        <v>39</v>
      </c>
      <c r="B51" s="5">
        <v>1000</v>
      </c>
      <c r="C51" s="1">
        <v>59217.249420000058</v>
      </c>
      <c r="D51" s="5">
        <v>103397.07399999999</v>
      </c>
    </row>
  </sheetData>
  <conditionalFormatting pivot="1" sqref="B17:D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car_price_dataset_medium</vt:lpstr>
      <vt:lpstr>Clean_data</vt:lpstr>
      <vt:lpstr>CHARTS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Jemimah</dc:creator>
  <cp:lastModifiedBy>Praisie Jemimah</cp:lastModifiedBy>
  <dcterms:created xsi:type="dcterms:W3CDTF">2026-01-31T04:46:46Z</dcterms:created>
  <dcterms:modified xsi:type="dcterms:W3CDTF">2026-01-31T05:33:26Z</dcterms:modified>
</cp:coreProperties>
</file>